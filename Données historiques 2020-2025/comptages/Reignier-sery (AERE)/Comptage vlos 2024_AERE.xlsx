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705" yWindow="60" windowWidth="11295" windowHeight="9750" tabRatio="901" activeTab="10"/>
  </bookViews>
  <sheets>
    <sheet name="PJ_Casino" sheetId="13" r:id="rId1"/>
    <sheet name="RE_Gare" sheetId="18" r:id="rId2"/>
    <sheet name="RE_Eglise" sheetId="8" r:id="rId3"/>
    <sheet name="RE_Foron" sheetId="9" r:id="rId4"/>
    <sheet name="RE_La Forge (gir.)" sheetId="22" r:id="rId5"/>
    <sheet name="ETR_D2 (ex-PN93)" sheetId="20" r:id="rId6"/>
    <sheet name="ETR_Château" sheetId="4" r:id="rId7"/>
    <sheet name="SCI_Bellecombe" sheetId="11" state="hidden" r:id="rId8"/>
    <sheet name="AM_Coriandre" sheetId="10" state="hidden" r:id="rId9"/>
    <sheet name="SYNTHESE" sheetId="16" r:id="rId10"/>
    <sheet name="Analyse sommaire" sheetId="21" r:id="rId11"/>
    <sheet name="RE_Fil Saisons" sheetId="12" state="hidden" r:id="rId12"/>
    <sheet name="RE_ex-gendarmerie" sheetId="17" state="hidden" r:id="rId13"/>
    <sheet name="ART_Lavage auto" sheetId="6" state="hidden" r:id="rId14"/>
  </sheets>
  <definedNames>
    <definedName name="_xlnm._FilterDatabase" localSheetId="9" hidden="1">SYNTHESE!$A$2:$O$21</definedName>
    <definedName name="_xlnm.Print_Area" localSheetId="8">AM_Coriandre!$A$1:$Z$23,AM_Coriandre!$A$25:$AL$54</definedName>
    <definedName name="_xlnm.Print_Area" localSheetId="10">'Analyse sommaire'!$A$1:$M$82</definedName>
    <definedName name="_xlnm.Print_Area" localSheetId="13">'ART_Lavage auto'!$A$1:$AA$39</definedName>
    <definedName name="_xlnm.Print_Area" localSheetId="6">ETR_Château!$A$1:$AB$22</definedName>
    <definedName name="_xlnm.Print_Area" localSheetId="5">'ETR_D2 (ex-PN93)'!$A$1:$AA$39</definedName>
    <definedName name="_xlnm.Print_Area" localSheetId="0">PJ_Casino!$A$1:$AA$39</definedName>
    <definedName name="_xlnm.Print_Area" localSheetId="2">RE_Eglise!$A$1:$AA$39</definedName>
    <definedName name="_xlnm.Print_Area" localSheetId="12">'RE_ex-gendarmerie'!$A$1:$AA$39</definedName>
    <definedName name="_xlnm.Print_Area" localSheetId="11">'RE_Fil Saisons'!$A$1:$AB$22</definedName>
    <definedName name="_xlnm.Print_Area" localSheetId="3">RE_Foron!$A$1:$AB$22</definedName>
    <definedName name="_xlnm.Print_Area" localSheetId="1">RE_Gare!$A$1:$AB$22</definedName>
    <definedName name="_xlnm.Print_Area" localSheetId="4">'RE_La Forge (gir.)'!$A$1:$AB$22</definedName>
    <definedName name="_xlnm.Print_Area" localSheetId="7">SCI_Bellecombe!$A$1:$Z$23,SCI_Bellecombe!$A$25:$AL$54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21" l="1"/>
  <c r="L26" i="21"/>
  <c r="K26" i="21"/>
  <c r="J26" i="21"/>
  <c r="I26" i="21"/>
  <c r="M25" i="21"/>
  <c r="L25" i="21"/>
  <c r="K25" i="21"/>
  <c r="J25" i="21"/>
  <c r="I25" i="21"/>
  <c r="M47" i="21" l="1"/>
  <c r="L47" i="21"/>
  <c r="K47" i="21"/>
  <c r="J47" i="21"/>
  <c r="I47" i="21"/>
  <c r="M46" i="21"/>
  <c r="L46" i="21"/>
  <c r="K46" i="21"/>
  <c r="J46" i="21"/>
  <c r="I46" i="21"/>
  <c r="I67" i="21"/>
  <c r="J67" i="21"/>
  <c r="K67" i="21"/>
  <c r="L67" i="21"/>
  <c r="M67" i="21"/>
  <c r="J66" i="21"/>
  <c r="K66" i="21"/>
  <c r="L66" i="21"/>
  <c r="M66" i="21"/>
  <c r="I66" i="21"/>
  <c r="B17" i="16" l="1"/>
  <c r="B16" i="16"/>
  <c r="B10" i="16" l="1"/>
  <c r="AB34" i="22"/>
  <c r="AA34" i="22"/>
  <c r="Z34" i="22"/>
  <c r="Y34" i="22"/>
  <c r="X34" i="22"/>
  <c r="W34" i="22"/>
  <c r="V34" i="22"/>
  <c r="U34" i="22"/>
  <c r="S34" i="22"/>
  <c r="R34" i="22"/>
  <c r="Q34" i="22"/>
  <c r="P34" i="22"/>
  <c r="O34" i="22"/>
  <c r="N34" i="22"/>
  <c r="M34" i="22"/>
  <c r="L34" i="22"/>
  <c r="J34" i="22"/>
  <c r="I34" i="22"/>
  <c r="H34" i="22"/>
  <c r="G34" i="22"/>
  <c r="F34" i="22"/>
  <c r="E34" i="22"/>
  <c r="D34" i="22"/>
  <c r="C34" i="22"/>
  <c r="AB33" i="22"/>
  <c r="AA33" i="22"/>
  <c r="Z33" i="22"/>
  <c r="Y33" i="22"/>
  <c r="X33" i="22"/>
  <c r="W33" i="22"/>
  <c r="V33" i="22"/>
  <c r="U33" i="22"/>
  <c r="S33" i="22"/>
  <c r="R33" i="22"/>
  <c r="Q33" i="22"/>
  <c r="P33" i="22"/>
  <c r="O33" i="22"/>
  <c r="N33" i="22"/>
  <c r="M33" i="22"/>
  <c r="L33" i="22"/>
  <c r="J33" i="22"/>
  <c r="I33" i="22"/>
  <c r="H33" i="22"/>
  <c r="G33" i="22"/>
  <c r="F33" i="22"/>
  <c r="E33" i="22"/>
  <c r="D33" i="22"/>
  <c r="C33" i="22"/>
  <c r="AB32" i="22"/>
  <c r="AA32" i="22"/>
  <c r="Z32" i="22"/>
  <c r="Y32" i="22"/>
  <c r="X32" i="22"/>
  <c r="W32" i="22"/>
  <c r="V32" i="22"/>
  <c r="U32" i="22"/>
  <c r="S32" i="22"/>
  <c r="R32" i="22"/>
  <c r="Q32" i="22"/>
  <c r="P32" i="22"/>
  <c r="O32" i="22"/>
  <c r="N32" i="22"/>
  <c r="M32" i="22"/>
  <c r="L32" i="22"/>
  <c r="J32" i="22"/>
  <c r="I32" i="22"/>
  <c r="H32" i="22"/>
  <c r="G32" i="22"/>
  <c r="F32" i="22"/>
  <c r="E32" i="22"/>
  <c r="D32" i="22"/>
  <c r="C32" i="22"/>
  <c r="AB31" i="22"/>
  <c r="AA31" i="22"/>
  <c r="Z31" i="22"/>
  <c r="Y31" i="22"/>
  <c r="X31" i="22"/>
  <c r="W31" i="22"/>
  <c r="V31" i="22"/>
  <c r="U31" i="22"/>
  <c r="S31" i="22"/>
  <c r="R31" i="22"/>
  <c r="Q31" i="22"/>
  <c r="P31" i="22"/>
  <c r="O31" i="22"/>
  <c r="N31" i="22"/>
  <c r="M31" i="22"/>
  <c r="L31" i="22"/>
  <c r="J31" i="22"/>
  <c r="I31" i="22"/>
  <c r="H31" i="22"/>
  <c r="G31" i="22"/>
  <c r="AI43" i="22" s="1"/>
  <c r="F31" i="22"/>
  <c r="E31" i="22"/>
  <c r="D31" i="22"/>
  <c r="C31" i="22"/>
  <c r="AB30" i="22"/>
  <c r="AA30" i="22"/>
  <c r="Z30" i="22"/>
  <c r="Y30" i="22"/>
  <c r="X30" i="22"/>
  <c r="W30" i="22"/>
  <c r="V30" i="22"/>
  <c r="U30" i="22"/>
  <c r="S30" i="22"/>
  <c r="R30" i="22"/>
  <c r="Q30" i="22"/>
  <c r="P30" i="22"/>
  <c r="O30" i="22"/>
  <c r="N30" i="22"/>
  <c r="M30" i="22"/>
  <c r="L30" i="22"/>
  <c r="J30" i="22"/>
  <c r="I30" i="22"/>
  <c r="H30" i="22"/>
  <c r="G30" i="22"/>
  <c r="F30" i="22"/>
  <c r="E30" i="22"/>
  <c r="D30" i="22"/>
  <c r="C30" i="22"/>
  <c r="AB29" i="22"/>
  <c r="AA29" i="22"/>
  <c r="Z29" i="22"/>
  <c r="Y29" i="22"/>
  <c r="X29" i="22"/>
  <c r="W29" i="22"/>
  <c r="V29" i="22"/>
  <c r="U29" i="22"/>
  <c r="S29" i="22"/>
  <c r="R29" i="22"/>
  <c r="Q29" i="22"/>
  <c r="P29" i="22"/>
  <c r="O29" i="22"/>
  <c r="N29" i="22"/>
  <c r="M29" i="22"/>
  <c r="L29" i="22"/>
  <c r="J29" i="22"/>
  <c r="I29" i="22"/>
  <c r="H29" i="22"/>
  <c r="G29" i="22"/>
  <c r="F29" i="22"/>
  <c r="E29" i="22"/>
  <c r="D29" i="22"/>
  <c r="C29" i="22"/>
  <c r="Y26" i="22"/>
  <c r="U26" i="22"/>
  <c r="P26" i="22"/>
  <c r="L26" i="22"/>
  <c r="G26" i="22"/>
  <c r="C26" i="22"/>
  <c r="U25" i="22"/>
  <c r="L25" i="22"/>
  <c r="C25" i="22"/>
  <c r="AH42" i="22" l="1"/>
  <c r="AJ29" i="22"/>
  <c r="AI45" i="22"/>
  <c r="AJ30" i="22"/>
  <c r="AH44" i="22"/>
  <c r="AJ31" i="22"/>
  <c r="AI41" i="22"/>
  <c r="AJ33" i="22"/>
  <c r="AI42" i="22"/>
  <c r="AJ32" i="22"/>
  <c r="AJ34" i="22"/>
  <c r="AH46" i="22"/>
  <c r="AH43" i="22"/>
  <c r="AF44" i="22"/>
  <c r="AF45" i="22"/>
  <c r="AH45" i="22"/>
  <c r="AG44" i="22"/>
  <c r="AH32" i="22" s="1"/>
  <c r="AI44" i="22"/>
  <c r="AF43" i="22"/>
  <c r="AG46" i="22"/>
  <c r="AH34" i="22" s="1"/>
  <c r="L10" i="16" s="1"/>
  <c r="AI46" i="22"/>
  <c r="AE34" i="22"/>
  <c r="E10" i="16" s="1"/>
  <c r="AH41" i="22"/>
  <c r="AG42" i="22"/>
  <c r="AH30" i="22" s="1"/>
  <c r="AF41" i="22"/>
  <c r="AE30" i="22"/>
  <c r="AI30" i="22" s="1"/>
  <c r="AE31" i="22"/>
  <c r="AE32" i="22"/>
  <c r="AF42" i="22"/>
  <c r="AF46" i="22"/>
  <c r="AE33" i="22"/>
  <c r="AG41" i="22"/>
  <c r="AG43" i="22"/>
  <c r="AH31" i="22" s="1"/>
  <c r="AG45" i="22"/>
  <c r="AE29" i="22"/>
  <c r="AH33" i="22" l="1"/>
  <c r="AH29" i="22"/>
  <c r="AG34" i="22"/>
  <c r="J10" i="16" s="1"/>
  <c r="K10" i="16" s="1"/>
  <c r="M10" i="16" s="1"/>
  <c r="AI34" i="22"/>
  <c r="N10" i="16" s="1"/>
  <c r="O10" i="16" s="1"/>
  <c r="AF34" i="22"/>
  <c r="H10" i="16" s="1"/>
  <c r="I11" i="16" s="1"/>
  <c r="AF30" i="22"/>
  <c r="AG30" i="22"/>
  <c r="V35" i="22"/>
  <c r="M35" i="22"/>
  <c r="AG29" i="22"/>
  <c r="U35" i="22"/>
  <c r="S35" i="22"/>
  <c r="X35" i="22"/>
  <c r="O35" i="22"/>
  <c r="F35" i="22"/>
  <c r="AF29" i="22"/>
  <c r="W35" i="22"/>
  <c r="N35" i="22"/>
  <c r="E35" i="22"/>
  <c r="L35" i="22"/>
  <c r="AB35" i="22"/>
  <c r="J35" i="22"/>
  <c r="AA35" i="22"/>
  <c r="R35" i="22"/>
  <c r="I35" i="22"/>
  <c r="Z35" i="22"/>
  <c r="Q35" i="22"/>
  <c r="H35" i="22"/>
  <c r="Y35" i="22"/>
  <c r="P35" i="22"/>
  <c r="G35" i="22"/>
  <c r="AI29" i="22"/>
  <c r="D35" i="22"/>
  <c r="C35" i="22"/>
  <c r="A35" i="22"/>
  <c r="AC35" i="22" s="1"/>
  <c r="AI31" i="22"/>
  <c r="AF31" i="22"/>
  <c r="AG31" i="22"/>
  <c r="AF33" i="22"/>
  <c r="AI33" i="22"/>
  <c r="AG33" i="22"/>
  <c r="AF32" i="22"/>
  <c r="AI32" i="22"/>
  <c r="AG32" i="22"/>
  <c r="I10" i="16" l="1"/>
  <c r="G10" i="16"/>
  <c r="AF47" i="22"/>
  <c r="AE35" i="22"/>
  <c r="F10" i="16" s="1"/>
  <c r="AI47" i="22"/>
  <c r="AJ35" i="22"/>
  <c r="AH47" i="22"/>
  <c r="AG47" i="22"/>
  <c r="AH35" i="22" l="1"/>
  <c r="AG35" i="22"/>
  <c r="AF35" i="22"/>
  <c r="AI35" i="22"/>
  <c r="I48" i="17" l="1"/>
  <c r="B19" i="16" l="1"/>
  <c r="B18" i="16"/>
  <c r="AB39" i="8" l="1"/>
  <c r="AB38" i="8"/>
  <c r="AB37" i="8"/>
  <c r="AB36" i="8"/>
  <c r="AB35" i="8"/>
  <c r="AB34" i="8"/>
  <c r="AB33" i="8"/>
  <c r="AB32" i="8"/>
  <c r="AB14" i="8"/>
  <c r="AB15" i="8"/>
  <c r="AB16" i="8"/>
  <c r="AB17" i="8"/>
  <c r="AB18" i="8"/>
  <c r="AB19" i="8"/>
  <c r="AB20" i="8"/>
  <c r="AB13" i="8"/>
  <c r="AC32" i="8" l="1"/>
  <c r="AC13" i="8"/>
  <c r="AC36" i="8"/>
  <c r="AC17" i="8"/>
  <c r="B5" i="16" l="1"/>
  <c r="AA65" i="20"/>
  <c r="Z65" i="20"/>
  <c r="Y65" i="20"/>
  <c r="X65" i="20"/>
  <c r="AA64" i="20"/>
  <c r="Z64" i="20"/>
  <c r="Y64" i="20"/>
  <c r="X64" i="20"/>
  <c r="AA63" i="20"/>
  <c r="Z63" i="20"/>
  <c r="Y63" i="20"/>
  <c r="X63" i="20"/>
  <c r="AA62" i="20"/>
  <c r="Z62" i="20"/>
  <c r="Y62" i="20"/>
  <c r="X62" i="20"/>
  <c r="AA61" i="20"/>
  <c r="Z61" i="20"/>
  <c r="Y61" i="20"/>
  <c r="X61" i="20"/>
  <c r="AA60" i="20"/>
  <c r="Z60" i="20"/>
  <c r="Y60" i="20"/>
  <c r="X60" i="20"/>
  <c r="N65" i="20"/>
  <c r="M65" i="20"/>
  <c r="L65" i="20"/>
  <c r="K65" i="20"/>
  <c r="N64" i="20"/>
  <c r="M64" i="20"/>
  <c r="L64" i="20"/>
  <c r="K64" i="20"/>
  <c r="N63" i="20"/>
  <c r="M63" i="20"/>
  <c r="L63" i="20"/>
  <c r="K63" i="20"/>
  <c r="N62" i="20"/>
  <c r="M62" i="20"/>
  <c r="L62" i="20"/>
  <c r="K62" i="20"/>
  <c r="N61" i="20"/>
  <c r="M61" i="20"/>
  <c r="L61" i="20"/>
  <c r="K61" i="20"/>
  <c r="N60" i="20"/>
  <c r="M60" i="20"/>
  <c r="L60" i="20"/>
  <c r="K60" i="20"/>
  <c r="AA53" i="20"/>
  <c r="Z53" i="20"/>
  <c r="Y53" i="20"/>
  <c r="X53" i="20"/>
  <c r="AA52" i="20"/>
  <c r="Z52" i="20"/>
  <c r="Y52" i="20"/>
  <c r="X52" i="20"/>
  <c r="AA51" i="20"/>
  <c r="Z51" i="20"/>
  <c r="Y51" i="20"/>
  <c r="X51" i="20"/>
  <c r="AA50" i="20"/>
  <c r="Z50" i="20"/>
  <c r="Y50" i="20"/>
  <c r="X50" i="20"/>
  <c r="AA49" i="20"/>
  <c r="Z49" i="20"/>
  <c r="Y49" i="20"/>
  <c r="X49" i="20"/>
  <c r="AA48" i="20"/>
  <c r="Z48" i="20"/>
  <c r="Y48" i="20"/>
  <c r="X48" i="20"/>
  <c r="K48" i="20"/>
  <c r="L48" i="20"/>
  <c r="M48" i="20"/>
  <c r="N48" i="20"/>
  <c r="K49" i="20"/>
  <c r="L49" i="20"/>
  <c r="M49" i="20"/>
  <c r="N49" i="20"/>
  <c r="K50" i="20"/>
  <c r="L50" i="20"/>
  <c r="M50" i="20"/>
  <c r="N50" i="20"/>
  <c r="K51" i="20"/>
  <c r="L51" i="20"/>
  <c r="M51" i="20"/>
  <c r="N51" i="20"/>
  <c r="K52" i="20"/>
  <c r="L52" i="20"/>
  <c r="M52" i="20"/>
  <c r="N52" i="20"/>
  <c r="K53" i="20"/>
  <c r="L53" i="20"/>
  <c r="M53" i="20"/>
  <c r="N53" i="20"/>
  <c r="K57" i="20"/>
  <c r="P57" i="20"/>
  <c r="T57" i="20"/>
  <c r="X57" i="20"/>
  <c r="K45" i="20"/>
  <c r="P45" i="20"/>
  <c r="T45" i="20"/>
  <c r="X45" i="20"/>
  <c r="W65" i="20"/>
  <c r="V65" i="20"/>
  <c r="U65" i="20"/>
  <c r="T65" i="20"/>
  <c r="S65" i="20"/>
  <c r="R65" i="20"/>
  <c r="Q65" i="20"/>
  <c r="P65" i="20"/>
  <c r="J65" i="20"/>
  <c r="I65" i="20"/>
  <c r="H65" i="20"/>
  <c r="G65" i="20"/>
  <c r="F65" i="20"/>
  <c r="E65" i="20"/>
  <c r="D65" i="20"/>
  <c r="C65" i="20"/>
  <c r="W64" i="20"/>
  <c r="V64" i="20"/>
  <c r="U64" i="20"/>
  <c r="T64" i="20"/>
  <c r="S64" i="20"/>
  <c r="R64" i="20"/>
  <c r="Q64" i="20"/>
  <c r="P64" i="20"/>
  <c r="J64" i="20"/>
  <c r="I64" i="20"/>
  <c r="H64" i="20"/>
  <c r="G64" i="20"/>
  <c r="F64" i="20"/>
  <c r="E64" i="20"/>
  <c r="D64" i="20"/>
  <c r="C64" i="20"/>
  <c r="W63" i="20"/>
  <c r="V63" i="20"/>
  <c r="U63" i="20"/>
  <c r="T63" i="20"/>
  <c r="S63" i="20"/>
  <c r="R63" i="20"/>
  <c r="Q63" i="20"/>
  <c r="P63" i="20"/>
  <c r="J63" i="20"/>
  <c r="I63" i="20"/>
  <c r="H63" i="20"/>
  <c r="G63" i="20"/>
  <c r="F63" i="20"/>
  <c r="E63" i="20"/>
  <c r="D63" i="20"/>
  <c r="C63" i="20"/>
  <c r="W62" i="20"/>
  <c r="V62" i="20"/>
  <c r="U62" i="20"/>
  <c r="T62" i="20"/>
  <c r="S62" i="20"/>
  <c r="R62" i="20"/>
  <c r="Q62" i="20"/>
  <c r="P62" i="20"/>
  <c r="J62" i="20"/>
  <c r="I62" i="20"/>
  <c r="H62" i="20"/>
  <c r="G62" i="20"/>
  <c r="F62" i="20"/>
  <c r="E62" i="20"/>
  <c r="D62" i="20"/>
  <c r="C62" i="20"/>
  <c r="W61" i="20"/>
  <c r="V61" i="20"/>
  <c r="U61" i="20"/>
  <c r="T61" i="20"/>
  <c r="S61" i="20"/>
  <c r="R61" i="20"/>
  <c r="Q61" i="20"/>
  <c r="P61" i="20"/>
  <c r="J61" i="20"/>
  <c r="I61" i="20"/>
  <c r="H61" i="20"/>
  <c r="G61" i="20"/>
  <c r="F61" i="20"/>
  <c r="E61" i="20"/>
  <c r="D61" i="20"/>
  <c r="C61" i="20"/>
  <c r="W60" i="20"/>
  <c r="V60" i="20"/>
  <c r="U60" i="20"/>
  <c r="T60" i="20"/>
  <c r="S60" i="20"/>
  <c r="R60" i="20"/>
  <c r="Q60" i="20"/>
  <c r="P60" i="20"/>
  <c r="J60" i="20"/>
  <c r="I60" i="20"/>
  <c r="H60" i="20"/>
  <c r="G60" i="20"/>
  <c r="F60" i="20"/>
  <c r="E60" i="20"/>
  <c r="D60" i="20"/>
  <c r="C60" i="20"/>
  <c r="G57" i="20"/>
  <c r="C57" i="20"/>
  <c r="P56" i="20"/>
  <c r="C56" i="20"/>
  <c r="W53" i="20"/>
  <c r="V53" i="20"/>
  <c r="U53" i="20"/>
  <c r="T53" i="20"/>
  <c r="S53" i="20"/>
  <c r="R53" i="20"/>
  <c r="Q53" i="20"/>
  <c r="P53" i="20"/>
  <c r="J53" i="20"/>
  <c r="I53" i="20"/>
  <c r="H53" i="20"/>
  <c r="G53" i="20"/>
  <c r="F53" i="20"/>
  <c r="E53" i="20"/>
  <c r="D53" i="20"/>
  <c r="C53" i="20"/>
  <c r="W52" i="20"/>
  <c r="V52" i="20"/>
  <c r="U52" i="20"/>
  <c r="T52" i="20"/>
  <c r="S52" i="20"/>
  <c r="R52" i="20"/>
  <c r="Q52" i="20"/>
  <c r="P52" i="20"/>
  <c r="J52" i="20"/>
  <c r="I52" i="20"/>
  <c r="H52" i="20"/>
  <c r="G52" i="20"/>
  <c r="F52" i="20"/>
  <c r="E52" i="20"/>
  <c r="D52" i="20"/>
  <c r="C52" i="20"/>
  <c r="W51" i="20"/>
  <c r="V51" i="20"/>
  <c r="U51" i="20"/>
  <c r="T51" i="20"/>
  <c r="S51" i="20"/>
  <c r="R51" i="20"/>
  <c r="Q51" i="20"/>
  <c r="P51" i="20"/>
  <c r="J51" i="20"/>
  <c r="I51" i="20"/>
  <c r="H51" i="20"/>
  <c r="G51" i="20"/>
  <c r="F51" i="20"/>
  <c r="E51" i="20"/>
  <c r="D51" i="20"/>
  <c r="C51" i="20"/>
  <c r="W50" i="20"/>
  <c r="V50" i="20"/>
  <c r="U50" i="20"/>
  <c r="T50" i="20"/>
  <c r="S50" i="20"/>
  <c r="R50" i="20"/>
  <c r="Q50" i="20"/>
  <c r="P50" i="20"/>
  <c r="J50" i="20"/>
  <c r="I50" i="20"/>
  <c r="H50" i="20"/>
  <c r="G50" i="20"/>
  <c r="F50" i="20"/>
  <c r="E50" i="20"/>
  <c r="D50" i="20"/>
  <c r="C50" i="20"/>
  <c r="W49" i="20"/>
  <c r="V49" i="20"/>
  <c r="U49" i="20"/>
  <c r="T49" i="20"/>
  <c r="S49" i="20"/>
  <c r="R49" i="20"/>
  <c r="Q49" i="20"/>
  <c r="P49" i="20"/>
  <c r="J49" i="20"/>
  <c r="I49" i="20"/>
  <c r="H49" i="20"/>
  <c r="G49" i="20"/>
  <c r="F49" i="20"/>
  <c r="E49" i="20"/>
  <c r="D49" i="20"/>
  <c r="C49" i="20"/>
  <c r="W48" i="20"/>
  <c r="V48" i="20"/>
  <c r="U48" i="20"/>
  <c r="T48" i="20"/>
  <c r="S48" i="20"/>
  <c r="R48" i="20"/>
  <c r="Q48" i="20"/>
  <c r="P48" i="20"/>
  <c r="J48" i="20"/>
  <c r="I48" i="20"/>
  <c r="H48" i="20"/>
  <c r="G48" i="20"/>
  <c r="F48" i="20"/>
  <c r="E48" i="20"/>
  <c r="D48" i="20"/>
  <c r="C48" i="20"/>
  <c r="G45" i="20"/>
  <c r="C45" i="20"/>
  <c r="P44" i="20"/>
  <c r="C44" i="20"/>
  <c r="AH61" i="20" l="1"/>
  <c r="AH63" i="20"/>
  <c r="AH64" i="20"/>
  <c r="AE60" i="20"/>
  <c r="AH65" i="20"/>
  <c r="AH62" i="20"/>
  <c r="AH60" i="20"/>
  <c r="AG61" i="20"/>
  <c r="AF62" i="20"/>
  <c r="AG64" i="20"/>
  <c r="AF60" i="20"/>
  <c r="AF63" i="20"/>
  <c r="AF65" i="20"/>
  <c r="AD51" i="20"/>
  <c r="AE64" i="20"/>
  <c r="AG63" i="20"/>
  <c r="AE63" i="20"/>
  <c r="AF64" i="20"/>
  <c r="AD52" i="20"/>
  <c r="AE65" i="20"/>
  <c r="AE61" i="20"/>
  <c r="AE62" i="20"/>
  <c r="AG60" i="20"/>
  <c r="AG62" i="20"/>
  <c r="AD48" i="20"/>
  <c r="AD50" i="20"/>
  <c r="AF61" i="20"/>
  <c r="AG65" i="20"/>
  <c r="AD53" i="20"/>
  <c r="AD49" i="20"/>
  <c r="AF52" i="20" l="1"/>
  <c r="AG52" i="20"/>
  <c r="AG50" i="20"/>
  <c r="AH50" i="20"/>
  <c r="AH49" i="20"/>
  <c r="AG51" i="20"/>
  <c r="AG49" i="20"/>
  <c r="AG48" i="20"/>
  <c r="AH53" i="20"/>
  <c r="N5" i="16" s="1"/>
  <c r="E5" i="16"/>
  <c r="AH48" i="20"/>
  <c r="AE48" i="20"/>
  <c r="AF48" i="20"/>
  <c r="AG53" i="20"/>
  <c r="L5" i="16" s="1"/>
  <c r="Z66" i="20"/>
  <c r="X66" i="20"/>
  <c r="Y66" i="20"/>
  <c r="AF49" i="20"/>
  <c r="AA66" i="20"/>
  <c r="A66" i="20"/>
  <c r="M66" i="20"/>
  <c r="X54" i="20"/>
  <c r="L66" i="20"/>
  <c r="K66" i="20"/>
  <c r="N66" i="20"/>
  <c r="AA54" i="20"/>
  <c r="Z54" i="20"/>
  <c r="Y54" i="20"/>
  <c r="K54" i="20"/>
  <c r="L54" i="20"/>
  <c r="N54" i="20"/>
  <c r="M54" i="20"/>
  <c r="AH52" i="20"/>
  <c r="AE52" i="20"/>
  <c r="E54" i="20"/>
  <c r="AB54" i="20"/>
  <c r="G5" i="16" s="1"/>
  <c r="G16" i="16" s="1"/>
  <c r="U66" i="20"/>
  <c r="A54" i="20"/>
  <c r="T54" i="20"/>
  <c r="AE49" i="20"/>
  <c r="P54" i="20"/>
  <c r="D66" i="20"/>
  <c r="AD54" i="20"/>
  <c r="F5" i="16" s="1"/>
  <c r="I66" i="20"/>
  <c r="R66" i="20"/>
  <c r="V54" i="20"/>
  <c r="H54" i="20"/>
  <c r="W66" i="20"/>
  <c r="S54" i="20"/>
  <c r="S66" i="20"/>
  <c r="E66" i="20"/>
  <c r="I54" i="20"/>
  <c r="J66" i="20"/>
  <c r="F54" i="20"/>
  <c r="W54" i="20"/>
  <c r="P66" i="20"/>
  <c r="H66" i="20"/>
  <c r="AF50" i="20"/>
  <c r="AE50" i="20"/>
  <c r="AF51" i="20"/>
  <c r="AH51" i="20"/>
  <c r="AE51" i="20"/>
  <c r="U54" i="20"/>
  <c r="D54" i="20"/>
  <c r="F66" i="20"/>
  <c r="J54" i="20"/>
  <c r="C66" i="20"/>
  <c r="R54" i="20"/>
  <c r="Q54" i="20"/>
  <c r="AF53" i="20"/>
  <c r="J5" i="16" s="1"/>
  <c r="AE53" i="20"/>
  <c r="H5" i="16" s="1"/>
  <c r="G54" i="20"/>
  <c r="C54" i="20"/>
  <c r="Q66" i="20"/>
  <c r="G66" i="20"/>
  <c r="V66" i="20"/>
  <c r="T66" i="20"/>
  <c r="AH66" i="20" l="1"/>
  <c r="AH54" i="20" s="1"/>
  <c r="AE66" i="20"/>
  <c r="AE54" i="20" s="1"/>
  <c r="AG66" i="20"/>
  <c r="AF66" i="20"/>
  <c r="AF54" i="20" s="1"/>
  <c r="B12" i="16"/>
  <c r="B13" i="16"/>
  <c r="AB34" i="18"/>
  <c r="AA34" i="18"/>
  <c r="Z34" i="18"/>
  <c r="Y34" i="18"/>
  <c r="X34" i="18"/>
  <c r="W34" i="18"/>
  <c r="V34" i="18"/>
  <c r="U34" i="18"/>
  <c r="S34" i="18"/>
  <c r="R34" i="18"/>
  <c r="Q34" i="18"/>
  <c r="P34" i="18"/>
  <c r="O34" i="18"/>
  <c r="N34" i="18"/>
  <c r="M34" i="18"/>
  <c r="L34" i="18"/>
  <c r="J34" i="18"/>
  <c r="I34" i="18"/>
  <c r="H34" i="18"/>
  <c r="G34" i="18"/>
  <c r="F34" i="18"/>
  <c r="E34" i="18"/>
  <c r="D34" i="18"/>
  <c r="C34" i="18"/>
  <c r="AB33" i="18"/>
  <c r="AA33" i="18"/>
  <c r="Z33" i="18"/>
  <c r="Y33" i="18"/>
  <c r="X33" i="18"/>
  <c r="W33" i="18"/>
  <c r="V33" i="18"/>
  <c r="U33" i="18"/>
  <c r="S33" i="18"/>
  <c r="R33" i="18"/>
  <c r="Q33" i="18"/>
  <c r="P33" i="18"/>
  <c r="O33" i="18"/>
  <c r="N33" i="18"/>
  <c r="M33" i="18"/>
  <c r="L33" i="18"/>
  <c r="J33" i="18"/>
  <c r="I33" i="18"/>
  <c r="H33" i="18"/>
  <c r="G33" i="18"/>
  <c r="F33" i="18"/>
  <c r="E33" i="18"/>
  <c r="D33" i="18"/>
  <c r="C33" i="18"/>
  <c r="AB32" i="18"/>
  <c r="AA32" i="18"/>
  <c r="Z32" i="18"/>
  <c r="Y32" i="18"/>
  <c r="X32" i="18"/>
  <c r="W32" i="18"/>
  <c r="V32" i="18"/>
  <c r="U32" i="18"/>
  <c r="S32" i="18"/>
  <c r="R32" i="18"/>
  <c r="Q32" i="18"/>
  <c r="P32" i="18"/>
  <c r="O32" i="18"/>
  <c r="N32" i="18"/>
  <c r="M32" i="18"/>
  <c r="L32" i="18"/>
  <c r="J32" i="18"/>
  <c r="I32" i="18"/>
  <c r="H32" i="18"/>
  <c r="G32" i="18"/>
  <c r="F32" i="18"/>
  <c r="E32" i="18"/>
  <c r="D32" i="18"/>
  <c r="C32" i="18"/>
  <c r="AB31" i="18"/>
  <c r="AA31" i="18"/>
  <c r="Z31" i="18"/>
  <c r="Y31" i="18"/>
  <c r="X31" i="18"/>
  <c r="W31" i="18"/>
  <c r="V31" i="18"/>
  <c r="U31" i="18"/>
  <c r="S31" i="18"/>
  <c r="R31" i="18"/>
  <c r="Q31" i="18"/>
  <c r="P31" i="18"/>
  <c r="O31" i="18"/>
  <c r="N31" i="18"/>
  <c r="M31" i="18"/>
  <c r="L31" i="18"/>
  <c r="J31" i="18"/>
  <c r="I31" i="18"/>
  <c r="H31" i="18"/>
  <c r="G31" i="18"/>
  <c r="F31" i="18"/>
  <c r="E31" i="18"/>
  <c r="D31" i="18"/>
  <c r="C31" i="18"/>
  <c r="AB30" i="18"/>
  <c r="AA30" i="18"/>
  <c r="Z30" i="18"/>
  <c r="Y30" i="18"/>
  <c r="X30" i="18"/>
  <c r="W30" i="18"/>
  <c r="V30" i="18"/>
  <c r="U30" i="18"/>
  <c r="S30" i="18"/>
  <c r="R30" i="18"/>
  <c r="Q30" i="18"/>
  <c r="P30" i="18"/>
  <c r="O30" i="18"/>
  <c r="N30" i="18"/>
  <c r="M30" i="18"/>
  <c r="L30" i="18"/>
  <c r="J30" i="18"/>
  <c r="I30" i="18"/>
  <c r="H30" i="18"/>
  <c r="G30" i="18"/>
  <c r="F30" i="18"/>
  <c r="E30" i="18"/>
  <c r="D30" i="18"/>
  <c r="C30" i="18"/>
  <c r="AB29" i="18"/>
  <c r="AA29" i="18"/>
  <c r="Z29" i="18"/>
  <c r="Y29" i="18"/>
  <c r="X29" i="18"/>
  <c r="W29" i="18"/>
  <c r="V29" i="18"/>
  <c r="U29" i="18"/>
  <c r="S29" i="18"/>
  <c r="R29" i="18"/>
  <c r="Q29" i="18"/>
  <c r="P29" i="18"/>
  <c r="O29" i="18"/>
  <c r="N29" i="18"/>
  <c r="M29" i="18"/>
  <c r="L29" i="18"/>
  <c r="J29" i="18"/>
  <c r="I29" i="18"/>
  <c r="H29" i="18"/>
  <c r="G29" i="18"/>
  <c r="F29" i="18"/>
  <c r="E29" i="18"/>
  <c r="D29" i="18"/>
  <c r="C29" i="18"/>
  <c r="Y26" i="18"/>
  <c r="U26" i="18"/>
  <c r="P26" i="18"/>
  <c r="L26" i="18"/>
  <c r="G26" i="18"/>
  <c r="C26" i="18"/>
  <c r="U25" i="18"/>
  <c r="L25" i="18"/>
  <c r="C25" i="18"/>
  <c r="AA65" i="17"/>
  <c r="Z65" i="17"/>
  <c r="Y65" i="17"/>
  <c r="X65" i="17"/>
  <c r="W65" i="17"/>
  <c r="V65" i="17"/>
  <c r="U65" i="17"/>
  <c r="T65" i="17"/>
  <c r="S65" i="17"/>
  <c r="R65" i="17"/>
  <c r="Q65" i="17"/>
  <c r="P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X57" i="17"/>
  <c r="T57" i="17"/>
  <c r="P57" i="17"/>
  <c r="K57" i="17"/>
  <c r="G57" i="17"/>
  <c r="C57" i="17"/>
  <c r="P56" i="17"/>
  <c r="C56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N48" i="17"/>
  <c r="M48" i="17"/>
  <c r="L48" i="17"/>
  <c r="K48" i="17"/>
  <c r="J48" i="17"/>
  <c r="H48" i="17"/>
  <c r="G48" i="17"/>
  <c r="F48" i="17"/>
  <c r="E48" i="17"/>
  <c r="D48" i="17"/>
  <c r="C48" i="17"/>
  <c r="X45" i="17"/>
  <c r="T45" i="17"/>
  <c r="P45" i="17"/>
  <c r="K45" i="17"/>
  <c r="G45" i="17"/>
  <c r="C45" i="17"/>
  <c r="P44" i="17"/>
  <c r="C44" i="17"/>
  <c r="AG54" i="20" l="1"/>
  <c r="AI44" i="18"/>
  <c r="AG62" i="17"/>
  <c r="AI42" i="18"/>
  <c r="AI46" i="18"/>
  <c r="AG61" i="17"/>
  <c r="AI41" i="18"/>
  <c r="AI45" i="18"/>
  <c r="AG41" i="18"/>
  <c r="AG43" i="18"/>
  <c r="AJ44" i="18"/>
  <c r="AI43" i="18"/>
  <c r="AH44" i="18"/>
  <c r="AG45" i="18"/>
  <c r="AH33" i="18" s="1"/>
  <c r="AJ45" i="18"/>
  <c r="AH42" i="18"/>
  <c r="AH45" i="18"/>
  <c r="AH46" i="18"/>
  <c r="AJ41" i="18"/>
  <c r="AF41" i="18"/>
  <c r="AE30" i="18"/>
  <c r="AJ42" i="18"/>
  <c r="AE31" i="18"/>
  <c r="AF44" i="18"/>
  <c r="AE33" i="18"/>
  <c r="AE34" i="18"/>
  <c r="AJ46" i="18"/>
  <c r="AF43" i="18"/>
  <c r="AK43" i="18"/>
  <c r="AJ43" i="18"/>
  <c r="AE29" i="18"/>
  <c r="AK41" i="18"/>
  <c r="AF42" i="18"/>
  <c r="AE32" i="18"/>
  <c r="AH41" i="18"/>
  <c r="AK42" i="18"/>
  <c r="AG44" i="18"/>
  <c r="AH32" i="18" s="1"/>
  <c r="AK46" i="18"/>
  <c r="AH43" i="18"/>
  <c r="AG42" i="18"/>
  <c r="AK44" i="18"/>
  <c r="AG46" i="18"/>
  <c r="AF45" i="18"/>
  <c r="AK45" i="18"/>
  <c r="AF46" i="18"/>
  <c r="AH61" i="17"/>
  <c r="AH65" i="17"/>
  <c r="AD48" i="17"/>
  <c r="AE61" i="17"/>
  <c r="AD50" i="17"/>
  <c r="AE63" i="17"/>
  <c r="AE64" i="17"/>
  <c r="AE65" i="17"/>
  <c r="AG63" i="17"/>
  <c r="AF64" i="17"/>
  <c r="AG65" i="17"/>
  <c r="AF65" i="17"/>
  <c r="AE60" i="17"/>
  <c r="AH60" i="17"/>
  <c r="AH62" i="17"/>
  <c r="AH64" i="17"/>
  <c r="AH63" i="17"/>
  <c r="AG60" i="17"/>
  <c r="AD52" i="17"/>
  <c r="AD49" i="17"/>
  <c r="AE62" i="17"/>
  <c r="AD53" i="17"/>
  <c r="E12" i="16" s="1"/>
  <c r="AF61" i="17"/>
  <c r="AF63" i="17"/>
  <c r="AF60" i="17"/>
  <c r="AF62" i="17"/>
  <c r="AD51" i="17"/>
  <c r="AG64" i="17"/>
  <c r="AH30" i="18" l="1"/>
  <c r="AJ33" i="18"/>
  <c r="AH34" i="18"/>
  <c r="L13" i="16" s="1"/>
  <c r="AI31" i="18"/>
  <c r="AH29" i="18"/>
  <c r="AG30" i="18"/>
  <c r="AI34" i="18"/>
  <c r="AH31" i="18"/>
  <c r="AG52" i="17"/>
  <c r="AG50" i="17"/>
  <c r="AF50" i="17"/>
  <c r="AG51" i="17"/>
  <c r="AG49" i="17"/>
  <c r="AG53" i="17"/>
  <c r="L12" i="16" s="1"/>
  <c r="AG48" i="17"/>
  <c r="AE48" i="17"/>
  <c r="AK33" i="18"/>
  <c r="AG31" i="18"/>
  <c r="AJ31" i="18"/>
  <c r="AI33" i="18"/>
  <c r="AF48" i="17"/>
  <c r="AF33" i="18"/>
  <c r="AG33" i="18"/>
  <c r="AH48" i="17"/>
  <c r="N54" i="17"/>
  <c r="AK31" i="18"/>
  <c r="AF34" i="18"/>
  <c r="H13" i="16" s="1"/>
  <c r="E13" i="16"/>
  <c r="AK34" i="18"/>
  <c r="AJ34" i="18"/>
  <c r="O12" i="16"/>
  <c r="AF31" i="18"/>
  <c r="AF30" i="18"/>
  <c r="AJ30" i="18"/>
  <c r="AG34" i="18"/>
  <c r="J13" i="16" s="1"/>
  <c r="AK30" i="18"/>
  <c r="AI30" i="18"/>
  <c r="V35" i="18"/>
  <c r="M35" i="18"/>
  <c r="D35" i="18"/>
  <c r="AF29" i="18"/>
  <c r="H35" i="18"/>
  <c r="G35" i="18"/>
  <c r="U35" i="18"/>
  <c r="L35" i="18"/>
  <c r="C35" i="18"/>
  <c r="I35" i="18"/>
  <c r="AB35" i="18"/>
  <c r="S35" i="18"/>
  <c r="J35" i="18"/>
  <c r="A35" i="18"/>
  <c r="AC35" i="18" s="1"/>
  <c r="G13" i="16" s="1"/>
  <c r="AG29" i="18"/>
  <c r="X35" i="18"/>
  <c r="O35" i="18"/>
  <c r="F35" i="18"/>
  <c r="AK29" i="18"/>
  <c r="W35" i="18"/>
  <c r="N35" i="18"/>
  <c r="E35" i="18"/>
  <c r="AJ29" i="18"/>
  <c r="AI29" i="18"/>
  <c r="AA35" i="18"/>
  <c r="R35" i="18"/>
  <c r="Z35" i="18"/>
  <c r="Q35" i="18"/>
  <c r="Y35" i="18"/>
  <c r="P35" i="18"/>
  <c r="AK32" i="18"/>
  <c r="AJ32" i="18"/>
  <c r="AF32" i="18"/>
  <c r="AI32" i="18"/>
  <c r="AG32" i="18"/>
  <c r="AE50" i="17"/>
  <c r="AH50" i="17"/>
  <c r="N66" i="17"/>
  <c r="H66" i="17"/>
  <c r="K66" i="17"/>
  <c r="Q54" i="17"/>
  <c r="E66" i="17"/>
  <c r="AA66" i="17"/>
  <c r="T66" i="17"/>
  <c r="A54" i="17"/>
  <c r="M66" i="17"/>
  <c r="E54" i="17"/>
  <c r="T54" i="17"/>
  <c r="C66" i="17"/>
  <c r="Y54" i="17"/>
  <c r="M54" i="17"/>
  <c r="X66" i="17"/>
  <c r="AB54" i="17"/>
  <c r="G12" i="16" s="1"/>
  <c r="D54" i="17"/>
  <c r="I66" i="17"/>
  <c r="W66" i="17"/>
  <c r="G54" i="17"/>
  <c r="L54" i="17"/>
  <c r="H54" i="17"/>
  <c r="P54" i="17"/>
  <c r="A66" i="17"/>
  <c r="L66" i="17"/>
  <c r="U54" i="17"/>
  <c r="S66" i="17"/>
  <c r="Q66" i="17"/>
  <c r="C54" i="17"/>
  <c r="R54" i="17"/>
  <c r="AA54" i="17"/>
  <c r="K54" i="17"/>
  <c r="F66" i="17"/>
  <c r="V54" i="17"/>
  <c r="Z54" i="17"/>
  <c r="D66" i="17"/>
  <c r="I54" i="17"/>
  <c r="AH53" i="17"/>
  <c r="AF53" i="17"/>
  <c r="J12" i="16" s="1"/>
  <c r="K12" i="16" s="1"/>
  <c r="AE53" i="17"/>
  <c r="H12" i="16" s="1"/>
  <c r="I12" i="16" s="1"/>
  <c r="R66" i="17"/>
  <c r="F54" i="17"/>
  <c r="X54" i="17"/>
  <c r="S54" i="17"/>
  <c r="U66" i="17"/>
  <c r="AD54" i="17"/>
  <c r="F12" i="16" s="1"/>
  <c r="J54" i="17"/>
  <c r="W54" i="17"/>
  <c r="AE51" i="17"/>
  <c r="AH51" i="17"/>
  <c r="AF51" i="17"/>
  <c r="G66" i="17"/>
  <c r="J66" i="17"/>
  <c r="P66" i="17"/>
  <c r="AE49" i="17"/>
  <c r="AF49" i="17"/>
  <c r="AH49" i="17"/>
  <c r="AH52" i="17"/>
  <c r="AF52" i="17"/>
  <c r="AE52" i="17"/>
  <c r="Y66" i="17"/>
  <c r="V66" i="17"/>
  <c r="Z66" i="17"/>
  <c r="B7" i="16"/>
  <c r="B15" i="16"/>
  <c r="B11" i="16"/>
  <c r="B14" i="16"/>
  <c r="B9" i="16"/>
  <c r="B8" i="16"/>
  <c r="B6" i="16"/>
  <c r="M12" i="16" l="1"/>
  <c r="K13" i="16"/>
  <c r="M13" i="16" s="1"/>
  <c r="O13" i="16"/>
  <c r="I13" i="16"/>
  <c r="AH47" i="18"/>
  <c r="AG47" i="18"/>
  <c r="AI47" i="18"/>
  <c r="AK47" i="18"/>
  <c r="AE35" i="18"/>
  <c r="F13" i="16" s="1"/>
  <c r="AF47" i="18"/>
  <c r="AJ47" i="18"/>
  <c r="AE66" i="17"/>
  <c r="AE54" i="17" s="1"/>
  <c r="AH66" i="17"/>
  <c r="AH54" i="17" s="1"/>
  <c r="AG66" i="17"/>
  <c r="AF66" i="17"/>
  <c r="AH35" i="18" l="1"/>
  <c r="AG54" i="17"/>
  <c r="AF54" i="17"/>
  <c r="AK35" i="18"/>
  <c r="AG35" i="18"/>
  <c r="AF35" i="18"/>
  <c r="AJ35" i="18"/>
  <c r="AI35" i="18"/>
  <c r="G26" i="10" l="1"/>
  <c r="AE26" i="10" s="1"/>
  <c r="AB25" i="10"/>
  <c r="N25" i="10"/>
  <c r="AH25" i="10" s="1"/>
  <c r="C28" i="11"/>
  <c r="AC28" i="11" s="1"/>
  <c r="C27" i="11"/>
  <c r="AC27" i="11" s="1"/>
  <c r="G26" i="11"/>
  <c r="AE26" i="11" s="1"/>
  <c r="N25" i="11"/>
  <c r="AH25" i="11" s="1"/>
  <c r="B25" i="11"/>
  <c r="AB25" i="11" s="1"/>
  <c r="AA65" i="13"/>
  <c r="Z65" i="13"/>
  <c r="Y65" i="13"/>
  <c r="X65" i="13"/>
  <c r="W65" i="13"/>
  <c r="V65" i="13"/>
  <c r="U65" i="13"/>
  <c r="T65" i="13"/>
  <c r="S65" i="13"/>
  <c r="R65" i="13"/>
  <c r="Q65" i="13"/>
  <c r="P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X57" i="13"/>
  <c r="T57" i="13"/>
  <c r="P57" i="13"/>
  <c r="K57" i="13"/>
  <c r="G57" i="13"/>
  <c r="C57" i="13"/>
  <c r="P56" i="13"/>
  <c r="C56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X45" i="13"/>
  <c r="T45" i="13"/>
  <c r="P45" i="13"/>
  <c r="K45" i="13"/>
  <c r="G45" i="13"/>
  <c r="C45" i="13"/>
  <c r="P44" i="13"/>
  <c r="C44" i="13"/>
  <c r="AB34" i="12"/>
  <c r="AA34" i="12"/>
  <c r="Z34" i="12"/>
  <c r="Y34" i="12"/>
  <c r="X34" i="12"/>
  <c r="W34" i="12"/>
  <c r="V34" i="12"/>
  <c r="U34" i="12"/>
  <c r="S34" i="12"/>
  <c r="R34" i="12"/>
  <c r="Q34" i="12"/>
  <c r="P34" i="12"/>
  <c r="O34" i="12"/>
  <c r="N34" i="12"/>
  <c r="M34" i="12"/>
  <c r="L34" i="12"/>
  <c r="J34" i="12"/>
  <c r="I34" i="12"/>
  <c r="H34" i="12"/>
  <c r="G34" i="12"/>
  <c r="F34" i="12"/>
  <c r="E34" i="12"/>
  <c r="D34" i="12"/>
  <c r="C34" i="12"/>
  <c r="AB33" i="12"/>
  <c r="AA33" i="12"/>
  <c r="Z33" i="12"/>
  <c r="Y33" i="12"/>
  <c r="X33" i="12"/>
  <c r="W33" i="12"/>
  <c r="V33" i="12"/>
  <c r="U33" i="12"/>
  <c r="S33" i="12"/>
  <c r="R33" i="12"/>
  <c r="Q33" i="12"/>
  <c r="P33" i="12"/>
  <c r="O33" i="12"/>
  <c r="N33" i="12"/>
  <c r="M33" i="12"/>
  <c r="L33" i="12"/>
  <c r="J33" i="12"/>
  <c r="I33" i="12"/>
  <c r="H33" i="12"/>
  <c r="G33" i="12"/>
  <c r="F33" i="12"/>
  <c r="E33" i="12"/>
  <c r="D33" i="12"/>
  <c r="C33" i="12"/>
  <c r="AB32" i="12"/>
  <c r="AA32" i="12"/>
  <c r="Z32" i="12"/>
  <c r="Y32" i="12"/>
  <c r="X32" i="12"/>
  <c r="W32" i="12"/>
  <c r="V32" i="12"/>
  <c r="U32" i="12"/>
  <c r="S32" i="12"/>
  <c r="R32" i="12"/>
  <c r="Q32" i="12"/>
  <c r="P32" i="12"/>
  <c r="O32" i="12"/>
  <c r="N32" i="12"/>
  <c r="M32" i="12"/>
  <c r="L32" i="12"/>
  <c r="J32" i="12"/>
  <c r="I32" i="12"/>
  <c r="H32" i="12"/>
  <c r="G32" i="12"/>
  <c r="F32" i="12"/>
  <c r="E32" i="12"/>
  <c r="D32" i="12"/>
  <c r="C32" i="12"/>
  <c r="AB31" i="12"/>
  <c r="AA31" i="12"/>
  <c r="Z31" i="12"/>
  <c r="Y31" i="12"/>
  <c r="X31" i="12"/>
  <c r="W31" i="12"/>
  <c r="V31" i="12"/>
  <c r="U31" i="12"/>
  <c r="S31" i="12"/>
  <c r="R31" i="12"/>
  <c r="Q31" i="12"/>
  <c r="P31" i="12"/>
  <c r="O31" i="12"/>
  <c r="N31" i="12"/>
  <c r="M31" i="12"/>
  <c r="L31" i="12"/>
  <c r="J31" i="12"/>
  <c r="I31" i="12"/>
  <c r="H31" i="12"/>
  <c r="G31" i="12"/>
  <c r="F31" i="12"/>
  <c r="E31" i="12"/>
  <c r="D31" i="12"/>
  <c r="C31" i="12"/>
  <c r="AB30" i="12"/>
  <c r="AA30" i="12"/>
  <c r="Z30" i="12"/>
  <c r="Y30" i="12"/>
  <c r="X30" i="12"/>
  <c r="W30" i="12"/>
  <c r="V30" i="12"/>
  <c r="U30" i="12"/>
  <c r="S30" i="12"/>
  <c r="R30" i="12"/>
  <c r="Q30" i="12"/>
  <c r="P30" i="12"/>
  <c r="O30" i="12"/>
  <c r="N30" i="12"/>
  <c r="M30" i="12"/>
  <c r="L30" i="12"/>
  <c r="J30" i="12"/>
  <c r="I30" i="12"/>
  <c r="H30" i="12"/>
  <c r="G30" i="12"/>
  <c r="F30" i="12"/>
  <c r="E30" i="12"/>
  <c r="D30" i="12"/>
  <c r="C30" i="12"/>
  <c r="AB29" i="12"/>
  <c r="AA29" i="12"/>
  <c r="Z29" i="12"/>
  <c r="Y29" i="12"/>
  <c r="X29" i="12"/>
  <c r="W29" i="12"/>
  <c r="V29" i="12"/>
  <c r="U29" i="12"/>
  <c r="S29" i="12"/>
  <c r="R29" i="12"/>
  <c r="Q29" i="12"/>
  <c r="P29" i="12"/>
  <c r="O29" i="12"/>
  <c r="N29" i="12"/>
  <c r="M29" i="12"/>
  <c r="L29" i="12"/>
  <c r="J29" i="12"/>
  <c r="I29" i="12"/>
  <c r="H29" i="12"/>
  <c r="G29" i="12"/>
  <c r="F29" i="12"/>
  <c r="E29" i="12"/>
  <c r="D29" i="12"/>
  <c r="C29" i="12"/>
  <c r="Y26" i="12"/>
  <c r="U26" i="12"/>
  <c r="P26" i="12"/>
  <c r="L26" i="12"/>
  <c r="G26" i="12"/>
  <c r="C26" i="12"/>
  <c r="U25" i="12"/>
  <c r="L25" i="12"/>
  <c r="C25" i="12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W33" i="11"/>
  <c r="S33" i="11"/>
  <c r="O33" i="11"/>
  <c r="K33" i="11"/>
  <c r="G33" i="11"/>
  <c r="C33" i="11"/>
  <c r="S32" i="11"/>
  <c r="K32" i="11"/>
  <c r="C32" i="11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W33" i="10"/>
  <c r="S33" i="10"/>
  <c r="O33" i="10"/>
  <c r="K33" i="10"/>
  <c r="G33" i="10"/>
  <c r="C33" i="10"/>
  <c r="C28" i="10"/>
  <c r="AC28" i="10" s="1"/>
  <c r="C27" i="10"/>
  <c r="AC27" i="10" s="1"/>
  <c r="B25" i="10"/>
  <c r="AD49" i="11" l="1"/>
  <c r="AD50" i="11"/>
  <c r="AD53" i="11"/>
  <c r="AC36" i="10"/>
  <c r="AC40" i="10"/>
  <c r="AF52" i="10"/>
  <c r="AE52" i="10"/>
  <c r="AF40" i="10" s="1"/>
  <c r="AC39" i="10"/>
  <c r="AE48" i="10"/>
  <c r="AF36" i="10" s="1"/>
  <c r="AF48" i="10"/>
  <c r="AD48" i="10"/>
  <c r="AD51" i="10"/>
  <c r="AD52" i="10"/>
  <c r="AE51" i="10"/>
  <c r="AF39" i="10" s="1"/>
  <c r="AF51" i="10"/>
  <c r="AI51" i="11"/>
  <c r="AD51" i="11"/>
  <c r="AD52" i="11"/>
  <c r="AI52" i="11"/>
  <c r="AE48" i="11"/>
  <c r="AF48" i="11"/>
  <c r="AF51" i="11"/>
  <c r="AE51" i="11"/>
  <c r="AF39" i="11" s="1"/>
  <c r="AF52" i="11"/>
  <c r="AE52" i="11"/>
  <c r="AF40" i="11" s="1"/>
  <c r="AD48" i="11"/>
  <c r="AI48" i="11"/>
  <c r="AH52" i="11"/>
  <c r="AH48" i="11"/>
  <c r="AG48" i="11"/>
  <c r="AG52" i="11"/>
  <c r="AJ64" i="13"/>
  <c r="AE64" i="13"/>
  <c r="AH64" i="13"/>
  <c r="AH60" i="13"/>
  <c r="AG60" i="13"/>
  <c r="AF60" i="13"/>
  <c r="AG63" i="13"/>
  <c r="AF63" i="13"/>
  <c r="AG64" i="13"/>
  <c r="AF64" i="13"/>
  <c r="AI60" i="13"/>
  <c r="AI63" i="13"/>
  <c r="AI64" i="13"/>
  <c r="AE60" i="13"/>
  <c r="AJ60" i="13"/>
  <c r="AJ63" i="13"/>
  <c r="AE63" i="13"/>
  <c r="AH63" i="13"/>
  <c r="AF41" i="12"/>
  <c r="AK41" i="12"/>
  <c r="AJ41" i="12"/>
  <c r="AF44" i="12"/>
  <c r="AK44" i="12"/>
  <c r="AJ44" i="12"/>
  <c r="AF45" i="12"/>
  <c r="AK45" i="12"/>
  <c r="AJ45" i="12"/>
  <c r="AG41" i="12"/>
  <c r="AH41" i="12"/>
  <c r="AH45" i="12"/>
  <c r="AG45" i="12"/>
  <c r="AH33" i="12" s="1"/>
  <c r="AG44" i="12"/>
  <c r="AH44" i="12"/>
  <c r="AI41" i="12"/>
  <c r="AI42" i="12"/>
  <c r="AI43" i="12"/>
  <c r="AI44" i="12"/>
  <c r="AI45" i="12"/>
  <c r="AI46" i="12"/>
  <c r="AJ42" i="12"/>
  <c r="AJ43" i="12"/>
  <c r="AJ46" i="12"/>
  <c r="AD53" i="10"/>
  <c r="AH42" i="12"/>
  <c r="AG42" i="12"/>
  <c r="AH43" i="12"/>
  <c r="AG43" i="12"/>
  <c r="AH46" i="12"/>
  <c r="AG46" i="12"/>
  <c r="AF42" i="12"/>
  <c r="AK42" i="12"/>
  <c r="AK43" i="12"/>
  <c r="AF43" i="12"/>
  <c r="AK46" i="12"/>
  <c r="AF46" i="12"/>
  <c r="AD49" i="10"/>
  <c r="AD50" i="10"/>
  <c r="AF49" i="10"/>
  <c r="AE49" i="10"/>
  <c r="AF37" i="10" s="1"/>
  <c r="AF50" i="10"/>
  <c r="AE50" i="10"/>
  <c r="AF38" i="10" s="1"/>
  <c r="AF53" i="10"/>
  <c r="AE53" i="10"/>
  <c r="AF41" i="10" s="1"/>
  <c r="AJ61" i="13"/>
  <c r="AE61" i="13"/>
  <c r="AH62" i="13"/>
  <c r="AJ62" i="13"/>
  <c r="AE62" i="13"/>
  <c r="AJ65" i="13"/>
  <c r="AE65" i="13"/>
  <c r="AC38" i="10"/>
  <c r="AH49" i="11"/>
  <c r="AF61" i="13"/>
  <c r="AG61" i="13"/>
  <c r="AG62" i="13"/>
  <c r="AF62" i="13"/>
  <c r="AF65" i="13"/>
  <c r="AG65" i="13"/>
  <c r="AF49" i="11"/>
  <c r="AE49" i="11"/>
  <c r="AF37" i="11" s="1"/>
  <c r="AE50" i="11"/>
  <c r="AF38" i="11" s="1"/>
  <c r="AF50" i="11"/>
  <c r="AE53" i="11"/>
  <c r="AF41" i="11" s="1"/>
  <c r="L7" i="16" s="1"/>
  <c r="AF53" i="11"/>
  <c r="AC37" i="10"/>
  <c r="AH50" i="11"/>
  <c r="AH53" i="11"/>
  <c r="AI61" i="13"/>
  <c r="AI62" i="13"/>
  <c r="AI65" i="13"/>
  <c r="AG51" i="11"/>
  <c r="AH51" i="11"/>
  <c r="AG53" i="11"/>
  <c r="AI53" i="11"/>
  <c r="AG49" i="11"/>
  <c r="AI49" i="11"/>
  <c r="AG50" i="11"/>
  <c r="AI50" i="11"/>
  <c r="AH61" i="13"/>
  <c r="AH65" i="13"/>
  <c r="AE33" i="12"/>
  <c r="AD48" i="13"/>
  <c r="AD50" i="13"/>
  <c r="AD51" i="13"/>
  <c r="AD52" i="13"/>
  <c r="AE31" i="12"/>
  <c r="AE32" i="12"/>
  <c r="AD49" i="13"/>
  <c r="AD53" i="13"/>
  <c r="E11" i="16" s="1"/>
  <c r="AE30" i="12"/>
  <c r="AE34" i="12"/>
  <c r="E14" i="16" s="1"/>
  <c r="AE29" i="12"/>
  <c r="AC41" i="11"/>
  <c r="E7" i="16" s="1"/>
  <c r="AC36" i="11"/>
  <c r="AC37" i="11"/>
  <c r="AC38" i="11"/>
  <c r="AC39" i="11"/>
  <c r="AC40" i="11"/>
  <c r="AC41" i="10"/>
  <c r="O11" i="16" l="1"/>
  <c r="AH34" i="12"/>
  <c r="L14" i="16" s="1"/>
  <c r="AH32" i="12"/>
  <c r="AH29" i="12"/>
  <c r="AG48" i="13"/>
  <c r="AG52" i="13"/>
  <c r="AG51" i="13"/>
  <c r="O7" i="16"/>
  <c r="K7" i="16"/>
  <c r="M7" i="16" s="1"/>
  <c r="I7" i="16"/>
  <c r="AH30" i="12"/>
  <c r="AH31" i="12"/>
  <c r="AF36" i="11"/>
  <c r="AG53" i="13"/>
  <c r="L11" i="16" s="1"/>
  <c r="AG50" i="13"/>
  <c r="AG49" i="13"/>
  <c r="AJ53" i="13"/>
  <c r="AD39" i="10"/>
  <c r="AE39" i="10"/>
  <c r="AE40" i="10"/>
  <c r="AD40" i="10"/>
  <c r="AE36" i="10"/>
  <c r="AD36" i="10"/>
  <c r="AI40" i="11"/>
  <c r="AE40" i="11"/>
  <c r="AH40" i="11"/>
  <c r="AG40" i="11"/>
  <c r="AD40" i="11"/>
  <c r="AE48" i="13"/>
  <c r="AJ48" i="13"/>
  <c r="AF48" i="13"/>
  <c r="AH48" i="13"/>
  <c r="AI48" i="13"/>
  <c r="AI50" i="13"/>
  <c r="AJ50" i="13"/>
  <c r="AJ49" i="13"/>
  <c r="AI52" i="13"/>
  <c r="AE52" i="13"/>
  <c r="AJ52" i="13"/>
  <c r="AF52" i="13"/>
  <c r="AH52" i="13"/>
  <c r="AJ51" i="13"/>
  <c r="AF51" i="13"/>
  <c r="AI51" i="13"/>
  <c r="AH51" i="13"/>
  <c r="AE51" i="13"/>
  <c r="AJ29" i="12"/>
  <c r="AF29" i="12"/>
  <c r="AK29" i="12"/>
  <c r="AG29" i="12"/>
  <c r="AI29" i="12"/>
  <c r="AK32" i="12"/>
  <c r="AI32" i="12"/>
  <c r="AG32" i="12"/>
  <c r="AF32" i="12"/>
  <c r="AJ32" i="12"/>
  <c r="AG33" i="12"/>
  <c r="AK33" i="12"/>
  <c r="AF33" i="12"/>
  <c r="AI33" i="12"/>
  <c r="AJ33" i="12"/>
  <c r="AE38" i="10"/>
  <c r="AD38" i="10"/>
  <c r="AE37" i="10"/>
  <c r="AD37" i="10"/>
  <c r="AE41" i="10"/>
  <c r="AD41" i="10"/>
  <c r="AJ34" i="12"/>
  <c r="AG34" i="12"/>
  <c r="AF34" i="12"/>
  <c r="AK34" i="12"/>
  <c r="AI34" i="12"/>
  <c r="AE49" i="13"/>
  <c r="AH49" i="13"/>
  <c r="AI49" i="13"/>
  <c r="AF49" i="13"/>
  <c r="AG31" i="12"/>
  <c r="AJ31" i="12"/>
  <c r="AF31" i="12"/>
  <c r="AI31" i="12"/>
  <c r="AK31" i="12"/>
  <c r="AJ30" i="12"/>
  <c r="AI30" i="12"/>
  <c r="AG30" i="12"/>
  <c r="AF30" i="12"/>
  <c r="AK30" i="12"/>
  <c r="AF50" i="13"/>
  <c r="AE50" i="13"/>
  <c r="AH50" i="13"/>
  <c r="AE53" i="13"/>
  <c r="H11" i="16" s="1"/>
  <c r="AI53" i="13"/>
  <c r="AH53" i="13"/>
  <c r="AF53" i="13"/>
  <c r="J11" i="16" s="1"/>
  <c r="K11" i="16" s="1"/>
  <c r="AI39" i="11"/>
  <c r="AH39" i="11"/>
  <c r="AG39" i="11"/>
  <c r="AE39" i="11"/>
  <c r="AD39" i="11"/>
  <c r="AI38" i="11"/>
  <c r="AH38" i="11"/>
  <c r="AG38" i="11"/>
  <c r="AE38" i="11"/>
  <c r="AD38" i="11"/>
  <c r="AI37" i="11"/>
  <c r="AG37" i="11"/>
  <c r="AH37" i="11"/>
  <c r="AE37" i="11"/>
  <c r="AD37" i="11"/>
  <c r="AI41" i="11"/>
  <c r="AH41" i="11"/>
  <c r="AG41" i="11"/>
  <c r="N7" i="16" s="1"/>
  <c r="AD41" i="11"/>
  <c r="H7" i="16" s="1"/>
  <c r="AE41" i="11"/>
  <c r="J7" i="16" s="1"/>
  <c r="AH36" i="11"/>
  <c r="AE36" i="11"/>
  <c r="AG36" i="11"/>
  <c r="AD36" i="11"/>
  <c r="AI36" i="11"/>
  <c r="N66" i="13"/>
  <c r="T54" i="13"/>
  <c r="W66" i="13"/>
  <c r="D66" i="13"/>
  <c r="H54" i="13"/>
  <c r="E66" i="13"/>
  <c r="Q54" i="13"/>
  <c r="M66" i="13"/>
  <c r="Z54" i="13"/>
  <c r="C54" i="13"/>
  <c r="V66" i="13"/>
  <c r="A66" i="13"/>
  <c r="J66" i="13"/>
  <c r="K54" i="13"/>
  <c r="U54" i="13"/>
  <c r="AD54" i="13"/>
  <c r="F11" i="16" s="1"/>
  <c r="X66" i="13"/>
  <c r="AB54" i="13"/>
  <c r="G11" i="16" s="1"/>
  <c r="L66" i="13"/>
  <c r="K66" i="13"/>
  <c r="G54" i="13"/>
  <c r="Y54" i="13"/>
  <c r="R66" i="13"/>
  <c r="S66" i="13"/>
  <c r="C66" i="13"/>
  <c r="U66" i="13"/>
  <c r="F54" i="13"/>
  <c r="P54" i="13"/>
  <c r="H66" i="13"/>
  <c r="Z66" i="13"/>
  <c r="AA66" i="13"/>
  <c r="T66" i="13"/>
  <c r="E54" i="13"/>
  <c r="N54" i="13"/>
  <c r="X54" i="13"/>
  <c r="Q66" i="13"/>
  <c r="A54" i="13"/>
  <c r="D54" i="13"/>
  <c r="M54" i="13"/>
  <c r="W54" i="13"/>
  <c r="G66" i="13"/>
  <c r="Y66" i="13"/>
  <c r="J54" i="13"/>
  <c r="L54" i="13"/>
  <c r="V54" i="13"/>
  <c r="F66" i="13"/>
  <c r="P66" i="13"/>
  <c r="I54" i="13"/>
  <c r="S54" i="13"/>
  <c r="R54" i="13"/>
  <c r="AA54" i="13"/>
  <c r="I66" i="13"/>
  <c r="AA35" i="12"/>
  <c r="R35" i="12"/>
  <c r="I35" i="12"/>
  <c r="O35" i="12"/>
  <c r="S35" i="12"/>
  <c r="Z35" i="12"/>
  <c r="Q35" i="12"/>
  <c r="H35" i="12"/>
  <c r="F35" i="12"/>
  <c r="J35" i="12"/>
  <c r="A35" i="12"/>
  <c r="AC35" i="12" s="1"/>
  <c r="Y35" i="12"/>
  <c r="P35" i="12"/>
  <c r="G35" i="12"/>
  <c r="X35" i="12"/>
  <c r="U35" i="12"/>
  <c r="C35" i="12"/>
  <c r="W35" i="12"/>
  <c r="N35" i="12"/>
  <c r="E35" i="12"/>
  <c r="V35" i="12"/>
  <c r="M35" i="12"/>
  <c r="D35" i="12"/>
  <c r="L35" i="12"/>
  <c r="AB35" i="12"/>
  <c r="T42" i="11"/>
  <c r="C42" i="11"/>
  <c r="U42" i="11"/>
  <c r="G42" i="11"/>
  <c r="K42" i="11"/>
  <c r="O42" i="11"/>
  <c r="S42" i="11"/>
  <c r="F42" i="11"/>
  <c r="W42" i="11"/>
  <c r="D42" i="11"/>
  <c r="N42" i="11"/>
  <c r="P42" i="11"/>
  <c r="L42" i="11"/>
  <c r="V42" i="11"/>
  <c r="H42" i="11"/>
  <c r="X42" i="11"/>
  <c r="I42" i="11"/>
  <c r="J42" i="11"/>
  <c r="E42" i="11"/>
  <c r="R42" i="11"/>
  <c r="A42" i="11"/>
  <c r="AA42" i="11" s="1"/>
  <c r="G7" i="16" s="1"/>
  <c r="M42" i="11"/>
  <c r="Z42" i="11"/>
  <c r="Q42" i="11"/>
  <c r="Y42" i="11"/>
  <c r="Y42" i="10"/>
  <c r="Q42" i="10"/>
  <c r="I42" i="10"/>
  <c r="S42" i="10"/>
  <c r="Z42" i="10"/>
  <c r="A42" i="10"/>
  <c r="AA42" i="10" s="1"/>
  <c r="X42" i="10"/>
  <c r="P42" i="10"/>
  <c r="H42" i="10"/>
  <c r="W42" i="10"/>
  <c r="V42" i="10"/>
  <c r="F42" i="10"/>
  <c r="C42" i="10"/>
  <c r="J42" i="10"/>
  <c r="O42" i="10"/>
  <c r="G42" i="10"/>
  <c r="N42" i="10"/>
  <c r="K42" i="10"/>
  <c r="R42" i="10"/>
  <c r="U42" i="10"/>
  <c r="M42" i="10"/>
  <c r="E42" i="10"/>
  <c r="T42" i="10"/>
  <c r="L42" i="10"/>
  <c r="D42" i="10"/>
  <c r="M11" i="16" l="1"/>
  <c r="J14" i="16"/>
  <c r="K14" i="16" s="1"/>
  <c r="M14" i="16" s="1"/>
  <c r="N14" i="16"/>
  <c r="O14" i="16" s="1"/>
  <c r="G14" i="16"/>
  <c r="H14" i="16"/>
  <c r="I14" i="16" s="1"/>
  <c r="AF66" i="13"/>
  <c r="AG66" i="13"/>
  <c r="AE66" i="13"/>
  <c r="AE54" i="13" s="1"/>
  <c r="AJ66" i="13"/>
  <c r="AJ54" i="13" s="1"/>
  <c r="AK47" i="12"/>
  <c r="AF47" i="12"/>
  <c r="AF54" i="10"/>
  <c r="AE54" i="10"/>
  <c r="AF42" i="10" s="1"/>
  <c r="AJ47" i="12"/>
  <c r="AI66" i="13"/>
  <c r="AI54" i="13" s="1"/>
  <c r="AD54" i="10"/>
  <c r="AI47" i="12"/>
  <c r="AG47" i="12"/>
  <c r="AH47" i="12"/>
  <c r="AF54" i="11"/>
  <c r="AE54" i="11"/>
  <c r="AD54" i="11"/>
  <c r="AI54" i="11"/>
  <c r="AH54" i="11"/>
  <c r="AG54" i="11"/>
  <c r="AH66" i="13"/>
  <c r="AH54" i="13" s="1"/>
  <c r="AE35" i="12"/>
  <c r="F14" i="16" s="1"/>
  <c r="AC42" i="11"/>
  <c r="F7" i="16" s="1"/>
  <c r="AC42" i="10"/>
  <c r="AH35" i="12" l="1"/>
  <c r="AF42" i="11"/>
  <c r="AG54" i="13"/>
  <c r="AE42" i="10"/>
  <c r="AD42" i="10"/>
  <c r="AG35" i="12"/>
  <c r="AF35" i="12"/>
  <c r="AJ35" i="12"/>
  <c r="AI35" i="12"/>
  <c r="AK35" i="12"/>
  <c r="AF54" i="13"/>
  <c r="AD42" i="11"/>
  <c r="AI42" i="11"/>
  <c r="AH42" i="11"/>
  <c r="AG42" i="11"/>
  <c r="AE42" i="11"/>
  <c r="AB34" i="9"/>
  <c r="AA34" i="9"/>
  <c r="Z34" i="9"/>
  <c r="Y34" i="9"/>
  <c r="X34" i="9"/>
  <c r="W34" i="9"/>
  <c r="V34" i="9"/>
  <c r="U34" i="9"/>
  <c r="S34" i="9"/>
  <c r="R34" i="9"/>
  <c r="Q34" i="9"/>
  <c r="P34" i="9"/>
  <c r="O34" i="9"/>
  <c r="N34" i="9"/>
  <c r="M34" i="9"/>
  <c r="L34" i="9"/>
  <c r="J34" i="9"/>
  <c r="I34" i="9"/>
  <c r="H34" i="9"/>
  <c r="G34" i="9"/>
  <c r="F34" i="9"/>
  <c r="E34" i="9"/>
  <c r="D34" i="9"/>
  <c r="C34" i="9"/>
  <c r="AB33" i="9"/>
  <c r="AA33" i="9"/>
  <c r="Z33" i="9"/>
  <c r="Y33" i="9"/>
  <c r="X33" i="9"/>
  <c r="W33" i="9"/>
  <c r="V33" i="9"/>
  <c r="U33" i="9"/>
  <c r="S33" i="9"/>
  <c r="R33" i="9"/>
  <c r="Q33" i="9"/>
  <c r="P33" i="9"/>
  <c r="O33" i="9"/>
  <c r="N33" i="9"/>
  <c r="M33" i="9"/>
  <c r="L33" i="9"/>
  <c r="J33" i="9"/>
  <c r="I33" i="9"/>
  <c r="H33" i="9"/>
  <c r="G33" i="9"/>
  <c r="F33" i="9"/>
  <c r="E33" i="9"/>
  <c r="D33" i="9"/>
  <c r="C33" i="9"/>
  <c r="AB32" i="9"/>
  <c r="AA32" i="9"/>
  <c r="Z32" i="9"/>
  <c r="Y32" i="9"/>
  <c r="X32" i="9"/>
  <c r="W32" i="9"/>
  <c r="V32" i="9"/>
  <c r="U32" i="9"/>
  <c r="S32" i="9"/>
  <c r="R32" i="9"/>
  <c r="Q32" i="9"/>
  <c r="P32" i="9"/>
  <c r="O32" i="9"/>
  <c r="N32" i="9"/>
  <c r="M32" i="9"/>
  <c r="L32" i="9"/>
  <c r="J32" i="9"/>
  <c r="I32" i="9"/>
  <c r="H32" i="9"/>
  <c r="G32" i="9"/>
  <c r="F32" i="9"/>
  <c r="E32" i="9"/>
  <c r="D32" i="9"/>
  <c r="C32" i="9"/>
  <c r="AB31" i="9"/>
  <c r="AA31" i="9"/>
  <c r="Z31" i="9"/>
  <c r="Y31" i="9"/>
  <c r="X31" i="9"/>
  <c r="W31" i="9"/>
  <c r="V31" i="9"/>
  <c r="U31" i="9"/>
  <c r="S31" i="9"/>
  <c r="R31" i="9"/>
  <c r="Q31" i="9"/>
  <c r="P31" i="9"/>
  <c r="O31" i="9"/>
  <c r="N31" i="9"/>
  <c r="M31" i="9"/>
  <c r="L31" i="9"/>
  <c r="J31" i="9"/>
  <c r="I31" i="9"/>
  <c r="H31" i="9"/>
  <c r="G31" i="9"/>
  <c r="F31" i="9"/>
  <c r="E31" i="9"/>
  <c r="D31" i="9"/>
  <c r="C31" i="9"/>
  <c r="AB30" i="9"/>
  <c r="AA30" i="9"/>
  <c r="Z30" i="9"/>
  <c r="Y30" i="9"/>
  <c r="X30" i="9"/>
  <c r="W30" i="9"/>
  <c r="V30" i="9"/>
  <c r="U30" i="9"/>
  <c r="S30" i="9"/>
  <c r="R30" i="9"/>
  <c r="Q30" i="9"/>
  <c r="P30" i="9"/>
  <c r="O30" i="9"/>
  <c r="N30" i="9"/>
  <c r="M30" i="9"/>
  <c r="L30" i="9"/>
  <c r="J30" i="9"/>
  <c r="I30" i="9"/>
  <c r="H30" i="9"/>
  <c r="G30" i="9"/>
  <c r="F30" i="9"/>
  <c r="E30" i="9"/>
  <c r="D30" i="9"/>
  <c r="C30" i="9"/>
  <c r="AB29" i="9"/>
  <c r="AA29" i="9"/>
  <c r="Z29" i="9"/>
  <c r="Y29" i="9"/>
  <c r="X29" i="9"/>
  <c r="W29" i="9"/>
  <c r="V29" i="9"/>
  <c r="U29" i="9"/>
  <c r="S29" i="9"/>
  <c r="R29" i="9"/>
  <c r="Q29" i="9"/>
  <c r="P29" i="9"/>
  <c r="O29" i="9"/>
  <c r="N29" i="9"/>
  <c r="M29" i="9"/>
  <c r="L29" i="9"/>
  <c r="J29" i="9"/>
  <c r="I29" i="9"/>
  <c r="H29" i="9"/>
  <c r="G29" i="9"/>
  <c r="F29" i="9"/>
  <c r="E29" i="9"/>
  <c r="D29" i="9"/>
  <c r="C29" i="9"/>
  <c r="Y26" i="9"/>
  <c r="U26" i="9"/>
  <c r="P26" i="9"/>
  <c r="L26" i="9"/>
  <c r="G26" i="9"/>
  <c r="C26" i="9"/>
  <c r="U25" i="9"/>
  <c r="L25" i="9"/>
  <c r="C25" i="9"/>
  <c r="AI44" i="9" l="1"/>
  <c r="AI45" i="9"/>
  <c r="AI41" i="9"/>
  <c r="AG44" i="9"/>
  <c r="AH44" i="9"/>
  <c r="AG41" i="9"/>
  <c r="AH41" i="9"/>
  <c r="AF41" i="9"/>
  <c r="AF42" i="9"/>
  <c r="AF44" i="9"/>
  <c r="AF45" i="9"/>
  <c r="AF46" i="9"/>
  <c r="AH45" i="9"/>
  <c r="AG45" i="9"/>
  <c r="AH33" i="9" s="1"/>
  <c r="AF43" i="9"/>
  <c r="AI42" i="9"/>
  <c r="AI43" i="9"/>
  <c r="AI46" i="9"/>
  <c r="AH42" i="9"/>
  <c r="AG42" i="9"/>
  <c r="AH43" i="9"/>
  <c r="AG43" i="9"/>
  <c r="AH46" i="9"/>
  <c r="AG46" i="9"/>
  <c r="AJ29" i="9"/>
  <c r="AJ30" i="9"/>
  <c r="AJ31" i="9"/>
  <c r="AJ32" i="9"/>
  <c r="AJ33" i="9"/>
  <c r="AJ34" i="9"/>
  <c r="AE29" i="9"/>
  <c r="AE30" i="9"/>
  <c r="AE31" i="9"/>
  <c r="AE32" i="9"/>
  <c r="AE33" i="9"/>
  <c r="AE34" i="9"/>
  <c r="E9" i="16" s="1"/>
  <c r="G57" i="8"/>
  <c r="K57" i="8"/>
  <c r="P57" i="8"/>
  <c r="T57" i="8"/>
  <c r="X57" i="8"/>
  <c r="P56" i="8"/>
  <c r="C57" i="8"/>
  <c r="C56" i="8"/>
  <c r="G45" i="8"/>
  <c r="K45" i="8"/>
  <c r="P45" i="8"/>
  <c r="T45" i="8"/>
  <c r="X45" i="8"/>
  <c r="P44" i="8"/>
  <c r="C45" i="8"/>
  <c r="C44" i="8"/>
  <c r="G57" i="6"/>
  <c r="K57" i="6"/>
  <c r="P57" i="6"/>
  <c r="T57" i="6"/>
  <c r="X57" i="6"/>
  <c r="P56" i="6"/>
  <c r="C57" i="6"/>
  <c r="C56" i="6"/>
  <c r="G45" i="6"/>
  <c r="K45" i="6"/>
  <c r="P45" i="6"/>
  <c r="T45" i="6"/>
  <c r="X45" i="6"/>
  <c r="P44" i="6"/>
  <c r="C45" i="6"/>
  <c r="C44" i="6"/>
  <c r="G26" i="4"/>
  <c r="L26" i="4"/>
  <c r="P26" i="4"/>
  <c r="U26" i="4"/>
  <c r="Y26" i="4"/>
  <c r="C26" i="4"/>
  <c r="U25" i="4"/>
  <c r="L25" i="4"/>
  <c r="C25" i="4"/>
  <c r="AH30" i="9" l="1"/>
  <c r="AH31" i="9"/>
  <c r="AH32" i="9"/>
  <c r="AH29" i="9"/>
  <c r="AF29" i="9"/>
  <c r="AI29" i="9"/>
  <c r="AG29" i="9"/>
  <c r="AF33" i="9"/>
  <c r="AG33" i="9"/>
  <c r="AI33" i="9"/>
  <c r="AI32" i="9"/>
  <c r="AF32" i="9"/>
  <c r="AG32" i="9"/>
  <c r="AG34" i="9"/>
  <c r="J9" i="16" s="1"/>
  <c r="K9" i="16" s="1"/>
  <c r="AF34" i="9"/>
  <c r="H9" i="16" s="1"/>
  <c r="I9" i="16" s="1"/>
  <c r="AI34" i="9"/>
  <c r="N9" i="16" s="1"/>
  <c r="O9" i="16" s="1"/>
  <c r="AG31" i="9"/>
  <c r="AF31" i="9"/>
  <c r="AI31" i="9"/>
  <c r="AI30" i="9"/>
  <c r="AG30" i="9"/>
  <c r="AF30" i="9"/>
  <c r="AH34" i="9"/>
  <c r="L9" i="16" s="1"/>
  <c r="U35" i="9"/>
  <c r="L35" i="9"/>
  <c r="C35" i="9"/>
  <c r="AA35" i="9"/>
  <c r="AB35" i="9"/>
  <c r="S35" i="9"/>
  <c r="J35" i="9"/>
  <c r="A35" i="9"/>
  <c r="AC35" i="9" s="1"/>
  <c r="G9" i="16" s="1"/>
  <c r="Z35" i="9"/>
  <c r="Q35" i="9"/>
  <c r="H35" i="9"/>
  <c r="Y35" i="9"/>
  <c r="P35" i="9"/>
  <c r="G35" i="9"/>
  <c r="X35" i="9"/>
  <c r="O35" i="9"/>
  <c r="F35" i="9"/>
  <c r="W35" i="9"/>
  <c r="N35" i="9"/>
  <c r="E35" i="9"/>
  <c r="V35" i="9"/>
  <c r="M35" i="9"/>
  <c r="D35" i="9"/>
  <c r="R35" i="9"/>
  <c r="I35" i="9"/>
  <c r="D60" i="8"/>
  <c r="E60" i="8"/>
  <c r="F60" i="8"/>
  <c r="G60" i="8"/>
  <c r="H60" i="8"/>
  <c r="I60" i="8"/>
  <c r="J60" i="8"/>
  <c r="K60" i="8"/>
  <c r="L60" i="8"/>
  <c r="M60" i="8"/>
  <c r="N60" i="8"/>
  <c r="P60" i="8"/>
  <c r="Q60" i="8"/>
  <c r="R60" i="8"/>
  <c r="S60" i="8"/>
  <c r="T60" i="8"/>
  <c r="U60" i="8"/>
  <c r="V60" i="8"/>
  <c r="W60" i="8"/>
  <c r="X60" i="8"/>
  <c r="Y60" i="8"/>
  <c r="Z60" i="8"/>
  <c r="AA60" i="8"/>
  <c r="D61" i="8"/>
  <c r="E61" i="8"/>
  <c r="F61" i="8"/>
  <c r="G61" i="8"/>
  <c r="H61" i="8"/>
  <c r="I61" i="8"/>
  <c r="J61" i="8"/>
  <c r="K61" i="8"/>
  <c r="L61" i="8"/>
  <c r="M61" i="8"/>
  <c r="N61" i="8"/>
  <c r="P61" i="8"/>
  <c r="Q61" i="8"/>
  <c r="R61" i="8"/>
  <c r="S61" i="8"/>
  <c r="T61" i="8"/>
  <c r="U61" i="8"/>
  <c r="V61" i="8"/>
  <c r="W61" i="8"/>
  <c r="X61" i="8"/>
  <c r="Y61" i="8"/>
  <c r="Z61" i="8"/>
  <c r="AA61" i="8"/>
  <c r="D62" i="8"/>
  <c r="E62" i="8"/>
  <c r="F62" i="8"/>
  <c r="G62" i="8"/>
  <c r="H62" i="8"/>
  <c r="I62" i="8"/>
  <c r="J62" i="8"/>
  <c r="K62" i="8"/>
  <c r="L62" i="8"/>
  <c r="M62" i="8"/>
  <c r="N62" i="8"/>
  <c r="P62" i="8"/>
  <c r="Q62" i="8"/>
  <c r="R62" i="8"/>
  <c r="S62" i="8"/>
  <c r="T62" i="8"/>
  <c r="U62" i="8"/>
  <c r="V62" i="8"/>
  <c r="W62" i="8"/>
  <c r="X62" i="8"/>
  <c r="Y62" i="8"/>
  <c r="Z62" i="8"/>
  <c r="AA62" i="8"/>
  <c r="D63" i="8"/>
  <c r="E63" i="8"/>
  <c r="F63" i="8"/>
  <c r="G63" i="8"/>
  <c r="H63" i="8"/>
  <c r="I63" i="8"/>
  <c r="J63" i="8"/>
  <c r="K63" i="8"/>
  <c r="L63" i="8"/>
  <c r="M63" i="8"/>
  <c r="N63" i="8"/>
  <c r="P63" i="8"/>
  <c r="Q63" i="8"/>
  <c r="R63" i="8"/>
  <c r="S63" i="8"/>
  <c r="T63" i="8"/>
  <c r="U63" i="8"/>
  <c r="V63" i="8"/>
  <c r="W63" i="8"/>
  <c r="X63" i="8"/>
  <c r="Y63" i="8"/>
  <c r="Z63" i="8"/>
  <c r="AA63" i="8"/>
  <c r="D64" i="8"/>
  <c r="E64" i="8"/>
  <c r="F64" i="8"/>
  <c r="G64" i="8"/>
  <c r="H64" i="8"/>
  <c r="I64" i="8"/>
  <c r="J64" i="8"/>
  <c r="K64" i="8"/>
  <c r="L64" i="8"/>
  <c r="M64" i="8"/>
  <c r="N64" i="8"/>
  <c r="P64" i="8"/>
  <c r="Q64" i="8"/>
  <c r="R64" i="8"/>
  <c r="S64" i="8"/>
  <c r="T64" i="8"/>
  <c r="U64" i="8"/>
  <c r="V64" i="8"/>
  <c r="W64" i="8"/>
  <c r="X64" i="8"/>
  <c r="Y64" i="8"/>
  <c r="Z64" i="8"/>
  <c r="AA64" i="8"/>
  <c r="D65" i="8"/>
  <c r="E65" i="8"/>
  <c r="F65" i="8"/>
  <c r="G65" i="8"/>
  <c r="H65" i="8"/>
  <c r="I65" i="8"/>
  <c r="J65" i="8"/>
  <c r="K65" i="8"/>
  <c r="L65" i="8"/>
  <c r="M65" i="8"/>
  <c r="N65" i="8"/>
  <c r="P65" i="8"/>
  <c r="Q65" i="8"/>
  <c r="R65" i="8"/>
  <c r="S65" i="8"/>
  <c r="T65" i="8"/>
  <c r="U65" i="8"/>
  <c r="V65" i="8"/>
  <c r="W65" i="8"/>
  <c r="X65" i="8"/>
  <c r="Y65" i="8"/>
  <c r="Z65" i="8"/>
  <c r="AA65" i="8"/>
  <c r="D48" i="8"/>
  <c r="E48" i="8"/>
  <c r="F48" i="8"/>
  <c r="G48" i="8"/>
  <c r="H48" i="8"/>
  <c r="I48" i="8"/>
  <c r="J48" i="8"/>
  <c r="K48" i="8"/>
  <c r="L48" i="8"/>
  <c r="M48" i="8"/>
  <c r="N48" i="8"/>
  <c r="P48" i="8"/>
  <c r="Q48" i="8"/>
  <c r="R48" i="8"/>
  <c r="S48" i="8"/>
  <c r="T48" i="8"/>
  <c r="U48" i="8"/>
  <c r="V48" i="8"/>
  <c r="W48" i="8"/>
  <c r="X48" i="8"/>
  <c r="Y48" i="8"/>
  <c r="Z48" i="8"/>
  <c r="AA48" i="8"/>
  <c r="D49" i="8"/>
  <c r="E49" i="8"/>
  <c r="F49" i="8"/>
  <c r="G49" i="8"/>
  <c r="H49" i="8"/>
  <c r="I49" i="8"/>
  <c r="J49" i="8"/>
  <c r="K49" i="8"/>
  <c r="L49" i="8"/>
  <c r="M49" i="8"/>
  <c r="N49" i="8"/>
  <c r="P49" i="8"/>
  <c r="Q49" i="8"/>
  <c r="R49" i="8"/>
  <c r="S49" i="8"/>
  <c r="T49" i="8"/>
  <c r="U49" i="8"/>
  <c r="V49" i="8"/>
  <c r="W49" i="8"/>
  <c r="X49" i="8"/>
  <c r="Y49" i="8"/>
  <c r="Z49" i="8"/>
  <c r="AA49" i="8"/>
  <c r="D50" i="8"/>
  <c r="E50" i="8"/>
  <c r="F50" i="8"/>
  <c r="G50" i="8"/>
  <c r="H50" i="8"/>
  <c r="I50" i="8"/>
  <c r="J50" i="8"/>
  <c r="K50" i="8"/>
  <c r="L50" i="8"/>
  <c r="M50" i="8"/>
  <c r="N50" i="8"/>
  <c r="P50" i="8"/>
  <c r="Q50" i="8"/>
  <c r="R50" i="8"/>
  <c r="S50" i="8"/>
  <c r="T50" i="8"/>
  <c r="U50" i="8"/>
  <c r="V50" i="8"/>
  <c r="W50" i="8"/>
  <c r="X50" i="8"/>
  <c r="Y50" i="8"/>
  <c r="Z50" i="8"/>
  <c r="AA50" i="8"/>
  <c r="D51" i="8"/>
  <c r="E51" i="8"/>
  <c r="F51" i="8"/>
  <c r="G51" i="8"/>
  <c r="H51" i="8"/>
  <c r="I51" i="8"/>
  <c r="J51" i="8"/>
  <c r="K51" i="8"/>
  <c r="L51" i="8"/>
  <c r="M51" i="8"/>
  <c r="N51" i="8"/>
  <c r="P51" i="8"/>
  <c r="Q51" i="8"/>
  <c r="R51" i="8"/>
  <c r="S51" i="8"/>
  <c r="T51" i="8"/>
  <c r="U51" i="8"/>
  <c r="V51" i="8"/>
  <c r="W51" i="8"/>
  <c r="X51" i="8"/>
  <c r="Y51" i="8"/>
  <c r="Z51" i="8"/>
  <c r="AA51" i="8"/>
  <c r="D52" i="8"/>
  <c r="E52" i="8"/>
  <c r="F52" i="8"/>
  <c r="G52" i="8"/>
  <c r="H52" i="8"/>
  <c r="I52" i="8"/>
  <c r="J52" i="8"/>
  <c r="K52" i="8"/>
  <c r="L52" i="8"/>
  <c r="M52" i="8"/>
  <c r="N52" i="8"/>
  <c r="P52" i="8"/>
  <c r="Q52" i="8"/>
  <c r="R52" i="8"/>
  <c r="S52" i="8"/>
  <c r="T52" i="8"/>
  <c r="U52" i="8"/>
  <c r="V52" i="8"/>
  <c r="W52" i="8"/>
  <c r="X52" i="8"/>
  <c r="Y52" i="8"/>
  <c r="Z52" i="8"/>
  <c r="AA52" i="8"/>
  <c r="D53" i="8"/>
  <c r="E53" i="8"/>
  <c r="F53" i="8"/>
  <c r="G53" i="8"/>
  <c r="H53" i="8"/>
  <c r="I53" i="8"/>
  <c r="J53" i="8"/>
  <c r="K53" i="8"/>
  <c r="L53" i="8"/>
  <c r="M53" i="8"/>
  <c r="N53" i="8"/>
  <c r="P53" i="8"/>
  <c r="Q53" i="8"/>
  <c r="R53" i="8"/>
  <c r="S53" i="8"/>
  <c r="T53" i="8"/>
  <c r="U53" i="8"/>
  <c r="V53" i="8"/>
  <c r="W53" i="8"/>
  <c r="X53" i="8"/>
  <c r="Y53" i="8"/>
  <c r="Z53" i="8"/>
  <c r="AA53" i="8"/>
  <c r="C65" i="8"/>
  <c r="C64" i="8"/>
  <c r="C63" i="8"/>
  <c r="C62" i="8"/>
  <c r="C61" i="8"/>
  <c r="C60" i="8"/>
  <c r="C53" i="8"/>
  <c r="C52" i="8"/>
  <c r="C51" i="8"/>
  <c r="C50" i="8"/>
  <c r="C49" i="8"/>
  <c r="C48" i="8"/>
  <c r="M9" i="16" l="1"/>
  <c r="AE64" i="8"/>
  <c r="AE65" i="8"/>
  <c r="AF63" i="8"/>
  <c r="AG63" i="8"/>
  <c r="AF60" i="8"/>
  <c r="AG60" i="8"/>
  <c r="AE60" i="8"/>
  <c r="AD48" i="8"/>
  <c r="AF64" i="8"/>
  <c r="AG64" i="8"/>
  <c r="AE63" i="8"/>
  <c r="AG65" i="8"/>
  <c r="AF65" i="8"/>
  <c r="AG61" i="8"/>
  <c r="AF61" i="8"/>
  <c r="AH47" i="9"/>
  <c r="AG47" i="9"/>
  <c r="AF62" i="8"/>
  <c r="AG62" i="8"/>
  <c r="AF47" i="9"/>
  <c r="AE61" i="8"/>
  <c r="AE62" i="8"/>
  <c r="AI47" i="9"/>
  <c r="AD51" i="8"/>
  <c r="AH65" i="8"/>
  <c r="AH60" i="8"/>
  <c r="AH61" i="8"/>
  <c r="AK30" i="22" s="1"/>
  <c r="AL30" i="22" s="1"/>
  <c r="AH62" i="8"/>
  <c r="AK31" i="22" s="1"/>
  <c r="AL31" i="22" s="1"/>
  <c r="AH63" i="8"/>
  <c r="AK32" i="22" s="1"/>
  <c r="AL32" i="22" s="1"/>
  <c r="AD50" i="8"/>
  <c r="AH64" i="8"/>
  <c r="AK33" i="22" s="1"/>
  <c r="AL33" i="22" s="1"/>
  <c r="AD52" i="8"/>
  <c r="AD53" i="8"/>
  <c r="E8" i="16" s="1"/>
  <c r="AD49" i="8"/>
  <c r="AJ35" i="9"/>
  <c r="AE35" i="9"/>
  <c r="F9" i="16" s="1"/>
  <c r="D60" i="6"/>
  <c r="E60" i="6"/>
  <c r="F60" i="6"/>
  <c r="G60" i="6"/>
  <c r="H60" i="6"/>
  <c r="I60" i="6"/>
  <c r="J60" i="6"/>
  <c r="K60" i="6"/>
  <c r="L60" i="6"/>
  <c r="M60" i="6"/>
  <c r="N60" i="6"/>
  <c r="P60" i="6"/>
  <c r="Q60" i="6"/>
  <c r="R60" i="6"/>
  <c r="S60" i="6"/>
  <c r="T60" i="6"/>
  <c r="U60" i="6"/>
  <c r="V60" i="6"/>
  <c r="W60" i="6"/>
  <c r="X60" i="6"/>
  <c r="Y60" i="6"/>
  <c r="Z60" i="6"/>
  <c r="AA60" i="6"/>
  <c r="D61" i="6"/>
  <c r="E61" i="6"/>
  <c r="F61" i="6"/>
  <c r="G61" i="6"/>
  <c r="H61" i="6"/>
  <c r="I61" i="6"/>
  <c r="J61" i="6"/>
  <c r="K61" i="6"/>
  <c r="L61" i="6"/>
  <c r="M61" i="6"/>
  <c r="N61" i="6"/>
  <c r="P61" i="6"/>
  <c r="Q61" i="6"/>
  <c r="R61" i="6"/>
  <c r="S61" i="6"/>
  <c r="T61" i="6"/>
  <c r="U61" i="6"/>
  <c r="V61" i="6"/>
  <c r="W61" i="6"/>
  <c r="X61" i="6"/>
  <c r="Y61" i="6"/>
  <c r="Z61" i="6"/>
  <c r="AA61" i="6"/>
  <c r="D62" i="6"/>
  <c r="E62" i="6"/>
  <c r="F62" i="6"/>
  <c r="G62" i="6"/>
  <c r="H62" i="6"/>
  <c r="I62" i="6"/>
  <c r="J62" i="6"/>
  <c r="K62" i="6"/>
  <c r="L62" i="6"/>
  <c r="M62" i="6"/>
  <c r="N62" i="6"/>
  <c r="P62" i="6"/>
  <c r="Q62" i="6"/>
  <c r="R62" i="6"/>
  <c r="S62" i="6"/>
  <c r="T62" i="6"/>
  <c r="U62" i="6"/>
  <c r="V62" i="6"/>
  <c r="W62" i="6"/>
  <c r="X62" i="6"/>
  <c r="Y62" i="6"/>
  <c r="Z62" i="6"/>
  <c r="AA62" i="6"/>
  <c r="D63" i="6"/>
  <c r="E63" i="6"/>
  <c r="F63" i="6"/>
  <c r="G63" i="6"/>
  <c r="H63" i="6"/>
  <c r="I63" i="6"/>
  <c r="J63" i="6"/>
  <c r="K63" i="6"/>
  <c r="L63" i="6"/>
  <c r="M63" i="6"/>
  <c r="N63" i="6"/>
  <c r="P63" i="6"/>
  <c r="Q63" i="6"/>
  <c r="R63" i="6"/>
  <c r="S63" i="6"/>
  <c r="T63" i="6"/>
  <c r="U63" i="6"/>
  <c r="V63" i="6"/>
  <c r="W63" i="6"/>
  <c r="X63" i="6"/>
  <c r="Y63" i="6"/>
  <c r="Z63" i="6"/>
  <c r="AA63" i="6"/>
  <c r="D64" i="6"/>
  <c r="E64" i="6"/>
  <c r="F64" i="6"/>
  <c r="G64" i="6"/>
  <c r="H64" i="6"/>
  <c r="I64" i="6"/>
  <c r="J64" i="6"/>
  <c r="K64" i="6"/>
  <c r="L64" i="6"/>
  <c r="M64" i="6"/>
  <c r="N64" i="6"/>
  <c r="P64" i="6"/>
  <c r="Q64" i="6"/>
  <c r="R64" i="6"/>
  <c r="S64" i="6"/>
  <c r="T64" i="6"/>
  <c r="U64" i="6"/>
  <c r="V64" i="6"/>
  <c r="W64" i="6"/>
  <c r="X64" i="6"/>
  <c r="Y64" i="6"/>
  <c r="Z64" i="6"/>
  <c r="AA64" i="6"/>
  <c r="D65" i="6"/>
  <c r="E65" i="6"/>
  <c r="F65" i="6"/>
  <c r="G65" i="6"/>
  <c r="H65" i="6"/>
  <c r="I65" i="6"/>
  <c r="J65" i="6"/>
  <c r="K65" i="6"/>
  <c r="L65" i="6"/>
  <c r="M65" i="6"/>
  <c r="N65" i="6"/>
  <c r="P65" i="6"/>
  <c r="Q65" i="6"/>
  <c r="R65" i="6"/>
  <c r="S65" i="6"/>
  <c r="T65" i="6"/>
  <c r="U65" i="6"/>
  <c r="V65" i="6"/>
  <c r="W65" i="6"/>
  <c r="X65" i="6"/>
  <c r="Y65" i="6"/>
  <c r="Z65" i="6"/>
  <c r="AA65" i="6"/>
  <c r="D48" i="6"/>
  <c r="E48" i="6"/>
  <c r="F48" i="6"/>
  <c r="G48" i="6"/>
  <c r="H48" i="6"/>
  <c r="I48" i="6"/>
  <c r="J48" i="6"/>
  <c r="K48" i="6"/>
  <c r="L48" i="6"/>
  <c r="M48" i="6"/>
  <c r="N48" i="6"/>
  <c r="P48" i="6"/>
  <c r="Q48" i="6"/>
  <c r="R48" i="6"/>
  <c r="S48" i="6"/>
  <c r="T48" i="6"/>
  <c r="U48" i="6"/>
  <c r="V48" i="6"/>
  <c r="W48" i="6"/>
  <c r="X48" i="6"/>
  <c r="Y48" i="6"/>
  <c r="Z48" i="6"/>
  <c r="AA48" i="6"/>
  <c r="D49" i="6"/>
  <c r="E49" i="6"/>
  <c r="F49" i="6"/>
  <c r="G49" i="6"/>
  <c r="H49" i="6"/>
  <c r="I49" i="6"/>
  <c r="J49" i="6"/>
  <c r="K49" i="6"/>
  <c r="L49" i="6"/>
  <c r="M49" i="6"/>
  <c r="N49" i="6"/>
  <c r="P49" i="6"/>
  <c r="Q49" i="6"/>
  <c r="R49" i="6"/>
  <c r="S49" i="6"/>
  <c r="T49" i="6"/>
  <c r="U49" i="6"/>
  <c r="V49" i="6"/>
  <c r="W49" i="6"/>
  <c r="X49" i="6"/>
  <c r="Y49" i="6"/>
  <c r="Z49" i="6"/>
  <c r="AA49" i="6"/>
  <c r="D50" i="6"/>
  <c r="E50" i="6"/>
  <c r="F50" i="6"/>
  <c r="G50" i="6"/>
  <c r="H50" i="6"/>
  <c r="I50" i="6"/>
  <c r="J50" i="6"/>
  <c r="K50" i="6"/>
  <c r="L50" i="6"/>
  <c r="M50" i="6"/>
  <c r="N50" i="6"/>
  <c r="P50" i="6"/>
  <c r="Q50" i="6"/>
  <c r="R50" i="6"/>
  <c r="S50" i="6"/>
  <c r="T50" i="6"/>
  <c r="U50" i="6"/>
  <c r="V50" i="6"/>
  <c r="W50" i="6"/>
  <c r="X50" i="6"/>
  <c r="Y50" i="6"/>
  <c r="Z50" i="6"/>
  <c r="AA50" i="6"/>
  <c r="D51" i="6"/>
  <c r="E51" i="6"/>
  <c r="F51" i="6"/>
  <c r="G51" i="6"/>
  <c r="H51" i="6"/>
  <c r="I51" i="6"/>
  <c r="J51" i="6"/>
  <c r="K51" i="6"/>
  <c r="L51" i="6"/>
  <c r="M51" i="6"/>
  <c r="N51" i="6"/>
  <c r="P51" i="6"/>
  <c r="Q51" i="6"/>
  <c r="R51" i="6"/>
  <c r="S51" i="6"/>
  <c r="T51" i="6"/>
  <c r="U51" i="6"/>
  <c r="V51" i="6"/>
  <c r="W51" i="6"/>
  <c r="X51" i="6"/>
  <c r="Y51" i="6"/>
  <c r="Z51" i="6"/>
  <c r="AA51" i="6"/>
  <c r="D52" i="6"/>
  <c r="E52" i="6"/>
  <c r="F52" i="6"/>
  <c r="G52" i="6"/>
  <c r="H52" i="6"/>
  <c r="I52" i="6"/>
  <c r="J52" i="6"/>
  <c r="K52" i="6"/>
  <c r="L52" i="6"/>
  <c r="M52" i="6"/>
  <c r="N52" i="6"/>
  <c r="P52" i="6"/>
  <c r="Q52" i="6"/>
  <c r="R52" i="6"/>
  <c r="S52" i="6"/>
  <c r="T52" i="6"/>
  <c r="U52" i="6"/>
  <c r="V52" i="6"/>
  <c r="W52" i="6"/>
  <c r="X52" i="6"/>
  <c r="Y52" i="6"/>
  <c r="Z52" i="6"/>
  <c r="AA52" i="6"/>
  <c r="D53" i="6"/>
  <c r="E53" i="6"/>
  <c r="F53" i="6"/>
  <c r="G53" i="6"/>
  <c r="H53" i="6"/>
  <c r="I53" i="6"/>
  <c r="J53" i="6"/>
  <c r="K53" i="6"/>
  <c r="L53" i="6"/>
  <c r="M53" i="6"/>
  <c r="N53" i="6"/>
  <c r="P53" i="6"/>
  <c r="Q53" i="6"/>
  <c r="R53" i="6"/>
  <c r="S53" i="6"/>
  <c r="T53" i="6"/>
  <c r="U53" i="6"/>
  <c r="V53" i="6"/>
  <c r="W53" i="6"/>
  <c r="X53" i="6"/>
  <c r="Y53" i="6"/>
  <c r="Z53" i="6"/>
  <c r="AA53" i="6"/>
  <c r="C65" i="6"/>
  <c r="C64" i="6"/>
  <c r="C63" i="6"/>
  <c r="C62" i="6"/>
  <c r="C61" i="6"/>
  <c r="C60" i="6"/>
  <c r="C53" i="6"/>
  <c r="C52" i="6"/>
  <c r="C51" i="6"/>
  <c r="C50" i="6"/>
  <c r="C49" i="6"/>
  <c r="C48" i="6"/>
  <c r="AK29" i="9" l="1"/>
  <c r="AL29" i="9" s="1"/>
  <c r="AK29" i="22"/>
  <c r="AL29" i="22" s="1"/>
  <c r="AK34" i="9"/>
  <c r="AL34" i="9" s="1"/>
  <c r="AK34" i="22"/>
  <c r="AL34" i="22" s="1"/>
  <c r="AD53" i="6"/>
  <c r="AG56" i="6"/>
  <c r="AG53" i="6"/>
  <c r="L15" i="16" s="1"/>
  <c r="AG53" i="8"/>
  <c r="L8" i="16" s="1"/>
  <c r="AG49" i="8"/>
  <c r="AG48" i="8"/>
  <c r="AH35" i="9"/>
  <c r="AG51" i="6"/>
  <c r="AE48" i="8"/>
  <c r="AF48" i="8"/>
  <c r="AH48" i="8"/>
  <c r="AG52" i="8"/>
  <c r="AE52" i="8"/>
  <c r="AH52" i="8"/>
  <c r="AF52" i="8"/>
  <c r="AH51" i="8"/>
  <c r="AF51" i="8"/>
  <c r="AE51" i="8"/>
  <c r="AG51" i="8"/>
  <c r="AG50" i="8"/>
  <c r="AF50" i="8"/>
  <c r="AE50" i="8"/>
  <c r="AH50" i="8"/>
  <c r="AH49" i="8"/>
  <c r="AF49" i="8"/>
  <c r="AE49" i="8"/>
  <c r="AG35" i="9"/>
  <c r="AF35" i="9"/>
  <c r="AI35" i="9"/>
  <c r="AF53" i="8"/>
  <c r="J8" i="16" s="1"/>
  <c r="K8" i="16" s="1"/>
  <c r="AH53" i="8"/>
  <c r="N8" i="16" s="1"/>
  <c r="O8" i="16" s="1"/>
  <c r="AE53" i="8"/>
  <c r="H8" i="16" s="1"/>
  <c r="I8" i="16" s="1"/>
  <c r="AG50" i="6"/>
  <c r="AI50" i="6"/>
  <c r="AG49" i="6"/>
  <c r="AI51" i="6"/>
  <c r="AG52" i="6"/>
  <c r="AI52" i="6"/>
  <c r="AI53" i="6"/>
  <c r="AI48" i="6"/>
  <c r="AG48" i="6"/>
  <c r="AI49" i="6"/>
  <c r="AK33" i="9"/>
  <c r="AL33" i="9" s="1"/>
  <c r="AK32" i="9"/>
  <c r="AL32" i="9" s="1"/>
  <c r="AK31" i="9"/>
  <c r="AL31" i="9" s="1"/>
  <c r="AK30" i="9"/>
  <c r="AL30" i="9" s="1"/>
  <c r="AD54" i="8"/>
  <c r="F8" i="16" s="1"/>
  <c r="E66" i="8"/>
  <c r="N66" i="8"/>
  <c r="X66" i="8"/>
  <c r="P66" i="8"/>
  <c r="V66" i="8"/>
  <c r="F66" i="8"/>
  <c r="W66" i="8"/>
  <c r="H66" i="8"/>
  <c r="Q66" i="8"/>
  <c r="Y66" i="8"/>
  <c r="I66" i="8"/>
  <c r="R66" i="8"/>
  <c r="Z66" i="8"/>
  <c r="J66" i="8"/>
  <c r="S66" i="8"/>
  <c r="AA66" i="8"/>
  <c r="K66" i="8"/>
  <c r="T66" i="8"/>
  <c r="D66" i="8"/>
  <c r="L66" i="8"/>
  <c r="U66" i="8"/>
  <c r="M66" i="8"/>
  <c r="G66" i="8"/>
  <c r="V54" i="8"/>
  <c r="D54" i="8"/>
  <c r="F54" i="8"/>
  <c r="U54" i="8"/>
  <c r="W54" i="8"/>
  <c r="G54" i="8"/>
  <c r="P54" i="8"/>
  <c r="X54" i="8"/>
  <c r="H54" i="8"/>
  <c r="Q54" i="8"/>
  <c r="Y54" i="8"/>
  <c r="I54" i="8"/>
  <c r="R54" i="8"/>
  <c r="Z54" i="8"/>
  <c r="J54" i="8"/>
  <c r="S54" i="8"/>
  <c r="AA54" i="8"/>
  <c r="K54" i="8"/>
  <c r="T54" i="8"/>
  <c r="L54" i="8"/>
  <c r="E54" i="8"/>
  <c r="M54" i="8"/>
  <c r="N54" i="8"/>
  <c r="AB54" i="8"/>
  <c r="G8" i="16" s="1"/>
  <c r="A54" i="8"/>
  <c r="A66" i="8"/>
  <c r="C66" i="8"/>
  <c r="C54" i="8"/>
  <c r="AD49" i="6"/>
  <c r="AF49" i="6" s="1"/>
  <c r="AD51" i="6"/>
  <c r="AE51" i="6" s="1"/>
  <c r="AD50" i="6"/>
  <c r="AD48" i="6"/>
  <c r="AE48" i="6" s="1"/>
  <c r="AD52" i="6"/>
  <c r="AE52" i="6" s="1"/>
  <c r="M8" i="16" l="1"/>
  <c r="E15" i="16"/>
  <c r="AE53" i="6"/>
  <c r="H15" i="16" s="1"/>
  <c r="AH53" i="6"/>
  <c r="N15" i="16" s="1"/>
  <c r="AF53" i="6"/>
  <c r="J15" i="16" s="1"/>
  <c r="AE66" i="8"/>
  <c r="AE54" i="8" s="1"/>
  <c r="I5" i="16"/>
  <c r="O5" i="16"/>
  <c r="K5" i="16"/>
  <c r="AF66" i="8"/>
  <c r="AG66" i="8"/>
  <c r="AF48" i="6"/>
  <c r="AH48" i="6"/>
  <c r="AH49" i="6"/>
  <c r="AF52" i="6"/>
  <c r="AE49" i="6"/>
  <c r="AH50" i="6"/>
  <c r="AH52" i="6"/>
  <c r="AH51" i="6"/>
  <c r="AF51" i="6"/>
  <c r="AE50" i="6"/>
  <c r="AF50" i="6"/>
  <c r="AH66" i="8"/>
  <c r="J66" i="6"/>
  <c r="S66" i="6"/>
  <c r="V66" i="6"/>
  <c r="K66" i="6"/>
  <c r="T66" i="6"/>
  <c r="E66" i="6"/>
  <c r="D66" i="6"/>
  <c r="L66" i="6"/>
  <c r="U66" i="6"/>
  <c r="M66" i="6"/>
  <c r="F66" i="6"/>
  <c r="N66" i="6"/>
  <c r="W66" i="6"/>
  <c r="G66" i="6"/>
  <c r="P66" i="6"/>
  <c r="X66" i="6"/>
  <c r="H66" i="6"/>
  <c r="Q66" i="6"/>
  <c r="Y66" i="6"/>
  <c r="I66" i="6"/>
  <c r="R66" i="6"/>
  <c r="Z66" i="6"/>
  <c r="AA66" i="6"/>
  <c r="S54" i="6"/>
  <c r="V54" i="6"/>
  <c r="K54" i="6"/>
  <c r="T54" i="6"/>
  <c r="D54" i="6"/>
  <c r="L54" i="6"/>
  <c r="U54" i="6"/>
  <c r="M54" i="6"/>
  <c r="F54" i="6"/>
  <c r="N54" i="6"/>
  <c r="W54" i="6"/>
  <c r="G54" i="6"/>
  <c r="P54" i="6"/>
  <c r="X54" i="6"/>
  <c r="H54" i="6"/>
  <c r="Q54" i="6"/>
  <c r="Y54" i="6"/>
  <c r="I54" i="6"/>
  <c r="R54" i="6"/>
  <c r="Z54" i="6"/>
  <c r="J54" i="6"/>
  <c r="AA54" i="6"/>
  <c r="E54" i="6"/>
  <c r="C54" i="6"/>
  <c r="A66" i="6"/>
  <c r="C66" i="6"/>
  <c r="AD54" i="6"/>
  <c r="F15" i="16" s="1"/>
  <c r="AB54" i="6"/>
  <c r="G15" i="16" s="1"/>
  <c r="A54" i="6"/>
  <c r="D30" i="4"/>
  <c r="E30" i="4"/>
  <c r="F30" i="4"/>
  <c r="G30" i="4"/>
  <c r="H30" i="4"/>
  <c r="I30" i="4"/>
  <c r="J30" i="4"/>
  <c r="L30" i="4"/>
  <c r="M30" i="4"/>
  <c r="N30" i="4"/>
  <c r="O30" i="4"/>
  <c r="P30" i="4"/>
  <c r="Q30" i="4"/>
  <c r="R30" i="4"/>
  <c r="S30" i="4"/>
  <c r="U30" i="4"/>
  <c r="V30" i="4"/>
  <c r="W30" i="4"/>
  <c r="X30" i="4"/>
  <c r="Y30" i="4"/>
  <c r="Z30" i="4"/>
  <c r="AA30" i="4"/>
  <c r="AB30" i="4"/>
  <c r="D31" i="4"/>
  <c r="E31" i="4"/>
  <c r="F31" i="4"/>
  <c r="G31" i="4"/>
  <c r="H31" i="4"/>
  <c r="I31" i="4"/>
  <c r="J31" i="4"/>
  <c r="L31" i="4"/>
  <c r="M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AB31" i="4"/>
  <c r="D32" i="4"/>
  <c r="E32" i="4"/>
  <c r="F32" i="4"/>
  <c r="G32" i="4"/>
  <c r="H32" i="4"/>
  <c r="I32" i="4"/>
  <c r="J32" i="4"/>
  <c r="L32" i="4"/>
  <c r="M32" i="4"/>
  <c r="N32" i="4"/>
  <c r="O32" i="4"/>
  <c r="P32" i="4"/>
  <c r="Q32" i="4"/>
  <c r="R32" i="4"/>
  <c r="S32" i="4"/>
  <c r="U32" i="4"/>
  <c r="V32" i="4"/>
  <c r="W32" i="4"/>
  <c r="X32" i="4"/>
  <c r="Y32" i="4"/>
  <c r="Z32" i="4"/>
  <c r="AA32" i="4"/>
  <c r="AB32" i="4"/>
  <c r="D33" i="4"/>
  <c r="E33" i="4"/>
  <c r="F33" i="4"/>
  <c r="G33" i="4"/>
  <c r="H33" i="4"/>
  <c r="I33" i="4"/>
  <c r="J33" i="4"/>
  <c r="L33" i="4"/>
  <c r="M33" i="4"/>
  <c r="N33" i="4"/>
  <c r="O33" i="4"/>
  <c r="P33" i="4"/>
  <c r="Q33" i="4"/>
  <c r="R33" i="4"/>
  <c r="S33" i="4"/>
  <c r="U33" i="4"/>
  <c r="V33" i="4"/>
  <c r="W33" i="4"/>
  <c r="X33" i="4"/>
  <c r="Y33" i="4"/>
  <c r="Z33" i="4"/>
  <c r="AA33" i="4"/>
  <c r="AB33" i="4"/>
  <c r="D34" i="4"/>
  <c r="E34" i="4"/>
  <c r="F34" i="4"/>
  <c r="G34" i="4"/>
  <c r="H34" i="4"/>
  <c r="I34" i="4"/>
  <c r="J34" i="4"/>
  <c r="L34" i="4"/>
  <c r="M34" i="4"/>
  <c r="N34" i="4"/>
  <c r="O34" i="4"/>
  <c r="P34" i="4"/>
  <c r="Q34" i="4"/>
  <c r="R34" i="4"/>
  <c r="S34" i="4"/>
  <c r="U34" i="4"/>
  <c r="V34" i="4"/>
  <c r="W34" i="4"/>
  <c r="X34" i="4"/>
  <c r="Y34" i="4"/>
  <c r="Z34" i="4"/>
  <c r="AA34" i="4"/>
  <c r="AB34" i="4"/>
  <c r="C30" i="4"/>
  <c r="C31" i="4"/>
  <c r="C32" i="4"/>
  <c r="C33" i="4"/>
  <c r="C34" i="4"/>
  <c r="D29" i="4"/>
  <c r="E29" i="4"/>
  <c r="F29" i="4"/>
  <c r="G29" i="4"/>
  <c r="H29" i="4"/>
  <c r="I29" i="4"/>
  <c r="J29" i="4"/>
  <c r="L29" i="4"/>
  <c r="M29" i="4"/>
  <c r="N29" i="4"/>
  <c r="O29" i="4"/>
  <c r="P29" i="4"/>
  <c r="Q29" i="4"/>
  <c r="R29" i="4"/>
  <c r="S29" i="4"/>
  <c r="U29" i="4"/>
  <c r="V29" i="4"/>
  <c r="W29" i="4"/>
  <c r="X29" i="4"/>
  <c r="Y29" i="4"/>
  <c r="Z29" i="4"/>
  <c r="AA29" i="4"/>
  <c r="AB29" i="4"/>
  <c r="C29" i="4"/>
  <c r="AH54" i="8" l="1"/>
  <c r="AK35" i="22"/>
  <c r="AL35" i="22" s="1"/>
  <c r="O15" i="16"/>
  <c r="K15" i="16"/>
  <c r="M15" i="16" s="1"/>
  <c r="I15" i="16"/>
  <c r="M5" i="16"/>
  <c r="AG54" i="8"/>
  <c r="AF44" i="4"/>
  <c r="AI41" i="4"/>
  <c r="AI42" i="4"/>
  <c r="AF42" i="4"/>
  <c r="AG41" i="4"/>
  <c r="AH41" i="4"/>
  <c r="AI44" i="4"/>
  <c r="AI45" i="4"/>
  <c r="AF41" i="4"/>
  <c r="AH44" i="4"/>
  <c r="AG44" i="4"/>
  <c r="AF45" i="4"/>
  <c r="AG45" i="4"/>
  <c r="AH45" i="4"/>
  <c r="AI43" i="4"/>
  <c r="AG42" i="4"/>
  <c r="AH42" i="4"/>
  <c r="AF54" i="8"/>
  <c r="AH43" i="4"/>
  <c r="AG43" i="4"/>
  <c r="AF46" i="4"/>
  <c r="AI46" i="4"/>
  <c r="AG46" i="4"/>
  <c r="AH46" i="4"/>
  <c r="AF43" i="4"/>
  <c r="AJ30" i="4"/>
  <c r="AJ32" i="4"/>
  <c r="AJ33" i="4"/>
  <c r="AJ29" i="4"/>
  <c r="AJ31" i="4"/>
  <c r="AJ34" i="4"/>
  <c r="AI54" i="6"/>
  <c r="AH54" i="6" s="1"/>
  <c r="AG54" i="6"/>
  <c r="AF54" i="6"/>
  <c r="AE54" i="6"/>
  <c r="AK35" i="9"/>
  <c r="AL35" i="9" s="1"/>
  <c r="AE33" i="4"/>
  <c r="AE32" i="4"/>
  <c r="AH33" i="4" l="1"/>
  <c r="AH32" i="4"/>
  <c r="AH31" i="4"/>
  <c r="AH29" i="4"/>
  <c r="AH30" i="4"/>
  <c r="AG32" i="4"/>
  <c r="AF32" i="4"/>
  <c r="AI32" i="4"/>
  <c r="AI33" i="4"/>
  <c r="AG33" i="4"/>
  <c r="AF33" i="4"/>
  <c r="AH34" i="4"/>
  <c r="AK30" i="4"/>
  <c r="AL30" i="4" s="1"/>
  <c r="AK31" i="4"/>
  <c r="AK29" i="4"/>
  <c r="AL29" i="4" s="1"/>
  <c r="AE31" i="4"/>
  <c r="AE30" i="4"/>
  <c r="AE29" i="4"/>
  <c r="AI29" i="4" l="1"/>
  <c r="AG29" i="4"/>
  <c r="AF29" i="4"/>
  <c r="AG31" i="4"/>
  <c r="AI31" i="4"/>
  <c r="AF31" i="4"/>
  <c r="AF30" i="4"/>
  <c r="AI30" i="4"/>
  <c r="AG30" i="4"/>
  <c r="AK35" i="4"/>
  <c r="AK33" i="4"/>
  <c r="AL33" i="4" s="1"/>
  <c r="G35" i="4"/>
  <c r="P35" i="4"/>
  <c r="Y35" i="4"/>
  <c r="H35" i="4"/>
  <c r="Q35" i="4"/>
  <c r="Z35" i="4"/>
  <c r="I35" i="4"/>
  <c r="R35" i="4"/>
  <c r="AA35" i="4"/>
  <c r="J35" i="4"/>
  <c r="S35" i="4"/>
  <c r="AB35" i="4"/>
  <c r="A35" i="4"/>
  <c r="AC35" i="4" s="1"/>
  <c r="G6" i="16" s="1"/>
  <c r="L35" i="4"/>
  <c r="U35" i="4"/>
  <c r="D35" i="4"/>
  <c r="M35" i="4"/>
  <c r="V35" i="4"/>
  <c r="E35" i="4"/>
  <c r="N35" i="4"/>
  <c r="W35" i="4"/>
  <c r="F35" i="4"/>
  <c r="O35" i="4"/>
  <c r="X35" i="4"/>
  <c r="C35" i="4"/>
  <c r="AL31" i="4"/>
  <c r="L6" i="16"/>
  <c r="AE34" i="4"/>
  <c r="E6" i="16" s="1"/>
  <c r="E16" i="16" l="1"/>
  <c r="E19" i="16" s="1"/>
  <c r="AI47" i="4"/>
  <c r="AF47" i="4"/>
  <c r="AG47" i="4"/>
  <c r="AH47" i="4"/>
  <c r="AF34" i="4"/>
  <c r="H6" i="16" s="1"/>
  <c r="I6" i="16" s="1"/>
  <c r="AI34" i="4"/>
  <c r="N6" i="16" s="1"/>
  <c r="O6" i="16" s="1"/>
  <c r="O16" i="16" s="1"/>
  <c r="O19" i="16" s="1"/>
  <c r="AG34" i="4"/>
  <c r="J6" i="16" s="1"/>
  <c r="K6" i="16" s="1"/>
  <c r="AJ35" i="4"/>
  <c r="AL35" i="4" s="1"/>
  <c r="AK34" i="4"/>
  <c r="AL34" i="4" s="1"/>
  <c r="AK32" i="4"/>
  <c r="AL32" i="4" s="1"/>
  <c r="AE35" i="4"/>
  <c r="F6" i="16" s="1"/>
  <c r="F16" i="16" s="1"/>
  <c r="M6" i="16" l="1"/>
  <c r="K16" i="16"/>
  <c r="K19" i="16" s="1"/>
  <c r="I16" i="16"/>
  <c r="H16" i="16" s="1"/>
  <c r="H18" i="16" s="1"/>
  <c r="E18" i="16"/>
  <c r="AH35" i="4"/>
  <c r="AG35" i="4"/>
  <c r="AI35" i="4"/>
  <c r="AF35" i="4"/>
  <c r="I19" i="16" l="1"/>
  <c r="M16" i="16"/>
  <c r="I20" i="16" s="1"/>
  <c r="J16" i="16"/>
  <c r="J18" i="16" s="1"/>
  <c r="K18" i="16"/>
  <c r="I18" i="16"/>
  <c r="F19" i="16"/>
  <c r="N16" i="16" l="1"/>
  <c r="N18" i="16" s="1"/>
  <c r="O18" i="16"/>
  <c r="F18" i="16"/>
  <c r="K20" i="16"/>
  <c r="M18" i="16" l="1"/>
  <c r="M19" i="16"/>
  <c r="L16" i="16"/>
  <c r="L18" i="16" s="1"/>
  <c r="M20" i="16" l="1"/>
</calcChain>
</file>

<file path=xl/comments1.xml><?xml version="1.0" encoding="utf-8"?>
<comments xmlns="http://schemas.openxmlformats.org/spreadsheetml/2006/main">
  <authors>
    <author>Yannick ROGUET</author>
  </authors>
  <commentList>
    <comment ref="R16" authorId="0">
      <text>
        <r>
          <rPr>
            <b/>
            <sz val="9"/>
            <color indexed="81"/>
            <rFont val="Tahoma"/>
            <charset val="1"/>
          </rPr>
          <t>Yannick ROGUET:</t>
        </r>
        <r>
          <rPr>
            <sz val="9"/>
            <color indexed="81"/>
            <rFont val="Tahoma"/>
            <charset val="1"/>
          </rPr>
          <t xml:space="preserve">
Une femme qui est venue d'Annemasse et qui est repartie vers Annemasse !</t>
        </r>
      </text>
    </comment>
  </commentList>
</comments>
</file>

<file path=xl/comments2.xml><?xml version="1.0" encoding="utf-8"?>
<comments xmlns="http://schemas.openxmlformats.org/spreadsheetml/2006/main">
  <authors>
    <author>Yannick ROGUET</author>
  </authors>
  <commentList>
    <comment ref="G16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manuellement en fonction de la majorité de la colonne</t>
        </r>
      </text>
    </comment>
  </commentList>
</comments>
</file>

<file path=xl/sharedStrings.xml><?xml version="1.0" encoding="utf-8"?>
<sst xmlns="http://schemas.openxmlformats.org/spreadsheetml/2006/main" count="2197" uniqueCount="175">
  <si>
    <t>Lieu :</t>
  </si>
  <si>
    <t>Date :</t>
  </si>
  <si>
    <t>Nom des personnes participant au comptage :</t>
  </si>
  <si>
    <t>Météo :</t>
  </si>
  <si>
    <t>H</t>
  </si>
  <si>
    <t>F</t>
  </si>
  <si>
    <t>Heure</t>
  </si>
  <si>
    <t>Minute</t>
  </si>
  <si>
    <t>VAE</t>
  </si>
  <si>
    <t>vélo</t>
  </si>
  <si>
    <t>de 8:00 à 9:00</t>
  </si>
  <si>
    <t>de 7:00 à 8:00</t>
  </si>
  <si>
    <t>TOTAL</t>
  </si>
  <si>
    <t>Période</t>
  </si>
  <si>
    <t>Part des VAE dans le total</t>
  </si>
  <si>
    <t>Part des femmes dans le total</t>
  </si>
  <si>
    <t>Part en direction d'Annemasse-Genève</t>
  </si>
  <si>
    <t>de 7:30 à 8:30</t>
  </si>
  <si>
    <t>Part des VAE chez les femmes</t>
  </si>
  <si>
    <t>Cycles en direction d'Annemasse-Genève</t>
  </si>
  <si>
    <t>Cycles en provenance de Reignier</t>
  </si>
  <si>
    <t>Cycles comptés au carrefour amont (PN93)</t>
  </si>
  <si>
    <t>Différence de cycles entre ces deux carrefour :
&gt;&gt; descendus au chemin raide sous le cimetière,
&gt;&gt; parti en vélo depuis le parking du cimetière ?</t>
  </si>
  <si>
    <t>00 – 14'59</t>
  </si>
  <si>
    <t>15 – 29'59</t>
  </si>
  <si>
    <t>30 – 44'59</t>
  </si>
  <si>
    <t>45 – 59'59</t>
  </si>
  <si>
    <t>Remarques :</t>
  </si>
  <si>
    <t>de 6:30 à 7:30</t>
  </si>
  <si>
    <t>de 8:30 à 9:30</t>
  </si>
  <si>
    <t>Date :</t>
  </si>
  <si>
    <t>Remarques</t>
  </si>
  <si>
    <t>ETREMBIERES_D2 route de la Libération / D906a (ex-PN93)</t>
  </si>
  <si>
    <t>ETREMBIERES_Rte de St-Julien / Rte du Salève (sous château)</t>
  </si>
  <si>
    <t>ARTHAZ_Route de Reignier D202 / Route Nationale D1205</t>
  </si>
  <si>
    <t>REIGNIER_Giratoire des Jonquilles (devant l'église)</t>
  </si>
  <si>
    <t>Depuis 'Etrembières - Autoroute'</t>
  </si>
  <si>
    <t>vers 'Reignier'</t>
  </si>
  <si>
    <t>vers 'Monnetier - La Muraz'</t>
  </si>
  <si>
    <t>Depuis 'Reignier'</t>
  </si>
  <si>
    <t>vers 'Château d'Etrembières'</t>
  </si>
  <si>
    <t>Depuis 'Château d'Etrembières'</t>
  </si>
  <si>
    <t>vers 'Etrembières - Autoroute'</t>
  </si>
  <si>
    <t>Depuis 'Monnetier - La Muraz'</t>
  </si>
  <si>
    <t>Depuis 'Pas-de-l'Echelle'</t>
  </si>
  <si>
    <t>vers 'Annemasse'</t>
  </si>
  <si>
    <t>Depuis 'Annemasse'</t>
  </si>
  <si>
    <t>vers 'Pas-de-l'Echelle'</t>
  </si>
  <si>
    <t>vers 'Nangy'</t>
  </si>
  <si>
    <t>vers 'Rossat'</t>
  </si>
  <si>
    <t>Depuis 'Nangy'</t>
  </si>
  <si>
    <t>Depuis 'Rossat'</t>
  </si>
  <si>
    <t>Depuis 'Annemasse - Genève'</t>
  </si>
  <si>
    <t>vers 'Reignier-centre'</t>
  </si>
  <si>
    <t>vers 'L'Eculaz'</t>
  </si>
  <si>
    <t>vers 'Annemasse - Genève'</t>
  </si>
  <si>
    <t>vers 'Rue des Ecoles'</t>
  </si>
  <si>
    <t>Depuis 'Reignier - Rue des Ecoles'</t>
  </si>
  <si>
    <t>Depuis 'L'Eculaz'</t>
  </si>
  <si>
    <t>Depuis 'Reignier-centre'</t>
  </si>
  <si>
    <t>REIGNIER BAS_Giratoire D2 / D202 (vers le Foron)</t>
  </si>
  <si>
    <t>Depuis 'Arthaz'</t>
  </si>
  <si>
    <t>vers 'Arthaz'</t>
  </si>
  <si>
    <t>Cycles venant du giratoire des Jonquilles</t>
  </si>
  <si>
    <t>D'Intermarché</t>
  </si>
  <si>
    <t>de ZA</t>
  </si>
  <si>
    <t>de Bigaille</t>
  </si>
  <si>
    <t>d'Annecy</t>
  </si>
  <si>
    <t>de Véto</t>
  </si>
  <si>
    <t>de Collège</t>
  </si>
  <si>
    <t>AMANCY_Giratoire de la Coriandre</t>
  </si>
  <si>
    <t xml:space="preserve">Méthodologie : </t>
  </si>
  <si>
    <t>Pour chaque intervalle de temps, marquer une seule croix par personne comptée</t>
  </si>
  <si>
    <t>Indiquer aussi la lettre correspondant à la sortie : A-ANNECY / B-BIGAILLE / C-COLLEGE / I-INTERMARCHE / V-VETO / Z-ZA</t>
  </si>
  <si>
    <t>Depuis 'La Roche'</t>
  </si>
  <si>
    <t>vers 'Findrol'</t>
  </si>
  <si>
    <t>Depuis 'Findrol'</t>
  </si>
  <si>
    <t>vers 'La Roche'</t>
  </si>
  <si>
    <t>Cycles en provenance de La Roche</t>
  </si>
  <si>
    <t>Part en provenance de Reignier</t>
  </si>
  <si>
    <t>SCIENTRIER_Carrefour vers la Tour de Bellecombe</t>
  </si>
  <si>
    <t>Depuis 'Esery'</t>
  </si>
  <si>
    <t>vers 'Esery'</t>
  </si>
  <si>
    <t>Cycles en provenance d'Esery</t>
  </si>
  <si>
    <t>PERS-JUSSY_Giratoire de Casino</t>
  </si>
  <si>
    <t>Depuis 'Pers-Jussy'</t>
  </si>
  <si>
    <t>vers 'Pers-Jussy'</t>
  </si>
  <si>
    <t>vers 'Casino'</t>
  </si>
  <si>
    <t>Depuis 'Casino'</t>
  </si>
  <si>
    <t>Lieu :</t>
  </si>
  <si>
    <t>Yannick ROGUET</t>
  </si>
  <si>
    <t>Si c'est enfant, remplacer la croix par E, une trottinette T, un piéton P, etc.</t>
  </si>
  <si>
    <t>COMMUNE_Nom du carrefour</t>
  </si>
  <si>
    <t>REIGNIER_Giratoire de la Forge (en-dessous du Fil des Saisons)</t>
  </si>
  <si>
    <t>REIGNIER_Carrefour Marsinge / Viaison (au-dessus du Fil des Saisons)</t>
  </si>
  <si>
    <t>Période comptée</t>
  </si>
  <si>
    <t>Début</t>
  </si>
  <si>
    <t>Fin</t>
  </si>
  <si>
    <t>9h00</t>
  </si>
  <si>
    <t>NB total de vélos</t>
  </si>
  <si>
    <t>Heure de pointe</t>
  </si>
  <si>
    <t>Nombre</t>
  </si>
  <si>
    <t>%</t>
  </si>
  <si>
    <t>VAE / total</t>
  </si>
  <si>
    <t>Femmes / total</t>
  </si>
  <si>
    <t>VAE chez les femmes</t>
  </si>
  <si>
    <t>dir. Annemasse-Genève</t>
  </si>
  <si>
    <t>SECTEUR "ARVE &amp; SALEVE"</t>
  </si>
  <si>
    <t>Nombre de VAE dans le total</t>
  </si>
  <si>
    <t>Nombre de femmes dans le total</t>
  </si>
  <si>
    <t>Nombre de VAE chez les femmes</t>
  </si>
  <si>
    <t>Part en provenance d'Esery</t>
  </si>
  <si>
    <t>Cycles en provenance de Pers-Jussy</t>
  </si>
  <si>
    <t>Cycles en direction de Reignier</t>
  </si>
  <si>
    <t>Part en direction de Reignier</t>
  </si>
  <si>
    <t>Cycles en direction de Findrol</t>
  </si>
  <si>
    <t>Part en direction de Findrol</t>
  </si>
  <si>
    <t>Part en provenance de La Roche</t>
  </si>
  <si>
    <t>Trop peu de cyclistes pour en tirer des conslusions, mais le giratoire est trop "routier" pour attirer les cyclistes qui doivent préférer l'éviter</t>
  </si>
  <si>
    <t>Hommes</t>
  </si>
  <si>
    <t>VAE Hom.</t>
  </si>
  <si>
    <t>Depuis 'Carrefour - Bersat'</t>
  </si>
  <si>
    <t>Depuis 'Esery - Méran'</t>
  </si>
  <si>
    <t>vers 'Carrefour - Bersat'</t>
  </si>
  <si>
    <t>vers 'Esery - Méran'</t>
  </si>
  <si>
    <t>REIGNIER_Giratoire de l'ancienne gendarmerie</t>
  </si>
  <si>
    <t>REIGNIER_Carrefour Rue de la Gare / Rte de Bellecombe (vers Tour d'Ivoire)</t>
  </si>
  <si>
    <t>Depuis 'Gare'</t>
  </si>
  <si>
    <t>vers 'Gare'</t>
  </si>
  <si>
    <t>Philippe LEMOINE</t>
  </si>
  <si>
    <t>mardi 31 mai 2022</t>
  </si>
  <si>
    <t>X</t>
  </si>
  <si>
    <t>vers 'Etrembères - Autoroute'</t>
  </si>
  <si>
    <t>7h00</t>
  </si>
  <si>
    <t>Méthodologie :</t>
  </si>
  <si>
    <t>Pour chaque intervalle de temps, marquer une seule croix par personne comptée.
Si c'est enfant, remplacer la croix par E, une trottinette T, un piéton P, etc.</t>
  </si>
  <si>
    <t>NB de cyclistes sur les 5 carrefours comptés chaque année</t>
  </si>
  <si>
    <t>NB  total de cyclistes par année</t>
  </si>
  <si>
    <t>NB de carrefours enquêtés</t>
  </si>
  <si>
    <t>mardi 28 mai 2024</t>
  </si>
  <si>
    <t>00 – 14</t>
  </si>
  <si>
    <t>15 – 29</t>
  </si>
  <si>
    <t>30 – 44</t>
  </si>
  <si>
    <t>45 – 59</t>
  </si>
  <si>
    <t>SYNTHESE DES COMPTAGES DU 28 MAI 2024</t>
  </si>
  <si>
    <t>Florence PELTIER</t>
  </si>
  <si>
    <t>Francis AMACHER</t>
  </si>
  <si>
    <t>Marie-Christine VAGNOUX</t>
  </si>
  <si>
    <t>Anne ASHOURI</t>
  </si>
  <si>
    <t>Sylvain BEAUD</t>
  </si>
  <si>
    <t>11 piétons
14 vélos de/vers le chemin du pied du Salève (tous de/vers Reignier) &gt;&gt; tableau à adapter pour l'an prochain</t>
  </si>
  <si>
    <t>Ensoleillé, mais lendemain d'une journée très pluvieuse</t>
  </si>
  <si>
    <t>De Reignier vers Etrembières/autoroute, 1 vélo sur 2 reste sur le trottoir et ne s'insère pas dans le trafic.
12 à 15 voitures avec vélo sur le hayon du coffre.
Trottinnettes électriques &gt;&gt; surtout des jeunes et presque jamais de casques</t>
  </si>
  <si>
    <t>3 vélos-cargos ou triporteurs + 1 vélo type vélomoteur (mais comme un vélo) &gt;&gt; il ne pédalait pas !
4 piétons, tous entre 'Etrembères - Autoroute' et 'Monnetier - La Muraz'
Le trafic s'est calmé vers 8h30 ; sinon, remontées de file presque continues depuis la fin des pavés roses (depuis Reignier)</t>
  </si>
  <si>
    <t>Compté de 7h30 à 8h25 &gt;&gt; chiffres redressés sur la base des années précédentes</t>
  </si>
  <si>
    <t>Comptés</t>
  </si>
  <si>
    <t>chaque année</t>
  </si>
  <si>
    <t>NB de VAE sur les 5 carrefours comptés chaque année</t>
  </si>
  <si>
    <t>TOTAL VAE</t>
  </si>
  <si>
    <t>TOTAL de femmes</t>
  </si>
  <si>
    <t>NB de femmes sur les 5 carrefours comptés chaque année</t>
  </si>
  <si>
    <t>NB de VAE chez les femmes sur les 5 carrefours comptés chaque année</t>
  </si>
  <si>
    <t>NB de VAE chez les femmes par année</t>
  </si>
  <si>
    <t>NB total de cyclistes par année</t>
  </si>
  <si>
    <t>NB total de VAE par année</t>
  </si>
  <si>
    <t>NB total de femmes par année</t>
  </si>
  <si>
    <t>Part de VAE chez les femmes par année</t>
  </si>
  <si>
    <t>Part de VAE chez les femmes sur les 5 carrefours comptés chaque année</t>
  </si>
  <si>
    <t>Part de VAE chez les femmes</t>
  </si>
  <si>
    <t>Part de femmes dans le TOTAL</t>
  </si>
  <si>
    <t>Part de femmes dans le TOTAL par année</t>
  </si>
  <si>
    <t>Part de femmes dans le TOTAL sur les 5 carrefours comptés chaque année</t>
  </si>
  <si>
    <t>Part des VAE</t>
  </si>
  <si>
    <t>Part de VAE par année</t>
  </si>
  <si>
    <t>Part de VAE sur les 5 carrefours comptés chaque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</si>
</sst>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40C];[Red]&quot;-&quot;#,##0.00&quot; &quot;[$€-40C]"/>
  </numFmts>
  <fonts count="37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theme="1"/>
      <name val="Ubuntu"/>
    </font>
    <font>
      <sz val="16"/>
      <color theme="1"/>
      <name val="Ubuntu"/>
    </font>
    <font>
      <b/>
      <sz val="14"/>
      <color theme="1"/>
      <name val="Ubuntu"/>
    </font>
    <font>
      <b/>
      <sz val="24"/>
      <color theme="1"/>
      <name val="Ubuntu"/>
    </font>
    <font>
      <b/>
      <sz val="18"/>
      <color theme="1"/>
      <name val="Ubuntu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Ubuntu"/>
    </font>
    <font>
      <b/>
      <sz val="16"/>
      <color rgb="FFFF0000"/>
      <name val="Ubuntu"/>
    </font>
    <font>
      <sz val="16"/>
      <color rgb="FFFF0000"/>
      <name val="Ubuntu"/>
    </font>
    <font>
      <sz val="11"/>
      <color rgb="FFFF0000"/>
      <name val="Arial"/>
      <family val="2"/>
    </font>
    <font>
      <b/>
      <sz val="14"/>
      <color rgb="FFFF0000"/>
      <name val="Ubuntu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Arial"/>
      <family val="2"/>
    </font>
    <font>
      <b/>
      <sz val="16"/>
      <name val="Arial"/>
      <family val="2"/>
    </font>
    <font>
      <sz val="18"/>
      <name val="Ubuntu"/>
    </font>
    <font>
      <b/>
      <sz val="18"/>
      <name val="Ubuntu"/>
    </font>
    <font>
      <b/>
      <sz val="16"/>
      <name val="Ubuntu"/>
    </font>
    <font>
      <sz val="16"/>
      <name val="Ubuntu"/>
    </font>
    <font>
      <sz val="11"/>
      <name val="Arial"/>
      <family val="2"/>
    </font>
    <font>
      <b/>
      <sz val="14"/>
      <name val="Ubuntu"/>
    </font>
    <font>
      <b/>
      <sz val="24"/>
      <name val="Ubuntu"/>
    </font>
    <font>
      <b/>
      <sz val="24"/>
      <color rgb="FFFF0000"/>
      <name val="Ubuntu"/>
    </font>
    <font>
      <b/>
      <sz val="18"/>
      <color rgb="FFFF0000"/>
      <name val="Ubuntu"/>
    </font>
    <font>
      <b/>
      <sz val="16"/>
      <color rgb="FFFF0000"/>
      <name val="Arial"/>
      <family val="2"/>
    </font>
    <font>
      <sz val="18"/>
      <color rgb="FFFF0000"/>
      <name val="Ubuntu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05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thin">
        <color auto="1"/>
      </right>
      <top/>
      <bottom style="thin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auto="1"/>
      </right>
      <top/>
      <bottom style="thin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auto="1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/>
      <diagonal/>
    </border>
    <border>
      <left style="dotted">
        <color auto="1"/>
      </left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/>
      <top style="thin">
        <color rgb="FF000000"/>
      </top>
      <bottom style="dotted">
        <color auto="1"/>
      </bottom>
      <diagonal/>
    </border>
    <border>
      <left/>
      <right/>
      <top style="thin">
        <color rgb="FF000000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/>
      <top style="dotted">
        <color auto="1"/>
      </top>
      <bottom style="thin">
        <color rgb="FF000000"/>
      </bottom>
      <diagonal/>
    </border>
    <border>
      <left/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auto="1"/>
      </bottom>
      <diagonal/>
    </border>
    <border>
      <left style="thin">
        <color rgb="FF000000"/>
      </left>
      <right/>
      <top style="dotted">
        <color auto="1"/>
      </top>
      <bottom style="dotted">
        <color auto="1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theme="0" tint="-0.14993743705557422"/>
      </top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auto="1"/>
      </right>
      <top/>
      <bottom style="thin">
        <color rgb="FF000000"/>
      </bottom>
      <diagonal/>
    </border>
    <border>
      <left style="double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0691854609822"/>
      </bottom>
      <diagonal/>
    </border>
    <border>
      <left/>
      <right style="double">
        <color auto="1"/>
      </right>
      <top style="double">
        <color rgb="FF000000"/>
      </top>
      <bottom/>
      <diagonal/>
    </border>
    <border>
      <left style="double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uble">
        <color auto="1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auto="1"/>
      </left>
      <right style="dotted">
        <color rgb="FF000000"/>
      </right>
      <top/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double">
        <color rgb="FF000000"/>
      </bottom>
      <diagonal/>
    </border>
    <border>
      <left/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thin">
        <color auto="1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/>
      <right/>
      <top/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 style="double">
        <color rgb="FF000000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/>
      <bottom/>
      <diagonal/>
    </border>
    <border>
      <left/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3743705557422"/>
      </top>
      <bottom style="medium">
        <color theme="0" tint="-0.14990691854609822"/>
      </bottom>
      <diagonal/>
    </border>
    <border>
      <left/>
      <right/>
      <top style="medium">
        <color theme="0" tint="-0.14990691854609822"/>
      </top>
      <bottom style="medium">
        <color theme="0" tint="-0.14990691854609822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 tint="-0.149906918546098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/>
      <diagonal/>
    </border>
    <border>
      <left style="thin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dotted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rgb="FF000000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rgb="FF000000"/>
      </right>
      <top style="double">
        <color auto="1"/>
      </top>
      <bottom/>
      <diagonal/>
    </border>
    <border>
      <left style="medium">
        <color theme="0" tint="-0.14993743705557422"/>
      </left>
      <right/>
      <top/>
      <bottom/>
      <diagonal/>
    </border>
    <border>
      <left style="double">
        <color auto="1"/>
      </left>
      <right/>
      <top style="double">
        <color rgb="FF000000"/>
      </top>
      <bottom/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/>
      <right/>
      <top style="medium">
        <color theme="0" tint="-0.14996795556505021"/>
      </top>
      <bottom style="medium">
        <color theme="0" tint="-0.14993743705557422"/>
      </bottom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 style="double">
        <color rgb="FF000000"/>
      </left>
      <right/>
      <top style="thin">
        <color rgb="FF000000"/>
      </top>
      <bottom style="dotted">
        <color theme="0" tint="-0.499984740745262"/>
      </bottom>
      <diagonal/>
    </border>
    <border>
      <left/>
      <right style="double">
        <color rgb="FF000000"/>
      </right>
      <top style="thin">
        <color rgb="FF000000"/>
      </top>
      <bottom style="dotted">
        <color theme="0" tint="-0.499984740745262"/>
      </bottom>
      <diagonal/>
    </border>
    <border>
      <left style="double">
        <color rgb="FF000000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uble">
        <color rgb="FF000000"/>
      </right>
      <top style="dotted">
        <color theme="0" tint="-0.499984740745262"/>
      </top>
      <bottom style="dotted">
        <color theme="0" tint="-0.499984740745262"/>
      </bottom>
      <diagonal/>
    </border>
    <border>
      <left style="double">
        <color rgb="FF000000"/>
      </left>
      <right/>
      <top style="dotted">
        <color theme="0" tint="-0.499984740745262"/>
      </top>
      <bottom style="medium">
        <color theme="0" tint="-0.499984740745262"/>
      </bottom>
      <diagonal/>
    </border>
    <border>
      <left/>
      <right style="double">
        <color rgb="FF000000"/>
      </right>
      <top style="dotted">
        <color theme="0" tint="-0.499984740745262"/>
      </top>
      <bottom style="medium">
        <color theme="0" tint="-0.499984740745262"/>
      </bottom>
      <diagonal/>
    </border>
    <border>
      <left style="double">
        <color rgb="FF000000"/>
      </left>
      <right/>
      <top style="medium">
        <color theme="0" tint="-0.499984740745262"/>
      </top>
      <bottom style="dotted">
        <color theme="0" tint="-0.499984740745262"/>
      </bottom>
      <diagonal/>
    </border>
    <border>
      <left/>
      <right style="double">
        <color rgb="FF000000"/>
      </right>
      <top style="medium">
        <color theme="0" tint="-0.499984740745262"/>
      </top>
      <bottom style="dotted">
        <color theme="0" tint="-0.499984740745262"/>
      </bottom>
      <diagonal/>
    </border>
    <border>
      <left style="double">
        <color rgb="FF000000"/>
      </left>
      <right/>
      <top style="dotted">
        <color theme="0" tint="-0.499984740745262"/>
      </top>
      <bottom style="thin">
        <color rgb="FF000000"/>
      </bottom>
      <diagonal/>
    </border>
    <border>
      <left/>
      <right style="double">
        <color rgb="FF000000"/>
      </right>
      <top style="dotted">
        <color theme="0" tint="-0.499984740745262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medium">
        <color theme="0" tint="-0.499984740745262"/>
      </bottom>
      <diagonal/>
    </border>
    <border>
      <left style="double">
        <color rgb="FF000000"/>
      </left>
      <right/>
      <top style="medium">
        <color theme="0" tint="-0.499984740745262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 style="double">
        <color rgb="FF000000"/>
      </left>
      <right style="dotted">
        <color theme="0" tint="-0.499984740745262"/>
      </right>
      <top/>
      <bottom style="thin">
        <color rgb="FF000000"/>
      </bottom>
      <diagonal/>
    </border>
    <border>
      <left style="dotted">
        <color theme="0" tint="-0.499984740745262"/>
      </left>
      <right/>
      <top/>
      <bottom style="thin">
        <color rgb="FF000000"/>
      </bottom>
      <diagonal/>
    </border>
    <border>
      <left style="double">
        <color rgb="FF000000"/>
      </left>
      <right style="dotted">
        <color theme="0" tint="-0.499984740745262"/>
      </right>
      <top style="thin">
        <color rgb="FF000000"/>
      </top>
      <bottom style="thin">
        <color rgb="FF000000"/>
      </bottom>
      <diagonal/>
    </border>
    <border>
      <left style="dotted">
        <color theme="0" tint="-0.499984740745262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theme="0" tint="-0.499984740745262"/>
      </right>
      <top style="thin">
        <color rgb="FF000000"/>
      </top>
      <bottom style="dotted">
        <color theme="0" tint="-0.499984740745262"/>
      </bottom>
      <diagonal/>
    </border>
    <border>
      <left style="dotted">
        <color theme="0" tint="-0.499984740745262"/>
      </left>
      <right style="thin">
        <color auto="1"/>
      </right>
      <top style="thin">
        <color rgb="FF000000"/>
      </top>
      <bottom style="dotted">
        <color theme="0" tint="-0.499984740745262"/>
      </bottom>
      <diagonal/>
    </border>
    <border>
      <left style="double">
        <color rgb="FF000000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thin">
        <color auto="1"/>
      </right>
      <top style="dotted">
        <color theme="0" tint="-0.499984740745262"/>
      </top>
      <bottom style="dotted">
        <color theme="0" tint="-0.499984740745262"/>
      </bottom>
      <diagonal/>
    </border>
    <border>
      <left style="double">
        <color rgb="FF000000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thin">
        <color auto="1"/>
      </right>
      <top style="dotted">
        <color theme="0" tint="-0.499984740745262"/>
      </top>
      <bottom style="medium">
        <color theme="0" tint="-0.499984740745262"/>
      </bottom>
      <diagonal/>
    </border>
    <border>
      <left style="double">
        <color rgb="FF000000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thin">
        <color auto="1"/>
      </right>
      <top style="medium">
        <color theme="0" tint="-0.499984740745262"/>
      </top>
      <bottom style="dotted">
        <color theme="0" tint="-0.499984740745262"/>
      </bottom>
      <diagonal/>
    </border>
    <border>
      <left style="double">
        <color rgb="FF000000"/>
      </left>
      <right style="dotted">
        <color theme="0" tint="-0.499984740745262"/>
      </right>
      <top style="dotted">
        <color theme="0" tint="-0.499984740745262"/>
      </top>
      <bottom style="thin">
        <color rgb="FF000000"/>
      </bottom>
      <diagonal/>
    </border>
    <border>
      <left style="dotted">
        <color theme="0" tint="-0.499984740745262"/>
      </left>
      <right style="thin">
        <color auto="1"/>
      </right>
      <top style="dotted">
        <color theme="0" tint="-0.499984740745262"/>
      </top>
      <bottom style="thin">
        <color rgb="FF000000"/>
      </bottom>
      <diagonal/>
    </border>
    <border>
      <left style="thin">
        <color rgb="FF000000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uble">
        <color auto="1"/>
      </right>
      <top/>
      <bottom/>
      <diagonal/>
    </border>
    <border>
      <left style="thin">
        <color rgb="FF000000"/>
      </left>
      <right style="dotted">
        <color theme="0" tint="-0.499984740745262"/>
      </right>
      <top/>
      <bottom style="thin">
        <color rgb="FF000000"/>
      </bottom>
      <diagonal/>
    </border>
    <border>
      <left style="dotted">
        <color theme="0" tint="-0.499984740745262"/>
      </left>
      <right style="double">
        <color auto="1"/>
      </right>
      <top/>
      <bottom style="thin">
        <color rgb="FF000000"/>
      </bottom>
      <diagonal/>
    </border>
    <border>
      <left style="thin">
        <color rgb="FF000000"/>
      </left>
      <right style="dotted">
        <color theme="0" tint="-0.499984740745262"/>
      </right>
      <top style="thin">
        <color rgb="FF000000"/>
      </top>
      <bottom style="thin">
        <color rgb="FF000000"/>
      </bottom>
      <diagonal/>
    </border>
    <border>
      <left style="dotted">
        <color theme="0" tint="-0.499984740745262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dotted">
        <color theme="0" tint="-0.499984740745262"/>
      </right>
      <top style="thin">
        <color rgb="FF000000"/>
      </top>
      <bottom style="dotted">
        <color theme="0" tint="-0.499984740745262"/>
      </bottom>
      <diagonal/>
    </border>
    <border>
      <left style="dotted">
        <color theme="0" tint="-0.499984740745262"/>
      </left>
      <right style="double">
        <color auto="1"/>
      </right>
      <top style="thin">
        <color rgb="FF000000"/>
      </top>
      <bottom style="dotted">
        <color theme="0" tint="-0.499984740745262"/>
      </bottom>
      <diagonal/>
    </border>
    <border>
      <left style="thin">
        <color auto="1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uble">
        <color auto="1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auto="1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tted">
        <color theme="0" tint="-0.499984740745262"/>
      </left>
      <right style="double">
        <color auto="1"/>
      </right>
      <top style="dotted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uble">
        <color auto="1"/>
      </right>
      <top style="medium">
        <color theme="0" tint="-0.499984740745262"/>
      </top>
      <bottom style="dotted">
        <color theme="0" tint="-0.499984740745262"/>
      </bottom>
      <diagonal/>
    </border>
    <border>
      <left style="thin">
        <color auto="1"/>
      </left>
      <right style="dotted">
        <color theme="0" tint="-0.499984740745262"/>
      </right>
      <top style="dotted">
        <color theme="0" tint="-0.499984740745262"/>
      </top>
      <bottom style="thin">
        <color rgb="FF000000"/>
      </bottom>
      <diagonal/>
    </border>
    <border>
      <left style="dotted">
        <color theme="0" tint="-0.499984740745262"/>
      </left>
      <right style="double">
        <color auto="1"/>
      </right>
      <top style="dotted">
        <color theme="0" tint="-0.499984740745262"/>
      </top>
      <bottom style="thin">
        <color rgb="FF000000"/>
      </bottom>
      <diagonal/>
    </border>
    <border>
      <left style="double">
        <color auto="1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thin">
        <color rgb="FF000000"/>
      </right>
      <top/>
      <bottom/>
      <diagonal/>
    </border>
    <border>
      <left style="double">
        <color auto="1"/>
      </left>
      <right style="dotted">
        <color theme="0" tint="-0.499984740745262"/>
      </right>
      <top/>
      <bottom style="thin">
        <color rgb="FF000000"/>
      </bottom>
      <diagonal/>
    </border>
    <border>
      <left style="dotted">
        <color theme="0" tint="-0.499984740745262"/>
      </left>
      <right style="thin">
        <color rgb="FF000000"/>
      </right>
      <top/>
      <bottom style="thin">
        <color rgb="FF000000"/>
      </bottom>
      <diagonal/>
    </border>
    <border>
      <left style="double">
        <color auto="1"/>
      </left>
      <right style="dotted">
        <color theme="0" tint="-0.499984740745262"/>
      </right>
      <top style="thin">
        <color rgb="FF000000"/>
      </top>
      <bottom style="thin">
        <color rgb="FF000000"/>
      </bottom>
      <diagonal/>
    </border>
    <border>
      <left style="dotted">
        <color theme="0" tint="-0.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theme="0" tint="-0.499984740745262"/>
      </right>
      <top style="thin">
        <color rgb="FF000000"/>
      </top>
      <bottom style="dotted">
        <color theme="0" tint="-0.499984740745262"/>
      </bottom>
      <diagonal/>
    </border>
    <border>
      <left style="double">
        <color auto="1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uble">
        <color auto="1"/>
      </left>
      <right style="dotted">
        <color theme="0" tint="-0.499984740745262"/>
      </right>
      <top style="dotted">
        <color theme="0" tint="-0.499984740745262"/>
      </top>
      <bottom style="medium">
        <color theme="0" tint="-0.499984740745262"/>
      </bottom>
      <diagonal/>
    </border>
    <border>
      <left style="double">
        <color auto="1"/>
      </left>
      <right style="dotted">
        <color theme="0" tint="-0.499984740745262"/>
      </right>
      <top style="medium">
        <color theme="0" tint="-0.499984740745262"/>
      </top>
      <bottom style="dotted">
        <color theme="0" tint="-0.499984740745262"/>
      </bottom>
      <diagonal/>
    </border>
    <border>
      <left style="double">
        <color auto="1"/>
      </left>
      <right style="dotted">
        <color theme="0" tint="-0.499984740745262"/>
      </right>
      <top style="dotted">
        <color theme="0" tint="-0.499984740745262"/>
      </top>
      <bottom style="thin">
        <color rgb="FF000000"/>
      </bottom>
      <diagonal/>
    </border>
    <border>
      <left style="dotted">
        <color theme="0" tint="-0.499984740745262"/>
      </left>
      <right style="thin">
        <color auto="1"/>
      </right>
      <top/>
      <bottom/>
      <diagonal/>
    </border>
    <border>
      <left style="dotted">
        <color theme="0" tint="-0.499984740745262"/>
      </left>
      <right style="thin">
        <color auto="1"/>
      </right>
      <top/>
      <bottom style="thin">
        <color rgb="FF000000"/>
      </bottom>
      <diagonal/>
    </border>
    <border>
      <left style="dotted">
        <color theme="0" tint="-0.499984740745262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dotted">
        <color theme="0" tint="-0.499984740745262"/>
      </right>
      <top/>
      <bottom/>
      <diagonal/>
    </border>
    <border>
      <left style="thin">
        <color auto="1"/>
      </left>
      <right style="dotted">
        <color theme="0" tint="-0.499984740745262"/>
      </right>
      <top/>
      <bottom style="thin">
        <color rgb="FF000000"/>
      </bottom>
      <diagonal/>
    </border>
    <border>
      <left style="thin">
        <color auto="1"/>
      </left>
      <right style="dotted">
        <color theme="0" tint="-0.499984740745262"/>
      </right>
      <top style="thin">
        <color rgb="FF000000"/>
      </top>
      <bottom style="thin">
        <color rgb="FF000000"/>
      </bottom>
      <diagonal/>
    </border>
    <border>
      <left style="dotted">
        <color theme="0" tint="-0.499984740745262"/>
      </left>
      <right style="double">
        <color rgb="FF000000"/>
      </right>
      <top/>
      <bottom/>
      <diagonal/>
    </border>
    <border>
      <left style="dotted">
        <color theme="0" tint="-0.499984740745262"/>
      </left>
      <right style="double">
        <color rgb="FF000000"/>
      </right>
      <top/>
      <bottom style="thin">
        <color rgb="FF000000"/>
      </bottom>
      <diagonal/>
    </border>
    <border>
      <left style="dotted">
        <color theme="0" tint="-0.499984740745262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  <xf numFmtId="9" fontId="9" fillId="0" borderId="0" applyFont="0" applyFill="0" applyBorder="0" applyAlignment="0" applyProtection="0"/>
    <xf numFmtId="0" fontId="1" fillId="0" borderId="0"/>
  </cellStyleXfs>
  <cellXfs count="1199"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5" fillId="0" borderId="49" xfId="0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" fontId="11" fillId="0" borderId="63" xfId="5" applyNumberFormat="1" applyFont="1" applyBorder="1" applyAlignment="1">
      <alignment horizontal="center" vertical="center"/>
    </xf>
    <xf numFmtId="1" fontId="11" fillId="0" borderId="64" xfId="5" applyNumberFormat="1" applyFont="1" applyBorder="1" applyAlignment="1">
      <alignment horizontal="center" vertical="center"/>
    </xf>
    <xf numFmtId="1" fontId="11" fillId="0" borderId="71" xfId="5" applyNumberFormat="1" applyFont="1" applyBorder="1" applyAlignment="1">
      <alignment horizontal="center" vertical="center"/>
    </xf>
    <xf numFmtId="1" fontId="11" fillId="0" borderId="73" xfId="5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5" fillId="3" borderId="76" xfId="0" applyFont="1" applyFill="1" applyBorder="1" applyAlignment="1">
      <alignment vertical="center"/>
    </xf>
    <xf numFmtId="0" fontId="5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8" fillId="0" borderId="109" xfId="0" applyFont="1" applyBorder="1" applyAlignment="1">
      <alignment horizontal="center" vertical="center"/>
    </xf>
    <xf numFmtId="1" fontId="11" fillId="0" borderId="111" xfId="5" applyNumberFormat="1" applyFont="1" applyBorder="1" applyAlignment="1">
      <alignment horizontal="center" vertical="center"/>
    </xf>
    <xf numFmtId="1" fontId="11" fillId="0" borderId="112" xfId="5" applyNumberFormat="1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1" fontId="11" fillId="0" borderId="117" xfId="5" applyNumberFormat="1" applyFont="1" applyBorder="1" applyAlignment="1">
      <alignment horizontal="center" vertical="center"/>
    </xf>
    <xf numFmtId="1" fontId="11" fillId="0" borderId="118" xfId="5" applyNumberFormat="1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1" fontId="11" fillId="0" borderId="123" xfId="5" applyNumberFormat="1" applyFont="1" applyBorder="1" applyAlignment="1">
      <alignment horizontal="center" vertical="center"/>
    </xf>
    <xf numFmtId="1" fontId="11" fillId="0" borderId="124" xfId="5" applyNumberFormat="1" applyFont="1" applyBorder="1" applyAlignment="1">
      <alignment horizontal="center" vertical="center"/>
    </xf>
    <xf numFmtId="1" fontId="11" fillId="3" borderId="153" xfId="5" applyNumberFormat="1" applyFont="1" applyFill="1" applyBorder="1" applyAlignment="1">
      <alignment horizontal="center" vertical="center"/>
    </xf>
    <xf numFmtId="1" fontId="11" fillId="3" borderId="108" xfId="5" applyNumberFormat="1" applyFont="1" applyFill="1" applyBorder="1" applyAlignment="1">
      <alignment horizontal="center" vertical="center"/>
    </xf>
    <xf numFmtId="1" fontId="11" fillId="3" borderId="154" xfId="5" applyNumberFormat="1" applyFont="1" applyFill="1" applyBorder="1" applyAlignment="1">
      <alignment horizontal="center" vertical="center"/>
    </xf>
    <xf numFmtId="1" fontId="11" fillId="3" borderId="114" xfId="5" applyNumberFormat="1" applyFont="1" applyFill="1" applyBorder="1" applyAlignment="1">
      <alignment horizontal="center" vertical="center"/>
    </xf>
    <xf numFmtId="0" fontId="5" fillId="3" borderId="126" xfId="0" applyFont="1" applyFill="1" applyBorder="1" applyAlignment="1">
      <alignment horizontal="center" vertical="center"/>
    </xf>
    <xf numFmtId="0" fontId="5" fillId="3" borderId="136" xfId="0" applyFont="1" applyFill="1" applyBorder="1" applyAlignment="1">
      <alignment horizontal="center" vertical="center"/>
    </xf>
    <xf numFmtId="0" fontId="5" fillId="3" borderId="137" xfId="0" applyFont="1" applyFill="1" applyBorder="1" applyAlignment="1">
      <alignment horizontal="center" vertical="center"/>
    </xf>
    <xf numFmtId="0" fontId="5" fillId="3" borderId="127" xfId="0" applyFont="1" applyFill="1" applyBorder="1" applyAlignment="1">
      <alignment horizontal="center" vertical="center"/>
    </xf>
    <xf numFmtId="0" fontId="5" fillId="3" borderId="128" xfId="0" applyFont="1" applyFill="1" applyBorder="1" applyAlignment="1">
      <alignment horizontal="center" vertical="center"/>
    </xf>
    <xf numFmtId="0" fontId="5" fillId="3" borderId="138" xfId="0" applyFont="1" applyFill="1" applyBorder="1" applyAlignment="1">
      <alignment horizontal="center" vertical="center"/>
    </xf>
    <xf numFmtId="0" fontId="5" fillId="3" borderId="139" xfId="0" applyFont="1" applyFill="1" applyBorder="1" applyAlignment="1">
      <alignment horizontal="center" vertical="center"/>
    </xf>
    <xf numFmtId="0" fontId="5" fillId="3" borderId="129" xfId="0" applyFont="1" applyFill="1" applyBorder="1" applyAlignment="1">
      <alignment horizontal="center" vertical="center"/>
    </xf>
    <xf numFmtId="0" fontId="5" fillId="3" borderId="130" xfId="0" applyFont="1" applyFill="1" applyBorder="1" applyAlignment="1">
      <alignment horizontal="center" vertical="center"/>
    </xf>
    <xf numFmtId="0" fontId="5" fillId="3" borderId="140" xfId="0" applyFont="1" applyFill="1" applyBorder="1" applyAlignment="1">
      <alignment horizontal="center" vertical="center"/>
    </xf>
    <xf numFmtId="0" fontId="5" fillId="3" borderId="141" xfId="0" applyFont="1" applyFill="1" applyBorder="1" applyAlignment="1">
      <alignment horizontal="center" vertical="center"/>
    </xf>
    <xf numFmtId="0" fontId="5" fillId="3" borderId="131" xfId="0" applyFont="1" applyFill="1" applyBorder="1" applyAlignment="1">
      <alignment horizontal="center" vertical="center"/>
    </xf>
    <xf numFmtId="0" fontId="4" fillId="3" borderId="132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133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left" vertical="center"/>
    </xf>
    <xf numFmtId="0" fontId="5" fillId="2" borderId="78" xfId="0" applyFont="1" applyFill="1" applyBorder="1" applyAlignment="1">
      <alignment vertical="center"/>
    </xf>
    <xf numFmtId="0" fontId="4" fillId="3" borderId="134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157" xfId="0" applyFont="1" applyFill="1" applyBorder="1" applyAlignment="1">
      <alignment horizontal="left" vertical="center"/>
    </xf>
    <xf numFmtId="0" fontId="4" fillId="3" borderId="49" xfId="0" applyFont="1" applyFill="1" applyBorder="1" applyAlignment="1">
      <alignment horizontal="left" vertical="center"/>
    </xf>
    <xf numFmtId="0" fontId="5" fillId="3" borderId="49" xfId="0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9" fontId="11" fillId="3" borderId="0" xfId="5" applyFont="1" applyFill="1" applyBorder="1" applyAlignment="1">
      <alignment horizontal="center" vertical="center"/>
    </xf>
    <xf numFmtId="1" fontId="11" fillId="3" borderId="0" xfId="5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left" vertical="center"/>
    </xf>
    <xf numFmtId="1" fontId="11" fillId="3" borderId="164" xfId="5" applyNumberFormat="1" applyFont="1" applyFill="1" applyBorder="1" applyAlignment="1">
      <alignment horizontal="center" vertical="center"/>
    </xf>
    <xf numFmtId="1" fontId="11" fillId="3" borderId="147" xfId="5" applyNumberFormat="1" applyFont="1" applyFill="1" applyBorder="1" applyAlignment="1">
      <alignment horizontal="center" vertical="center"/>
    </xf>
    <xf numFmtId="0" fontId="8" fillId="3" borderId="109" xfId="0" applyFont="1" applyFill="1" applyBorder="1" applyAlignment="1">
      <alignment horizontal="center" vertical="center"/>
    </xf>
    <xf numFmtId="0" fontId="8" fillId="3" borderId="115" xfId="0" applyFont="1" applyFill="1" applyBorder="1" applyAlignment="1">
      <alignment horizontal="center" vertical="center"/>
    </xf>
    <xf numFmtId="0" fontId="8" fillId="3" borderId="148" xfId="0" applyFont="1" applyFill="1" applyBorder="1" applyAlignment="1">
      <alignment horizontal="center" vertical="center"/>
    </xf>
    <xf numFmtId="0" fontId="8" fillId="3" borderId="165" xfId="0" applyFont="1" applyFill="1" applyBorder="1" applyAlignment="1">
      <alignment horizontal="center" vertical="center"/>
    </xf>
    <xf numFmtId="1" fontId="8" fillId="3" borderId="163" xfId="5" applyNumberFormat="1" applyFont="1" applyFill="1" applyBorder="1" applyAlignment="1">
      <alignment vertical="center"/>
    </xf>
    <xf numFmtId="0" fontId="4" fillId="2" borderId="158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159" xfId="0" applyFont="1" applyFill="1" applyBorder="1" applyAlignment="1">
      <alignment horizontal="center" vertical="center"/>
    </xf>
    <xf numFmtId="9" fontId="11" fillId="3" borderId="180" xfId="5" applyFont="1" applyFill="1" applyBorder="1" applyAlignment="1">
      <alignment horizontal="center" vertical="center"/>
    </xf>
    <xf numFmtId="1" fontId="11" fillId="3" borderId="180" xfId="5" applyNumberFormat="1" applyFont="1" applyFill="1" applyBorder="1" applyAlignment="1">
      <alignment horizontal="center" vertical="center"/>
    </xf>
    <xf numFmtId="9" fontId="11" fillId="3" borderId="184" xfId="5" applyFont="1" applyFill="1" applyBorder="1" applyAlignment="1">
      <alignment horizontal="center" vertical="center"/>
    </xf>
    <xf numFmtId="1" fontId="11" fillId="3" borderId="184" xfId="5" applyNumberFormat="1" applyFont="1" applyFill="1" applyBorder="1" applyAlignment="1">
      <alignment horizontal="center" vertical="center"/>
    </xf>
    <xf numFmtId="9" fontId="11" fillId="3" borderId="188" xfId="5" applyFont="1" applyFill="1" applyBorder="1" applyAlignment="1">
      <alignment horizontal="center" vertical="center"/>
    </xf>
    <xf numFmtId="1" fontId="11" fillId="3" borderId="188" xfId="5" applyNumberFormat="1" applyFont="1" applyFill="1" applyBorder="1" applyAlignment="1">
      <alignment horizontal="center" vertical="center"/>
    </xf>
    <xf numFmtId="0" fontId="4" fillId="3" borderId="211" xfId="0" applyFont="1" applyFill="1" applyBorder="1" applyAlignment="1">
      <alignment horizontal="center" vertical="center"/>
    </xf>
    <xf numFmtId="1" fontId="8" fillId="3" borderId="212" xfId="5" applyNumberFormat="1" applyFont="1" applyFill="1" applyBorder="1" applyAlignment="1">
      <alignment vertical="center"/>
    </xf>
    <xf numFmtId="1" fontId="8" fillId="3" borderId="210" xfId="5" applyNumberFormat="1" applyFont="1" applyFill="1" applyBorder="1" applyAlignment="1">
      <alignment vertical="center"/>
    </xf>
    <xf numFmtId="0" fontId="13" fillId="3" borderId="241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3" fillId="0" borderId="3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9" fontId="0" fillId="0" borderId="0" xfId="5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254" xfId="0" applyBorder="1" applyAlignment="1">
      <alignment horizontal="center" vertical="center"/>
    </xf>
    <xf numFmtId="0" fontId="0" fillId="0" borderId="255" xfId="0" applyBorder="1" applyAlignment="1">
      <alignment horizontal="center" vertical="center"/>
    </xf>
    <xf numFmtId="0" fontId="0" fillId="0" borderId="256" xfId="0" applyBorder="1" applyAlignment="1">
      <alignment horizontal="center" vertical="center"/>
    </xf>
    <xf numFmtId="0" fontId="0" fillId="0" borderId="257" xfId="0" applyBorder="1" applyAlignment="1">
      <alignment horizontal="center" vertical="center"/>
    </xf>
    <xf numFmtId="0" fontId="16" fillId="2" borderId="252" xfId="0" applyFont="1" applyFill="1" applyBorder="1" applyAlignment="1">
      <alignment horizontal="center" vertical="center"/>
    </xf>
    <xf numFmtId="0" fontId="16" fillId="2" borderId="253" xfId="0" applyFont="1" applyFill="1" applyBorder="1" applyAlignment="1">
      <alignment horizontal="center" vertical="center"/>
    </xf>
    <xf numFmtId="0" fontId="16" fillId="2" borderId="261" xfId="0" applyFont="1" applyFill="1" applyBorder="1" applyAlignment="1">
      <alignment horizontal="center" vertical="center"/>
    </xf>
    <xf numFmtId="0" fontId="16" fillId="2" borderId="261" xfId="0" applyFont="1" applyFill="1" applyBorder="1" applyAlignment="1">
      <alignment horizontal="center" vertical="center" wrapText="1"/>
    </xf>
    <xf numFmtId="3" fontId="16" fillId="2" borderId="253" xfId="0" applyNumberFormat="1" applyFont="1" applyFill="1" applyBorder="1" applyAlignment="1">
      <alignment horizontal="center" vertical="center" wrapText="1"/>
    </xf>
    <xf numFmtId="3" fontId="16" fillId="2" borderId="266" xfId="0" applyNumberFormat="1" applyFont="1" applyFill="1" applyBorder="1" applyAlignment="1">
      <alignment horizontal="center" vertical="center" wrapText="1"/>
    </xf>
    <xf numFmtId="0" fontId="0" fillId="2" borderId="246" xfId="0" applyFill="1" applyBorder="1" applyAlignment="1">
      <alignment vertical="center"/>
    </xf>
    <xf numFmtId="0" fontId="0" fillId="2" borderId="248" xfId="0" applyFill="1" applyBorder="1" applyAlignment="1">
      <alignment vertical="center"/>
    </xf>
    <xf numFmtId="0" fontId="14" fillId="2" borderId="248" xfId="0" applyFont="1" applyFill="1" applyBorder="1" applyAlignment="1">
      <alignment vertical="center"/>
    </xf>
    <xf numFmtId="0" fontId="16" fillId="2" borderId="242" xfId="0" applyFont="1" applyFill="1" applyBorder="1" applyAlignment="1">
      <alignment vertical="center"/>
    </xf>
    <xf numFmtId="0" fontId="16" fillId="0" borderId="270" xfId="0" applyFont="1" applyBorder="1" applyAlignment="1">
      <alignment horizontal="center" vertical="center"/>
    </xf>
    <xf numFmtId="0" fontId="16" fillId="0" borderId="271" xfId="0" applyFont="1" applyBorder="1" applyAlignment="1">
      <alignment horizontal="center" vertical="center"/>
    </xf>
    <xf numFmtId="9" fontId="21" fillId="3" borderId="180" xfId="5" applyFont="1" applyFill="1" applyBorder="1" applyAlignment="1">
      <alignment horizontal="center" vertical="center"/>
    </xf>
    <xf numFmtId="1" fontId="21" fillId="3" borderId="180" xfId="5" applyNumberFormat="1" applyFont="1" applyFill="1" applyBorder="1" applyAlignment="1">
      <alignment horizontal="center" vertical="center"/>
    </xf>
    <xf numFmtId="9" fontId="21" fillId="3" borderId="184" xfId="5" applyFont="1" applyFill="1" applyBorder="1" applyAlignment="1">
      <alignment horizontal="center" vertical="center"/>
    </xf>
    <xf numFmtId="1" fontId="21" fillId="3" borderId="184" xfId="5" applyNumberFormat="1" applyFont="1" applyFill="1" applyBorder="1" applyAlignment="1">
      <alignment horizontal="center" vertical="center"/>
    </xf>
    <xf numFmtId="9" fontId="21" fillId="3" borderId="188" xfId="5" applyFont="1" applyFill="1" applyBorder="1" applyAlignment="1">
      <alignment horizontal="center" vertical="center"/>
    </xf>
    <xf numFmtId="1" fontId="21" fillId="3" borderId="188" xfId="5" applyNumberFormat="1" applyFont="1" applyFill="1" applyBorder="1" applyAlignment="1">
      <alignment horizontal="center" vertical="center"/>
    </xf>
    <xf numFmtId="9" fontId="21" fillId="3" borderId="47" xfId="5" applyFont="1" applyFill="1" applyBorder="1" applyAlignment="1">
      <alignment horizontal="center" vertical="center"/>
    </xf>
    <xf numFmtId="1" fontId="21" fillId="3" borderId="47" xfId="5" applyNumberFormat="1" applyFont="1" applyFill="1" applyBorder="1" applyAlignment="1">
      <alignment horizontal="center" vertical="center"/>
    </xf>
    <xf numFmtId="9" fontId="21" fillId="3" borderId="48" xfId="5" applyFont="1" applyFill="1" applyBorder="1" applyAlignment="1">
      <alignment horizontal="center" vertical="center"/>
    </xf>
    <xf numFmtId="1" fontId="21" fillId="3" borderId="48" xfId="5" applyNumberFormat="1" applyFont="1" applyFill="1" applyBorder="1" applyAlignment="1">
      <alignment horizontal="center" vertical="center"/>
    </xf>
    <xf numFmtId="3" fontId="11" fillId="3" borderId="180" xfId="5" applyNumberFormat="1" applyFont="1" applyFill="1" applyBorder="1" applyAlignment="1">
      <alignment horizontal="center" vertical="center"/>
    </xf>
    <xf numFmtId="3" fontId="11" fillId="3" borderId="184" xfId="5" applyNumberFormat="1" applyFont="1" applyFill="1" applyBorder="1" applyAlignment="1">
      <alignment horizontal="center" vertical="center"/>
    </xf>
    <xf numFmtId="3" fontId="11" fillId="3" borderId="188" xfId="5" applyNumberFormat="1" applyFont="1" applyFill="1" applyBorder="1" applyAlignment="1">
      <alignment horizontal="center" vertical="center"/>
    </xf>
    <xf numFmtId="1" fontId="11" fillId="3" borderId="113" xfId="5" applyNumberFormat="1" applyFont="1" applyFill="1" applyBorder="1" applyAlignment="1">
      <alignment horizontal="center" vertical="center"/>
    </xf>
    <xf numFmtId="1" fontId="11" fillId="3" borderId="119" xfId="5" applyNumberFormat="1" applyFont="1" applyFill="1" applyBorder="1" applyAlignment="1">
      <alignment horizontal="center" vertical="center"/>
    </xf>
    <xf numFmtId="1" fontId="11" fillId="3" borderId="274" xfId="5" applyNumberFormat="1" applyFont="1" applyFill="1" applyBorder="1" applyAlignment="1">
      <alignment horizontal="center" vertical="center"/>
    </xf>
    <xf numFmtId="1" fontId="8" fillId="3" borderId="275" xfId="5" applyNumberFormat="1" applyFont="1" applyFill="1" applyBorder="1" applyAlignment="1">
      <alignment vertical="center"/>
    </xf>
    <xf numFmtId="1" fontId="8" fillId="3" borderId="276" xfId="5" applyNumberFormat="1" applyFont="1" applyFill="1" applyBorder="1" applyAlignment="1">
      <alignment vertical="center"/>
    </xf>
    <xf numFmtId="1" fontId="8" fillId="3" borderId="277" xfId="5" applyNumberFormat="1" applyFont="1" applyFill="1" applyBorder="1" applyAlignment="1">
      <alignment vertical="center"/>
    </xf>
    <xf numFmtId="3" fontId="11" fillId="3" borderId="116" xfId="5" applyNumberFormat="1" applyFont="1" applyFill="1" applyBorder="1" applyAlignment="1">
      <alignment horizontal="center" vertical="center"/>
    </xf>
    <xf numFmtId="3" fontId="11" fillId="3" borderId="149" xfId="5" applyNumberFormat="1" applyFont="1" applyFill="1" applyBorder="1" applyAlignment="1">
      <alignment horizontal="center" vertical="center"/>
    </xf>
    <xf numFmtId="3" fontId="8" fillId="3" borderId="162" xfId="5" applyNumberFormat="1" applyFont="1" applyFill="1" applyBorder="1" applyAlignment="1">
      <alignment horizontal="center" vertical="center"/>
    </xf>
    <xf numFmtId="3" fontId="8" fillId="3" borderId="213" xfId="5" applyNumberFormat="1" applyFont="1" applyFill="1" applyBorder="1" applyAlignment="1">
      <alignment horizontal="center" vertical="center"/>
    </xf>
    <xf numFmtId="9" fontId="8" fillId="3" borderId="47" xfId="5" applyFont="1" applyFill="1" applyBorder="1" applyAlignment="1">
      <alignment horizontal="center" vertical="center"/>
    </xf>
    <xf numFmtId="9" fontId="8" fillId="3" borderId="48" xfId="5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11" fillId="3" borderId="283" xfId="5" applyNumberFormat="1" applyFont="1" applyFill="1" applyBorder="1" applyAlignment="1">
      <alignment horizontal="center" vertical="center"/>
    </xf>
    <xf numFmtId="3" fontId="11" fillId="3" borderId="284" xfId="5" applyNumberFormat="1" applyFont="1" applyFill="1" applyBorder="1" applyAlignment="1">
      <alignment horizontal="center" vertical="center"/>
    </xf>
    <xf numFmtId="3" fontId="11" fillId="3" borderId="285" xfId="5" applyNumberFormat="1" applyFont="1" applyFill="1" applyBorder="1" applyAlignment="1">
      <alignment horizontal="center" vertical="center"/>
    </xf>
    <xf numFmtId="3" fontId="8" fillId="3" borderId="244" xfId="5" applyNumberFormat="1" applyFont="1" applyFill="1" applyBorder="1" applyAlignment="1">
      <alignment horizontal="center" vertical="center"/>
    </xf>
    <xf numFmtId="3" fontId="8" fillId="3" borderId="286" xfId="5" applyNumberFormat="1" applyFont="1" applyFill="1" applyBorder="1" applyAlignment="1">
      <alignment horizontal="center" vertical="center"/>
    </xf>
    <xf numFmtId="1" fontId="8" fillId="3" borderId="47" xfId="5" applyNumberFormat="1" applyFont="1" applyFill="1" applyBorder="1" applyAlignment="1">
      <alignment horizontal="center" vertical="center"/>
    </xf>
    <xf numFmtId="1" fontId="8" fillId="3" borderId="48" xfId="5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3" borderId="278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8" fillId="3" borderId="278" xfId="0" applyFont="1" applyFill="1" applyBorder="1" applyAlignment="1">
      <alignment horizontal="center" vertical="center"/>
    </xf>
    <xf numFmtId="0" fontId="10" fillId="3" borderId="279" xfId="0" applyFont="1" applyFill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1" fontId="11" fillId="3" borderId="279" xfId="5" applyNumberFormat="1" applyFont="1" applyFill="1" applyBorder="1" applyAlignment="1">
      <alignment horizontal="center" vertical="center"/>
    </xf>
    <xf numFmtId="1" fontId="11" fillId="3" borderId="0" xfId="5" applyNumberFormat="1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9" fontId="22" fillId="3" borderId="47" xfId="5" applyFont="1" applyFill="1" applyBorder="1" applyAlignment="1">
      <alignment horizontal="center" vertical="center"/>
    </xf>
    <xf numFmtId="9" fontId="22" fillId="3" borderId="48" xfId="5" applyFont="1" applyFill="1" applyBorder="1" applyAlignment="1">
      <alignment horizontal="center" vertical="center"/>
    </xf>
    <xf numFmtId="3" fontId="21" fillId="3" borderId="283" xfId="5" applyNumberFormat="1" applyFont="1" applyFill="1" applyBorder="1" applyAlignment="1">
      <alignment horizontal="center" vertical="center"/>
    </xf>
    <xf numFmtId="3" fontId="21" fillId="3" borderId="284" xfId="5" applyNumberFormat="1" applyFont="1" applyFill="1" applyBorder="1" applyAlignment="1">
      <alignment horizontal="center" vertical="center"/>
    </xf>
    <xf numFmtId="3" fontId="21" fillId="3" borderId="285" xfId="5" applyNumberFormat="1" applyFont="1" applyFill="1" applyBorder="1" applyAlignment="1">
      <alignment horizontal="center" vertical="center"/>
    </xf>
    <xf numFmtId="3" fontId="22" fillId="3" borderId="244" xfId="5" applyNumberFormat="1" applyFont="1" applyFill="1" applyBorder="1" applyAlignment="1">
      <alignment horizontal="center" vertical="center"/>
    </xf>
    <xf numFmtId="3" fontId="22" fillId="3" borderId="286" xfId="5" applyNumberFormat="1" applyFont="1" applyFill="1" applyBorder="1" applyAlignment="1">
      <alignment horizontal="center" vertical="center"/>
    </xf>
    <xf numFmtId="0" fontId="0" fillId="2" borderId="157" xfId="0" applyFill="1" applyBorder="1" applyAlignment="1">
      <alignment vertical="center"/>
    </xf>
    <xf numFmtId="3" fontId="8" fillId="3" borderId="47" xfId="5" applyNumberFormat="1" applyFont="1" applyFill="1" applyBorder="1" applyAlignment="1">
      <alignment horizontal="center" vertical="center"/>
    </xf>
    <xf numFmtId="1" fontId="22" fillId="3" borderId="47" xfId="5" applyNumberFormat="1" applyFont="1" applyFill="1" applyBorder="1" applyAlignment="1">
      <alignment horizontal="center" vertical="center"/>
    </xf>
    <xf numFmtId="3" fontId="8" fillId="3" borderId="48" xfId="5" applyNumberFormat="1" applyFont="1" applyFill="1" applyBorder="1" applyAlignment="1">
      <alignment horizontal="center" vertical="center"/>
    </xf>
    <xf numFmtId="1" fontId="22" fillId="3" borderId="48" xfId="5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3" fillId="2" borderId="157" xfId="0" applyFont="1" applyFill="1" applyBorder="1" applyAlignment="1">
      <alignment horizontal="left" vertical="center"/>
    </xf>
    <xf numFmtId="0" fontId="22" fillId="3" borderId="109" xfId="0" applyFont="1" applyFill="1" applyBorder="1" applyAlignment="1">
      <alignment horizontal="center" vertical="center"/>
    </xf>
    <xf numFmtId="0" fontId="22" fillId="3" borderId="115" xfId="0" applyFont="1" applyFill="1" applyBorder="1" applyAlignment="1">
      <alignment horizontal="center" vertical="center"/>
    </xf>
    <xf numFmtId="0" fontId="22" fillId="3" borderId="121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19" xfId="0" applyFont="1" applyFill="1" applyBorder="1" applyAlignment="1">
      <alignment horizontal="center" vertical="center"/>
    </xf>
    <xf numFmtId="0" fontId="23" fillId="2" borderId="78" xfId="0" applyFont="1" applyFill="1" applyBorder="1" applyAlignment="1">
      <alignment horizontal="left" vertical="center"/>
    </xf>
    <xf numFmtId="0" fontId="24" fillId="3" borderId="75" xfId="0" applyFont="1" applyFill="1" applyBorder="1" applyAlignment="1">
      <alignment vertical="center"/>
    </xf>
    <xf numFmtId="0" fontId="24" fillId="3" borderId="76" xfId="0" applyFont="1" applyFill="1" applyBorder="1" applyAlignment="1">
      <alignment vertical="center"/>
    </xf>
    <xf numFmtId="0" fontId="25" fillId="3" borderId="76" xfId="0" applyFont="1" applyFill="1" applyBorder="1" applyAlignment="1">
      <alignment vertical="center"/>
    </xf>
    <xf numFmtId="0" fontId="25" fillId="3" borderId="77" xfId="0" applyFont="1" applyFill="1" applyBorder="1" applyAlignment="1">
      <alignment vertical="center"/>
    </xf>
    <xf numFmtId="0" fontId="23" fillId="2" borderId="78" xfId="0" applyFont="1" applyFill="1" applyBorder="1" applyAlignment="1">
      <alignment horizontal="right" vertical="center"/>
    </xf>
    <xf numFmtId="49" fontId="24" fillId="3" borderId="75" xfId="0" applyNumberFormat="1" applyFont="1" applyFill="1" applyBorder="1" applyAlignment="1">
      <alignment vertical="center"/>
    </xf>
    <xf numFmtId="0" fontId="24" fillId="3" borderId="77" xfId="0" applyFont="1" applyFill="1" applyBorder="1" applyAlignment="1">
      <alignment vertical="center"/>
    </xf>
    <xf numFmtId="0" fontId="24" fillId="2" borderId="78" xfId="0" applyFont="1" applyFill="1" applyBorder="1" applyAlignment="1">
      <alignment vertical="center"/>
    </xf>
    <xf numFmtId="0" fontId="25" fillId="2" borderId="78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horizontal="left" vertical="center"/>
    </xf>
    <xf numFmtId="0" fontId="23" fillId="2" borderId="28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24" fillId="0" borderId="86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 vertical="center"/>
    </xf>
    <xf numFmtId="0" fontId="24" fillId="0" borderId="88" xfId="0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24" fillId="0" borderId="92" xfId="0" applyFont="1" applyBorder="1" applyAlignment="1">
      <alignment horizontal="center" vertical="center"/>
    </xf>
    <xf numFmtId="0" fontId="24" fillId="0" borderId="93" xfId="0" applyFont="1" applyBorder="1" applyAlignment="1">
      <alignment horizontal="center" vertical="center"/>
    </xf>
    <xf numFmtId="0" fontId="24" fillId="0" borderId="94" xfId="0" applyFont="1" applyBorder="1" applyAlignment="1">
      <alignment horizontal="center" vertical="center"/>
    </xf>
    <xf numFmtId="0" fontId="24" fillId="0" borderId="95" xfId="0" applyFont="1" applyBorder="1" applyAlignment="1">
      <alignment horizontal="center" vertical="center"/>
    </xf>
    <xf numFmtId="0" fontId="24" fillId="0" borderId="96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24" fillId="0" borderId="100" xfId="0" applyFont="1" applyBorder="1" applyAlignment="1">
      <alignment horizontal="center" vertical="center"/>
    </xf>
    <xf numFmtId="0" fontId="24" fillId="0" borderId="101" xfId="0" applyFont="1" applyBorder="1" applyAlignment="1">
      <alignment horizontal="center" vertical="center"/>
    </xf>
    <xf numFmtId="0" fontId="24" fillId="0" borderId="102" xfId="0" applyFont="1" applyBorder="1" applyAlignment="1">
      <alignment horizontal="center" vertical="center"/>
    </xf>
    <xf numFmtId="0" fontId="24" fillId="0" borderId="103" xfId="0" applyFont="1" applyBorder="1" applyAlignment="1">
      <alignment horizontal="center" vertical="center"/>
    </xf>
    <xf numFmtId="0" fontId="24" fillId="0" borderId="104" xfId="0" applyFont="1" applyBorder="1" applyAlignment="1">
      <alignment horizontal="center" vertical="center"/>
    </xf>
    <xf numFmtId="0" fontId="24" fillId="0" borderId="105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2" borderId="156" xfId="0" applyFont="1" applyFill="1" applyBorder="1" applyAlignment="1">
      <alignment horizontal="left" vertical="center"/>
    </xf>
    <xf numFmtId="0" fontId="24" fillId="3" borderId="241" xfId="0" applyFont="1" applyFill="1" applyBorder="1" applyAlignment="1">
      <alignment vertical="center"/>
    </xf>
    <xf numFmtId="0" fontId="24" fillId="3" borderId="107" xfId="0" applyFont="1" applyFill="1" applyBorder="1" applyAlignment="1">
      <alignment vertical="center"/>
    </xf>
    <xf numFmtId="0" fontId="25" fillId="3" borderId="107" xfId="0" applyFont="1" applyFill="1" applyBorder="1" applyAlignment="1">
      <alignment vertical="center"/>
    </xf>
    <xf numFmtId="0" fontId="25" fillId="3" borderId="221" xfId="0" applyFont="1" applyFill="1" applyBorder="1" applyAlignment="1">
      <alignment vertical="center"/>
    </xf>
    <xf numFmtId="0" fontId="24" fillId="3" borderId="221" xfId="0" applyFont="1" applyFill="1" applyBorder="1" applyAlignment="1">
      <alignment vertical="center"/>
    </xf>
    <xf numFmtId="0" fontId="24" fillId="2" borderId="156" xfId="0" applyFont="1" applyFill="1" applyBorder="1" applyAlignment="1">
      <alignment vertical="center"/>
    </xf>
    <xf numFmtId="0" fontId="25" fillId="2" borderId="156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3" fillId="2" borderId="17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167" xfId="0" applyFont="1" applyFill="1" applyBorder="1" applyAlignment="1">
      <alignment horizontal="left" vertical="center"/>
    </xf>
    <xf numFmtId="0" fontId="23" fillId="2" borderId="240" xfId="0" applyFont="1" applyFill="1" applyBorder="1" applyAlignment="1">
      <alignment horizontal="right" vertical="center"/>
    </xf>
    <xf numFmtId="0" fontId="24" fillId="2" borderId="221" xfId="0" applyFont="1" applyFill="1" applyBorder="1" applyAlignment="1">
      <alignment vertical="center"/>
    </xf>
    <xf numFmtId="0" fontId="24" fillId="2" borderId="222" xfId="0" applyFont="1" applyFill="1" applyBorder="1" applyAlignment="1">
      <alignment vertical="center"/>
    </xf>
    <xf numFmtId="0" fontId="24" fillId="2" borderId="223" xfId="0" applyFont="1" applyFill="1" applyBorder="1" applyAlignment="1">
      <alignment vertical="center"/>
    </xf>
    <xf numFmtId="0" fontId="25" fillId="2" borderId="222" xfId="0" applyFont="1" applyFill="1" applyBorder="1" applyAlignment="1">
      <alignment vertical="center"/>
    </xf>
    <xf numFmtId="9" fontId="21" fillId="3" borderId="110" xfId="5" applyFont="1" applyFill="1" applyBorder="1" applyAlignment="1">
      <alignment horizontal="center" vertical="center"/>
    </xf>
    <xf numFmtId="1" fontId="21" fillId="3" borderId="110" xfId="5" applyNumberFormat="1" applyFont="1" applyFill="1" applyBorder="1" applyAlignment="1">
      <alignment horizontal="center" vertical="center"/>
    </xf>
    <xf numFmtId="1" fontId="21" fillId="3" borderId="153" xfId="5" applyNumberFormat="1" applyFont="1" applyFill="1" applyBorder="1" applyAlignment="1">
      <alignment horizontal="center" vertical="center"/>
    </xf>
    <xf numFmtId="9" fontId="21" fillId="3" borderId="116" xfId="5" applyFont="1" applyFill="1" applyBorder="1" applyAlignment="1">
      <alignment horizontal="center" vertical="center"/>
    </xf>
    <xf numFmtId="1" fontId="21" fillId="3" borderId="116" xfId="5" applyNumberFormat="1" applyFont="1" applyFill="1" applyBorder="1" applyAlignment="1">
      <alignment horizontal="center" vertical="center"/>
    </xf>
    <xf numFmtId="1" fontId="21" fillId="3" borderId="154" xfId="5" applyNumberFormat="1" applyFont="1" applyFill="1" applyBorder="1" applyAlignment="1">
      <alignment horizontal="center" vertical="center"/>
    </xf>
    <xf numFmtId="9" fontId="21" fillId="3" borderId="122" xfId="5" applyFont="1" applyFill="1" applyBorder="1" applyAlignment="1">
      <alignment horizontal="center" vertical="center"/>
    </xf>
    <xf numFmtId="1" fontId="21" fillId="3" borderId="122" xfId="5" applyNumberFormat="1" applyFont="1" applyFill="1" applyBorder="1" applyAlignment="1">
      <alignment horizontal="center" vertical="center"/>
    </xf>
    <xf numFmtId="1" fontId="21" fillId="3" borderId="287" xfId="5" applyNumberFormat="1" applyFont="1" applyFill="1" applyBorder="1" applyAlignment="1">
      <alignment horizontal="center" vertical="center"/>
    </xf>
    <xf numFmtId="1" fontId="21" fillId="3" borderId="155" xfId="5" applyNumberFormat="1" applyFont="1" applyFill="1" applyBorder="1" applyAlignment="1">
      <alignment horizontal="center" vertical="center"/>
    </xf>
    <xf numFmtId="0" fontId="23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3" fillId="3" borderId="0" xfId="0" applyFont="1" applyFill="1" applyAlignment="1">
      <alignment horizontal="left" vertical="center"/>
    </xf>
    <xf numFmtId="0" fontId="27" fillId="3" borderId="0" xfId="0" applyFont="1" applyFill="1" applyAlignment="1">
      <alignment vertical="center" wrapText="1"/>
    </xf>
    <xf numFmtId="0" fontId="20" fillId="3" borderId="278" xfId="0" applyFont="1" applyFill="1" applyBorder="1" applyAlignment="1">
      <alignment vertical="center"/>
    </xf>
    <xf numFmtId="0" fontId="20" fillId="3" borderId="279" xfId="0" applyFont="1" applyFill="1" applyBorder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22" fillId="3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/>
    </xf>
    <xf numFmtId="0" fontId="23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2" fillId="3" borderId="278" xfId="0" applyFont="1" applyFill="1" applyBorder="1" applyAlignment="1">
      <alignment horizontal="center" vertical="center"/>
    </xf>
    <xf numFmtId="1" fontId="21" fillId="3" borderId="0" xfId="5" applyNumberFormat="1" applyFont="1" applyFill="1" applyBorder="1" applyAlignment="1">
      <alignment horizontal="center" vertical="center"/>
    </xf>
    <xf numFmtId="1" fontId="21" fillId="3" borderId="0" xfId="5" applyNumberFormat="1" applyFont="1" applyFill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49" fontId="13" fillId="3" borderId="75" xfId="0" applyNumberFormat="1" applyFont="1" applyFill="1" applyBorder="1" applyAlignment="1">
      <alignment vertical="center"/>
    </xf>
    <xf numFmtId="0" fontId="22" fillId="0" borderId="109" xfId="0" applyFont="1" applyBorder="1" applyAlignment="1">
      <alignment horizontal="center" vertical="center"/>
    </xf>
    <xf numFmtId="0" fontId="22" fillId="0" borderId="115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4" fillId="3" borderId="34" xfId="0" applyFont="1" applyFill="1" applyBorder="1" applyAlignment="1">
      <alignment horizontal="center" vertical="center"/>
    </xf>
    <xf numFmtId="0" fontId="24" fillId="3" borderId="35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3" fillId="2" borderId="158" xfId="0" applyFont="1" applyFill="1" applyBorder="1" applyAlignment="1">
      <alignment horizontal="center" vertical="center"/>
    </xf>
    <xf numFmtId="0" fontId="23" fillId="2" borderId="68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23" fillId="2" borderId="160" xfId="0" applyFont="1" applyFill="1" applyBorder="1" applyAlignment="1">
      <alignment horizontal="center" vertical="center"/>
    </xf>
    <xf numFmtId="0" fontId="23" fillId="2" borderId="172" xfId="0" applyFont="1" applyFill="1" applyBorder="1" applyAlignment="1">
      <alignment horizontal="center" vertical="center"/>
    </xf>
    <xf numFmtId="0" fontId="23" fillId="2" borderId="55" xfId="0" applyFont="1" applyFill="1" applyBorder="1" applyAlignment="1">
      <alignment horizontal="center" vertical="center"/>
    </xf>
    <xf numFmtId="0" fontId="24" fillId="3" borderId="132" xfId="0" applyFont="1" applyFill="1" applyBorder="1" applyAlignment="1">
      <alignment horizontal="center" vertical="center"/>
    </xf>
    <xf numFmtId="0" fontId="24" fillId="3" borderId="71" xfId="0" applyFont="1" applyFill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24" fillId="3" borderId="145" xfId="0" applyFont="1" applyFill="1" applyBorder="1" applyAlignment="1">
      <alignment horizontal="center" vertical="center"/>
    </xf>
    <xf numFmtId="0" fontId="24" fillId="3" borderId="173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134" xfId="0" applyFont="1" applyFill="1" applyBorder="1" applyAlignment="1">
      <alignment horizontal="center" vertical="center"/>
    </xf>
    <xf numFmtId="0" fontId="24" fillId="3" borderId="73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/>
    </xf>
    <xf numFmtId="0" fontId="24" fillId="3" borderId="146" xfId="0" applyFont="1" applyFill="1" applyBorder="1" applyAlignment="1">
      <alignment horizontal="center" vertical="center"/>
    </xf>
    <xf numFmtId="0" fontId="24" fillId="3" borderId="174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/>
    </xf>
    <xf numFmtId="0" fontId="12" fillId="2" borderId="156" xfId="0" applyFont="1" applyFill="1" applyBorder="1" applyAlignment="1">
      <alignment horizontal="left" vertical="center"/>
    </xf>
    <xf numFmtId="0" fontId="13" fillId="3" borderId="107" xfId="0" applyFont="1" applyFill="1" applyBorder="1" applyAlignment="1">
      <alignment vertical="center"/>
    </xf>
    <xf numFmtId="0" fontId="14" fillId="3" borderId="107" xfId="0" applyFont="1" applyFill="1" applyBorder="1" applyAlignment="1">
      <alignment vertical="center"/>
    </xf>
    <xf numFmtId="0" fontId="14" fillId="3" borderId="221" xfId="0" applyFont="1" applyFill="1" applyBorder="1" applyAlignment="1">
      <alignment vertical="center"/>
    </xf>
    <xf numFmtId="0" fontId="12" fillId="2" borderId="78" xfId="0" applyFont="1" applyFill="1" applyBorder="1" applyAlignment="1">
      <alignment horizontal="right" vertical="center"/>
    </xf>
    <xf numFmtId="0" fontId="13" fillId="3" borderId="221" xfId="0" applyFont="1" applyFill="1" applyBorder="1" applyAlignment="1">
      <alignment vertical="center"/>
    </xf>
    <xf numFmtId="0" fontId="13" fillId="2" borderId="156" xfId="0" applyFont="1" applyFill="1" applyBorder="1" applyAlignment="1">
      <alignment vertical="center"/>
    </xf>
    <xf numFmtId="0" fontId="14" fillId="2" borderId="156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156" xfId="0" applyFont="1" applyFill="1" applyBorder="1" applyAlignment="1">
      <alignment horizontal="right" vertical="center"/>
    </xf>
    <xf numFmtId="0" fontId="13" fillId="2" borderId="107" xfId="0" applyFont="1" applyFill="1" applyBorder="1" applyAlignment="1">
      <alignment vertical="center"/>
    </xf>
    <xf numFmtId="0" fontId="13" fillId="0" borderId="84" xfId="0" applyFont="1" applyBorder="1" applyAlignment="1">
      <alignment horizontal="center" vertical="center"/>
    </xf>
    <xf numFmtId="0" fontId="13" fillId="0" borderId="85" xfId="0" applyFont="1" applyBorder="1" applyAlignment="1">
      <alignment horizontal="center" vertical="center"/>
    </xf>
    <xf numFmtId="0" fontId="13" fillId="0" borderId="86" xfId="0" applyFont="1" applyBorder="1" applyAlignment="1">
      <alignment horizontal="center" vertical="center"/>
    </xf>
    <xf numFmtId="0" fontId="13" fillId="0" borderId="87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9" fontId="31" fillId="3" borderId="180" xfId="5" applyFont="1" applyFill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13" fillId="0" borderId="95" xfId="0" applyFont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9" fontId="31" fillId="3" borderId="184" xfId="5" applyFont="1" applyFill="1" applyBorder="1" applyAlignment="1">
      <alignment horizontal="center" vertical="center"/>
    </xf>
    <xf numFmtId="0" fontId="13" fillId="0" borderId="100" xfId="0" applyFont="1" applyBorder="1" applyAlignment="1">
      <alignment horizontal="center" vertical="center"/>
    </xf>
    <xf numFmtId="0" fontId="13" fillId="0" borderId="101" xfId="0" applyFont="1" applyBorder="1" applyAlignment="1">
      <alignment horizontal="center" vertical="center"/>
    </xf>
    <xf numFmtId="0" fontId="13" fillId="0" borderId="102" xfId="0" applyFont="1" applyBorder="1" applyAlignment="1">
      <alignment horizontal="center" vertical="center"/>
    </xf>
    <xf numFmtId="0" fontId="13" fillId="0" borderId="103" xfId="0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/>
    </xf>
    <xf numFmtId="0" fontId="13" fillId="0" borderId="105" xfId="0" applyFont="1" applyBorder="1" applyAlignment="1">
      <alignment horizontal="center" vertical="center"/>
    </xf>
    <xf numFmtId="9" fontId="31" fillId="3" borderId="188" xfId="5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9" fontId="29" fillId="3" borderId="47" xfId="5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9" fontId="29" fillId="3" borderId="48" xfId="5" applyFont="1" applyFill="1" applyBorder="1" applyAlignment="1">
      <alignment horizontal="center" vertical="center"/>
    </xf>
    <xf numFmtId="0" fontId="12" fillId="3" borderId="49" xfId="0" applyFont="1" applyFill="1" applyBorder="1" applyAlignment="1">
      <alignment horizontal="left" vertical="center"/>
    </xf>
    <xf numFmtId="0" fontId="13" fillId="3" borderId="49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28" fillId="3" borderId="0" xfId="0" applyFont="1" applyFill="1" applyAlignment="1">
      <alignment vertical="center" wrapText="1"/>
    </xf>
    <xf numFmtId="0" fontId="30" fillId="3" borderId="278" xfId="0" applyFont="1" applyFill="1" applyBorder="1" applyAlignment="1">
      <alignment vertical="center"/>
    </xf>
    <xf numFmtId="0" fontId="30" fillId="3" borderId="279" xfId="0" applyFont="1" applyFill="1" applyBorder="1" applyAlignment="1">
      <alignment vertical="center" wrapText="1"/>
    </xf>
    <xf numFmtId="0" fontId="30" fillId="3" borderId="0" xfId="0" applyFont="1" applyFill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29" fillId="3" borderId="278" xfId="0" applyFont="1" applyFill="1" applyBorder="1" applyAlignment="1">
      <alignment horizontal="center" vertical="center"/>
    </xf>
    <xf numFmtId="3" fontId="31" fillId="3" borderId="283" xfId="5" applyNumberFormat="1" applyFont="1" applyFill="1" applyBorder="1" applyAlignment="1">
      <alignment horizontal="center" vertical="center"/>
    </xf>
    <xf numFmtId="1" fontId="31" fillId="3" borderId="0" xfId="5" applyNumberFormat="1" applyFont="1" applyFill="1" applyBorder="1" applyAlignment="1">
      <alignment horizontal="center" vertical="center"/>
    </xf>
    <xf numFmtId="1" fontId="31" fillId="3" borderId="0" xfId="5" applyNumberFormat="1" applyFont="1" applyFill="1" applyBorder="1" applyAlignment="1">
      <alignment vertical="center" wrapText="1"/>
    </xf>
    <xf numFmtId="3" fontId="31" fillId="3" borderId="284" xfId="5" applyNumberFormat="1" applyFont="1" applyFill="1" applyBorder="1" applyAlignment="1">
      <alignment horizontal="center" vertical="center"/>
    </xf>
    <xf numFmtId="3" fontId="31" fillId="3" borderId="285" xfId="5" applyNumberFormat="1" applyFont="1" applyFill="1" applyBorder="1" applyAlignment="1">
      <alignment horizontal="center" vertical="center"/>
    </xf>
    <xf numFmtId="3" fontId="29" fillId="3" borderId="244" xfId="5" applyNumberFormat="1" applyFont="1" applyFill="1" applyBorder="1" applyAlignment="1">
      <alignment horizontal="center" vertical="center"/>
    </xf>
    <xf numFmtId="3" fontId="29" fillId="3" borderId="286" xfId="5" applyNumberFormat="1" applyFont="1" applyFill="1" applyBorder="1" applyAlignment="1">
      <alignment horizontal="center" vertical="center"/>
    </xf>
    <xf numFmtId="0" fontId="12" fillId="2" borderId="157" xfId="0" applyFont="1" applyFill="1" applyBorder="1" applyAlignment="1">
      <alignment horizontal="left" vertical="center"/>
    </xf>
    <xf numFmtId="0" fontId="29" fillId="3" borderId="109" xfId="0" applyFont="1" applyFill="1" applyBorder="1" applyAlignment="1">
      <alignment horizontal="center" vertical="center"/>
    </xf>
    <xf numFmtId="1" fontId="31" fillId="3" borderId="153" xfId="5" applyNumberFormat="1" applyFont="1" applyFill="1" applyBorder="1" applyAlignment="1">
      <alignment horizontal="center" vertical="center"/>
    </xf>
    <xf numFmtId="0" fontId="29" fillId="3" borderId="115" xfId="0" applyFont="1" applyFill="1" applyBorder="1" applyAlignment="1">
      <alignment horizontal="center" vertical="center"/>
    </xf>
    <xf numFmtId="1" fontId="31" fillId="3" borderId="154" xfId="5" applyNumberFormat="1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center" vertical="center"/>
    </xf>
    <xf numFmtId="0" fontId="12" fillId="2" borderId="107" xfId="0" applyFont="1" applyFill="1" applyBorder="1" applyAlignment="1">
      <alignment horizontal="left" vertical="center"/>
    </xf>
    <xf numFmtId="0" fontId="13" fillId="3" borderId="238" xfId="0" applyFont="1" applyFill="1" applyBorder="1" applyAlignment="1">
      <alignment vertical="center"/>
    </xf>
    <xf numFmtId="0" fontId="13" fillId="3" borderId="225" xfId="0" applyFont="1" applyFill="1" applyBorder="1" applyAlignment="1">
      <alignment vertical="center"/>
    </xf>
    <xf numFmtId="0" fontId="14" fillId="3" borderId="225" xfId="0" applyFont="1" applyFill="1" applyBorder="1" applyAlignment="1">
      <alignment vertical="center"/>
    </xf>
    <xf numFmtId="0" fontId="14" fillId="3" borderId="239" xfId="0" applyFont="1" applyFill="1" applyBorder="1" applyAlignment="1">
      <alignment vertical="center"/>
    </xf>
    <xf numFmtId="49" fontId="13" fillId="3" borderId="238" xfId="0" applyNumberFormat="1" applyFont="1" applyFill="1" applyBorder="1" applyAlignment="1">
      <alignment vertical="center"/>
    </xf>
    <xf numFmtId="0" fontId="13" fillId="3" borderId="239" xfId="0" applyFont="1" applyFill="1" applyBorder="1" applyAlignment="1">
      <alignment vertical="center"/>
    </xf>
    <xf numFmtId="0" fontId="14" fillId="2" borderId="107" xfId="0" applyFont="1" applyFill="1" applyBorder="1" applyAlignment="1">
      <alignment vertical="center"/>
    </xf>
    <xf numFmtId="0" fontId="13" fillId="2" borderId="219" xfId="0" applyFont="1" applyFill="1" applyBorder="1" applyAlignment="1">
      <alignment vertical="center"/>
    </xf>
    <xf numFmtId="0" fontId="13" fillId="2" borderId="217" xfId="0" applyFont="1" applyFill="1" applyBorder="1" applyAlignment="1">
      <alignment vertical="center"/>
    </xf>
    <xf numFmtId="0" fontId="13" fillId="2" borderId="224" xfId="0" applyFont="1" applyFill="1" applyBorder="1" applyAlignment="1">
      <alignment vertical="center"/>
    </xf>
    <xf numFmtId="0" fontId="13" fillId="2" borderId="195" xfId="0" applyFont="1" applyFill="1" applyBorder="1" applyAlignment="1">
      <alignment vertical="center"/>
    </xf>
    <xf numFmtId="0" fontId="13" fillId="2" borderId="218" xfId="0" applyFont="1" applyFill="1" applyBorder="1" applyAlignment="1">
      <alignment vertical="center"/>
    </xf>
    <xf numFmtId="0" fontId="14" fillId="2" borderId="218" xfId="0" applyFont="1" applyFill="1" applyBorder="1" applyAlignment="1">
      <alignment vertical="center"/>
    </xf>
    <xf numFmtId="0" fontId="14" fillId="2" borderId="220" xfId="0" applyFont="1" applyFill="1" applyBorder="1" applyAlignment="1">
      <alignment vertical="center"/>
    </xf>
    <xf numFmtId="0" fontId="12" fillId="2" borderId="227" xfId="0" applyFont="1" applyFill="1" applyBorder="1" applyAlignment="1">
      <alignment horizontal="center" vertical="center"/>
    </xf>
    <xf numFmtId="0" fontId="12" fillId="2" borderId="228" xfId="0" applyFont="1" applyFill="1" applyBorder="1" applyAlignment="1">
      <alignment horizontal="center" vertical="center"/>
    </xf>
    <xf numFmtId="0" fontId="13" fillId="0" borderId="178" xfId="0" applyFont="1" applyBorder="1" applyAlignment="1">
      <alignment horizontal="center" vertical="center"/>
    </xf>
    <xf numFmtId="0" fontId="13" fillId="0" borderId="229" xfId="0" applyFont="1" applyBorder="1" applyAlignment="1">
      <alignment horizontal="center" vertical="center"/>
    </xf>
    <xf numFmtId="0" fontId="13" fillId="0" borderId="182" xfId="0" applyFont="1" applyBorder="1" applyAlignment="1">
      <alignment horizontal="center" vertical="center"/>
    </xf>
    <xf numFmtId="0" fontId="13" fillId="0" borderId="230" xfId="0" applyFont="1" applyBorder="1" applyAlignment="1">
      <alignment horizontal="center" vertical="center"/>
    </xf>
    <xf numFmtId="0" fontId="13" fillId="0" borderId="186" xfId="0" applyFont="1" applyBorder="1" applyAlignment="1">
      <alignment horizontal="center" vertical="center"/>
    </xf>
    <xf numFmtId="0" fontId="13" fillId="0" borderId="231" xfId="0" applyFont="1" applyBorder="1" applyAlignment="1">
      <alignment horizontal="center" vertical="center"/>
    </xf>
    <xf numFmtId="0" fontId="29" fillId="3" borderId="121" xfId="0" applyFont="1" applyFill="1" applyBorder="1" applyAlignment="1">
      <alignment horizontal="center" vertical="center"/>
    </xf>
    <xf numFmtId="1" fontId="31" fillId="3" borderId="287" xfId="5" applyNumberFormat="1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2" fillId="0" borderId="232" xfId="0" applyFont="1" applyBorder="1" applyAlignment="1">
      <alignment horizontal="center" vertical="center"/>
    </xf>
    <xf numFmtId="1" fontId="31" fillId="3" borderId="288" xfId="5" applyNumberFormat="1" applyFont="1" applyFill="1" applyBorder="1" applyAlignment="1">
      <alignment horizontal="center" vertical="center"/>
    </xf>
    <xf numFmtId="0" fontId="12" fillId="0" borderId="81" xfId="0" applyFont="1" applyBorder="1" applyAlignment="1">
      <alignment horizontal="center" vertical="center"/>
    </xf>
    <xf numFmtId="0" fontId="12" fillId="0" borderId="233" xfId="0" applyFont="1" applyBorder="1" applyAlignment="1">
      <alignment horizontal="center" vertical="center"/>
    </xf>
    <xf numFmtId="0" fontId="29" fillId="3" borderId="19" xfId="0" applyFont="1" applyFill="1" applyBorder="1" applyAlignment="1">
      <alignment horizontal="center" vertical="center"/>
    </xf>
    <xf numFmtId="1" fontId="31" fillId="3" borderId="155" xfId="5" applyNumberFormat="1" applyFont="1" applyFill="1" applyBorder="1" applyAlignment="1">
      <alignment horizontal="center" vertical="center"/>
    </xf>
    <xf numFmtId="0" fontId="25" fillId="2" borderId="248" xfId="0" applyFont="1" applyFill="1" applyBorder="1" applyAlignment="1">
      <alignment vertical="center"/>
    </xf>
    <xf numFmtId="0" fontId="25" fillId="0" borderId="256" xfId="0" applyFont="1" applyBorder="1" applyAlignment="1">
      <alignment horizontal="center" vertical="center"/>
    </xf>
    <xf numFmtId="0" fontId="25" fillId="0" borderId="257" xfId="0" applyFont="1" applyBorder="1" applyAlignment="1">
      <alignment horizontal="center" vertical="center"/>
    </xf>
    <xf numFmtId="0" fontId="19" fillId="4" borderId="292" xfId="0" applyFont="1" applyFill="1" applyBorder="1" applyAlignment="1">
      <alignment vertical="center"/>
    </xf>
    <xf numFmtId="0" fontId="16" fillId="2" borderId="294" xfId="0" applyFont="1" applyFill="1" applyBorder="1" applyAlignment="1">
      <alignment vertical="center"/>
    </xf>
    <xf numFmtId="0" fontId="23" fillId="2" borderId="159" xfId="0" applyFont="1" applyFill="1" applyBorder="1" applyAlignment="1">
      <alignment horizontal="center" vertical="center"/>
    </xf>
    <xf numFmtId="0" fontId="24" fillId="3" borderId="126" xfId="0" applyFont="1" applyFill="1" applyBorder="1" applyAlignment="1">
      <alignment horizontal="center" vertical="center"/>
    </xf>
    <xf numFmtId="0" fontId="24" fillId="3" borderId="136" xfId="0" applyFont="1" applyFill="1" applyBorder="1" applyAlignment="1">
      <alignment horizontal="center" vertical="center"/>
    </xf>
    <xf numFmtId="0" fontId="24" fillId="3" borderId="137" xfId="0" applyFont="1" applyFill="1" applyBorder="1" applyAlignment="1">
      <alignment horizontal="center" vertical="center"/>
    </xf>
    <xf numFmtId="0" fontId="24" fillId="3" borderId="127" xfId="0" applyFont="1" applyFill="1" applyBorder="1" applyAlignment="1">
      <alignment horizontal="center" vertical="center"/>
    </xf>
    <xf numFmtId="1" fontId="21" fillId="3" borderId="113" xfId="5" applyNumberFormat="1" applyFont="1" applyFill="1" applyBorder="1" applyAlignment="1">
      <alignment horizontal="center" vertical="center"/>
    </xf>
    <xf numFmtId="1" fontId="21" fillId="3" borderId="108" xfId="5" applyNumberFormat="1" applyFont="1" applyFill="1" applyBorder="1" applyAlignment="1">
      <alignment horizontal="center" vertical="center"/>
    </xf>
    <xf numFmtId="0" fontId="24" fillId="3" borderId="128" xfId="0" applyFont="1" applyFill="1" applyBorder="1" applyAlignment="1">
      <alignment horizontal="center" vertical="center"/>
    </xf>
    <xf numFmtId="0" fontId="24" fillId="3" borderId="138" xfId="0" applyFont="1" applyFill="1" applyBorder="1" applyAlignment="1">
      <alignment horizontal="center" vertical="center"/>
    </xf>
    <xf numFmtId="0" fontId="24" fillId="3" borderId="139" xfId="0" applyFont="1" applyFill="1" applyBorder="1" applyAlignment="1">
      <alignment horizontal="center" vertical="center"/>
    </xf>
    <xf numFmtId="0" fontId="24" fillId="3" borderId="129" xfId="0" applyFont="1" applyFill="1" applyBorder="1" applyAlignment="1">
      <alignment horizontal="center" vertical="center"/>
    </xf>
    <xf numFmtId="1" fontId="21" fillId="3" borderId="119" xfId="5" applyNumberFormat="1" applyFont="1" applyFill="1" applyBorder="1" applyAlignment="1">
      <alignment horizontal="center" vertical="center"/>
    </xf>
    <xf numFmtId="1" fontId="21" fillId="3" borderId="114" xfId="5" applyNumberFormat="1" applyFont="1" applyFill="1" applyBorder="1" applyAlignment="1">
      <alignment horizontal="center" vertical="center"/>
    </xf>
    <xf numFmtId="0" fontId="24" fillId="3" borderId="130" xfId="0" applyFont="1" applyFill="1" applyBorder="1" applyAlignment="1">
      <alignment horizontal="center" vertical="center"/>
    </xf>
    <xf numFmtId="0" fontId="24" fillId="3" borderId="140" xfId="0" applyFont="1" applyFill="1" applyBorder="1" applyAlignment="1">
      <alignment horizontal="center" vertical="center"/>
    </xf>
    <xf numFmtId="0" fontId="24" fillId="3" borderId="141" xfId="0" applyFont="1" applyFill="1" applyBorder="1" applyAlignment="1">
      <alignment horizontal="center" vertical="center"/>
    </xf>
    <xf numFmtId="0" fontId="24" fillId="3" borderId="131" xfId="0" applyFont="1" applyFill="1" applyBorder="1" applyAlignment="1">
      <alignment horizontal="center" vertical="center"/>
    </xf>
    <xf numFmtId="0" fontId="22" fillId="3" borderId="148" xfId="0" applyFont="1" applyFill="1" applyBorder="1" applyAlignment="1">
      <alignment horizontal="center" vertical="center"/>
    </xf>
    <xf numFmtId="1" fontId="21" fillId="3" borderId="164" xfId="5" applyNumberFormat="1" applyFont="1" applyFill="1" applyBorder="1" applyAlignment="1">
      <alignment horizontal="center" vertical="center"/>
    </xf>
    <xf numFmtId="1" fontId="21" fillId="3" borderId="274" xfId="5" applyNumberFormat="1" applyFont="1" applyFill="1" applyBorder="1" applyAlignment="1">
      <alignment horizontal="center" vertical="center"/>
    </xf>
    <xf numFmtId="1" fontId="21" fillId="3" borderId="147" xfId="5" applyNumberFormat="1" applyFont="1" applyFill="1" applyBorder="1" applyAlignment="1">
      <alignment horizontal="center" vertical="center"/>
    </xf>
    <xf numFmtId="0" fontId="23" fillId="3" borderId="132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56" xfId="0" applyFont="1" applyFill="1" applyBorder="1" applyAlignment="1">
      <alignment horizontal="center" vertical="center"/>
    </xf>
    <xf numFmtId="0" fontId="23" fillId="3" borderId="133" xfId="0" applyFont="1" applyFill="1" applyBorder="1" applyAlignment="1">
      <alignment horizontal="center" vertical="center"/>
    </xf>
    <xf numFmtId="0" fontId="22" fillId="3" borderId="165" xfId="0" applyFont="1" applyFill="1" applyBorder="1" applyAlignment="1">
      <alignment horizontal="center" vertical="center"/>
    </xf>
    <xf numFmtId="1" fontId="22" fillId="3" borderId="275" xfId="5" applyNumberFormat="1" applyFont="1" applyFill="1" applyBorder="1" applyAlignment="1">
      <alignment vertical="center"/>
    </xf>
    <xf numFmtId="1" fontId="22" fillId="3" borderId="276" xfId="5" applyNumberFormat="1" applyFont="1" applyFill="1" applyBorder="1" applyAlignment="1">
      <alignment vertical="center"/>
    </xf>
    <xf numFmtId="1" fontId="22" fillId="3" borderId="163" xfId="5" applyNumberFormat="1" applyFont="1" applyFill="1" applyBorder="1" applyAlignment="1">
      <alignment vertical="center"/>
    </xf>
    <xf numFmtId="0" fontId="23" fillId="3" borderId="134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23" fillId="3" borderId="135" xfId="0" applyFont="1" applyFill="1" applyBorder="1" applyAlignment="1">
      <alignment horizontal="center" vertical="center"/>
    </xf>
    <xf numFmtId="0" fontId="23" fillId="3" borderId="211" xfId="0" applyFont="1" applyFill="1" applyBorder="1" applyAlignment="1">
      <alignment horizontal="center" vertical="center"/>
    </xf>
    <xf numFmtId="1" fontId="22" fillId="3" borderId="212" xfId="5" applyNumberFormat="1" applyFont="1" applyFill="1" applyBorder="1" applyAlignment="1">
      <alignment vertical="center"/>
    </xf>
    <xf numFmtId="1" fontId="22" fillId="3" borderId="277" xfId="5" applyNumberFormat="1" applyFont="1" applyFill="1" applyBorder="1" applyAlignment="1">
      <alignment vertical="center"/>
    </xf>
    <xf numFmtId="1" fontId="22" fillId="3" borderId="210" xfId="5" applyNumberFormat="1" applyFont="1" applyFill="1" applyBorder="1" applyAlignment="1">
      <alignment vertical="center"/>
    </xf>
    <xf numFmtId="0" fontId="22" fillId="3" borderId="0" xfId="0" applyFont="1" applyFill="1" applyAlignment="1">
      <alignment horizontal="center" vertical="center"/>
    </xf>
    <xf numFmtId="9" fontId="21" fillId="3" borderId="0" xfId="5" applyFont="1" applyFill="1" applyBorder="1" applyAlignment="1">
      <alignment horizontal="center" vertical="center"/>
    </xf>
    <xf numFmtId="0" fontId="24" fillId="3" borderId="133" xfId="0" applyFont="1" applyFill="1" applyBorder="1" applyAlignment="1">
      <alignment horizontal="center" vertical="center"/>
    </xf>
    <xf numFmtId="0" fontId="24" fillId="3" borderId="135" xfId="0" applyFont="1" applyFill="1" applyBorder="1" applyAlignment="1">
      <alignment horizontal="center" vertical="center"/>
    </xf>
    <xf numFmtId="0" fontId="24" fillId="3" borderId="142" xfId="0" applyFont="1" applyFill="1" applyBorder="1" applyAlignment="1">
      <alignment horizontal="center" vertical="center"/>
    </xf>
    <xf numFmtId="0" fontId="24" fillId="3" borderId="175" xfId="0" applyFont="1" applyFill="1" applyBorder="1" applyAlignment="1">
      <alignment horizontal="center" vertical="center"/>
    </xf>
    <xf numFmtId="0" fontId="22" fillId="3" borderId="179" xfId="0" applyFont="1" applyFill="1" applyBorder="1" applyAlignment="1">
      <alignment horizontal="center" vertical="center"/>
    </xf>
    <xf numFmtId="1" fontId="21" fillId="3" borderId="181" xfId="5" applyNumberFormat="1" applyFont="1" applyFill="1" applyBorder="1" applyAlignment="1">
      <alignment horizontal="center" vertical="center"/>
    </xf>
    <xf numFmtId="1" fontId="21" fillId="3" borderId="83" xfId="5" applyNumberFormat="1" applyFont="1" applyFill="1" applyBorder="1" applyAlignment="1">
      <alignment horizontal="center" vertical="center"/>
    </xf>
    <xf numFmtId="0" fontId="24" fillId="3" borderId="143" xfId="0" applyFont="1" applyFill="1" applyBorder="1" applyAlignment="1">
      <alignment horizontal="center" vertical="center"/>
    </xf>
    <xf numFmtId="0" fontId="24" fillId="3" borderId="176" xfId="0" applyFont="1" applyFill="1" applyBorder="1" applyAlignment="1">
      <alignment horizontal="center" vertical="center"/>
    </xf>
    <xf numFmtId="0" fontId="22" fillId="3" borderId="183" xfId="0" applyFont="1" applyFill="1" applyBorder="1" applyAlignment="1">
      <alignment horizontal="center" vertical="center"/>
    </xf>
    <xf numFmtId="1" fontId="21" fillId="3" borderId="185" xfId="5" applyNumberFormat="1" applyFont="1" applyFill="1" applyBorder="1" applyAlignment="1">
      <alignment horizontal="center" vertical="center"/>
    </xf>
    <xf numFmtId="1" fontId="21" fillId="3" borderId="91" xfId="5" applyNumberFormat="1" applyFont="1" applyFill="1" applyBorder="1" applyAlignment="1">
      <alignment horizontal="center" vertical="center"/>
    </xf>
    <xf numFmtId="0" fontId="24" fillId="3" borderId="144" xfId="0" applyFont="1" applyFill="1" applyBorder="1" applyAlignment="1">
      <alignment horizontal="center" vertical="center"/>
    </xf>
    <xf numFmtId="0" fontId="24" fillId="3" borderId="177" xfId="0" applyFont="1" applyFill="1" applyBorder="1" applyAlignment="1">
      <alignment horizontal="center" vertical="center"/>
    </xf>
    <xf numFmtId="0" fontId="22" fillId="3" borderId="187" xfId="0" applyFont="1" applyFill="1" applyBorder="1" applyAlignment="1">
      <alignment horizontal="center" vertical="center"/>
    </xf>
    <xf numFmtId="1" fontId="21" fillId="3" borderId="189" xfId="5" applyNumberFormat="1" applyFont="1" applyFill="1" applyBorder="1" applyAlignment="1">
      <alignment horizontal="center" vertical="center"/>
    </xf>
    <xf numFmtId="1" fontId="21" fillId="3" borderId="99" xfId="5" applyNumberFormat="1" applyFont="1" applyFill="1" applyBorder="1" applyAlignment="1">
      <alignment horizontal="center" vertical="center"/>
    </xf>
    <xf numFmtId="1" fontId="22" fillId="3" borderId="190" xfId="5" applyNumberFormat="1" applyFont="1" applyFill="1" applyBorder="1" applyAlignment="1">
      <alignment vertical="center"/>
    </xf>
    <xf numFmtId="1" fontId="22" fillId="3" borderId="41" xfId="5" applyNumberFormat="1" applyFont="1" applyFill="1" applyBorder="1" applyAlignment="1">
      <alignment vertical="center"/>
    </xf>
    <xf numFmtId="1" fontId="22" fillId="3" borderId="155" xfId="5" applyNumberFormat="1" applyFont="1" applyFill="1" applyBorder="1" applyAlignment="1">
      <alignment vertical="center"/>
    </xf>
    <xf numFmtId="1" fontId="22" fillId="3" borderId="43" xfId="5" applyNumberFormat="1" applyFont="1" applyFill="1" applyBorder="1" applyAlignment="1">
      <alignment vertical="center"/>
    </xf>
    <xf numFmtId="0" fontId="26" fillId="2" borderId="49" xfId="0" applyFont="1" applyFill="1" applyBorder="1" applyAlignment="1">
      <alignment horizontal="left" vertical="center"/>
    </xf>
    <xf numFmtId="0" fontId="24" fillId="2" borderId="49" xfId="0" applyFont="1" applyFill="1" applyBorder="1" applyAlignment="1">
      <alignment vertical="center"/>
    </xf>
    <xf numFmtId="0" fontId="25" fillId="2" borderId="49" xfId="0" applyFont="1" applyFill="1" applyBorder="1" applyAlignment="1">
      <alignment vertical="center"/>
    </xf>
    <xf numFmtId="0" fontId="22" fillId="3" borderId="49" xfId="0" applyFont="1" applyFill="1" applyBorder="1" applyAlignment="1">
      <alignment horizontal="center" vertical="center"/>
    </xf>
    <xf numFmtId="9" fontId="21" fillId="3" borderId="49" xfId="5" applyFont="1" applyFill="1" applyBorder="1" applyAlignment="1">
      <alignment horizontal="center" vertical="center"/>
    </xf>
    <xf numFmtId="1" fontId="21" fillId="3" borderId="49" xfId="5" applyNumberFormat="1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4" fillId="2" borderId="17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23" fillId="2" borderId="171" xfId="0" applyFont="1" applyFill="1" applyBorder="1" applyAlignment="1">
      <alignment horizontal="center" vertical="center" wrapText="1"/>
    </xf>
    <xf numFmtId="0" fontId="22" fillId="2" borderId="171" xfId="0" applyFont="1" applyFill="1" applyBorder="1" applyAlignment="1">
      <alignment horizontal="center" vertical="center" wrapText="1"/>
    </xf>
    <xf numFmtId="0" fontId="27" fillId="2" borderId="16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7" fillId="2" borderId="49" xfId="0" applyFont="1" applyFill="1" applyBorder="1" applyAlignment="1">
      <alignment horizontal="center" vertical="center" wrapText="1"/>
    </xf>
    <xf numFmtId="0" fontId="7" fillId="2" borderId="168" xfId="0" applyFont="1" applyFill="1" applyBorder="1" applyAlignment="1">
      <alignment horizontal="center" vertical="center" wrapText="1"/>
    </xf>
    <xf numFmtId="0" fontId="0" fillId="0" borderId="256" xfId="0" applyFont="1" applyBorder="1" applyAlignment="1">
      <alignment horizontal="center" vertical="center"/>
    </xf>
    <xf numFmtId="0" fontId="0" fillId="0" borderId="257" xfId="0" applyFont="1" applyBorder="1" applyAlignment="1">
      <alignment horizontal="center" vertical="center"/>
    </xf>
    <xf numFmtId="0" fontId="23" fillId="2" borderId="49" xfId="0" applyFont="1" applyFill="1" applyBorder="1" applyAlignment="1">
      <alignment horizontal="center" vertical="center"/>
    </xf>
    <xf numFmtId="0" fontId="24" fillId="2" borderId="296" xfId="0" applyFont="1" applyFill="1" applyBorder="1" applyAlignment="1">
      <alignment vertical="center"/>
    </xf>
    <xf numFmtId="0" fontId="25" fillId="2" borderId="296" xfId="0" applyFont="1" applyFill="1" applyBorder="1" applyAlignment="1">
      <alignment vertical="center"/>
    </xf>
    <xf numFmtId="0" fontId="24" fillId="2" borderId="49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26" fillId="2" borderId="0" xfId="0" applyFont="1" applyFill="1" applyBorder="1" applyAlignment="1">
      <alignment horizontal="left" vertical="center"/>
    </xf>
    <xf numFmtId="0" fontId="24" fillId="3" borderId="107" xfId="0" applyFont="1" applyFill="1" applyBorder="1" applyAlignment="1">
      <alignment vertical="center"/>
    </xf>
    <xf numFmtId="0" fontId="24" fillId="5" borderId="132" xfId="0" applyFont="1" applyFill="1" applyBorder="1" applyAlignment="1">
      <alignment horizontal="center" vertical="center"/>
    </xf>
    <xf numFmtId="0" fontId="24" fillId="5" borderId="71" xfId="0" applyFont="1" applyFill="1" applyBorder="1" applyAlignment="1">
      <alignment horizontal="center" vertical="center"/>
    </xf>
    <xf numFmtId="0" fontId="24" fillId="5" borderId="56" xfId="0" applyFont="1" applyFill="1" applyBorder="1" applyAlignment="1">
      <alignment horizontal="center" vertical="center"/>
    </xf>
    <xf numFmtId="0" fontId="24" fillId="5" borderId="145" xfId="0" applyFont="1" applyFill="1" applyBorder="1" applyAlignment="1">
      <alignment horizontal="center" vertical="center"/>
    </xf>
    <xf numFmtId="0" fontId="24" fillId="5" borderId="173" xfId="0" applyFont="1" applyFill="1" applyBorder="1" applyAlignment="1">
      <alignment horizontal="center" vertical="center"/>
    </xf>
    <xf numFmtId="0" fontId="24" fillId="5" borderId="57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5" borderId="3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4" fillId="6" borderId="92" xfId="0" applyFont="1" applyFill="1" applyBorder="1" applyAlignment="1">
      <alignment horizontal="center" vertical="center"/>
    </xf>
    <xf numFmtId="0" fontId="24" fillId="6" borderId="93" xfId="0" applyFont="1" applyFill="1" applyBorder="1" applyAlignment="1">
      <alignment horizontal="center" vertical="center"/>
    </xf>
    <xf numFmtId="0" fontId="24" fillId="6" borderId="96" xfId="0" applyFont="1" applyFill="1" applyBorder="1" applyAlignment="1">
      <alignment horizontal="center" vertical="center"/>
    </xf>
    <xf numFmtId="0" fontId="24" fillId="6" borderId="100" xfId="0" applyFont="1" applyFill="1" applyBorder="1" applyAlignment="1">
      <alignment horizontal="center" vertical="center"/>
    </xf>
    <xf numFmtId="0" fontId="24" fillId="6" borderId="101" xfId="0" applyFont="1" applyFill="1" applyBorder="1" applyAlignment="1">
      <alignment horizontal="center" vertical="center"/>
    </xf>
    <xf numFmtId="0" fontId="24" fillId="6" borderId="104" xfId="0" applyFont="1" applyFill="1" applyBorder="1" applyAlignment="1">
      <alignment horizontal="center" vertical="center"/>
    </xf>
    <xf numFmtId="0" fontId="24" fillId="7" borderId="94" xfId="0" applyFont="1" applyFill="1" applyBorder="1" applyAlignment="1">
      <alignment horizontal="center" vertical="center"/>
    </xf>
    <xf numFmtId="0" fontId="24" fillId="7" borderId="95" xfId="0" applyFont="1" applyFill="1" applyBorder="1" applyAlignment="1">
      <alignment horizontal="center" vertical="center"/>
    </xf>
    <xf numFmtId="0" fontId="24" fillId="7" borderId="102" xfId="0" applyFont="1" applyFill="1" applyBorder="1" applyAlignment="1">
      <alignment horizontal="center" vertical="center"/>
    </xf>
    <xf numFmtId="0" fontId="24" fillId="7" borderId="103" xfId="0" applyFont="1" applyFill="1" applyBorder="1" applyAlignment="1">
      <alignment horizontal="center" vertical="center"/>
    </xf>
    <xf numFmtId="49" fontId="24" fillId="3" borderId="0" xfId="0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 wrapText="1"/>
    </xf>
    <xf numFmtId="0" fontId="23" fillId="2" borderId="69" xfId="0" applyFont="1" applyFill="1" applyBorder="1" applyAlignment="1">
      <alignment horizontal="center" vertical="center"/>
    </xf>
    <xf numFmtId="0" fontId="24" fillId="3" borderId="72" xfId="0" applyFont="1" applyFill="1" applyBorder="1" applyAlignment="1">
      <alignment horizontal="center" vertical="center"/>
    </xf>
    <xf numFmtId="0" fontId="24" fillId="0" borderId="289" xfId="0" applyFont="1" applyBorder="1" applyAlignment="1">
      <alignment horizontal="center" vertical="center"/>
    </xf>
    <xf numFmtId="0" fontId="24" fillId="0" borderId="290" xfId="0" applyFont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5" fillId="3" borderId="289" xfId="0" applyFont="1" applyFill="1" applyBorder="1" applyAlignment="1">
      <alignment horizontal="center" vertical="center"/>
    </xf>
    <xf numFmtId="0" fontId="5" fillId="3" borderId="290" xfId="0" applyFont="1" applyFill="1" applyBorder="1" applyAlignment="1">
      <alignment horizontal="center" vertical="center"/>
    </xf>
    <xf numFmtId="0" fontId="5" fillId="3" borderId="291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top"/>
    </xf>
    <xf numFmtId="0" fontId="24" fillId="2" borderId="0" xfId="0" applyFont="1" applyFill="1" applyAlignment="1">
      <alignment vertical="top"/>
    </xf>
    <xf numFmtId="0" fontId="2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25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24" fillId="3" borderId="289" xfId="0" applyFont="1" applyFill="1" applyBorder="1" applyAlignment="1">
      <alignment horizontal="center" vertical="center"/>
    </xf>
    <xf numFmtId="0" fontId="24" fillId="3" borderId="290" xfId="0" applyFont="1" applyFill="1" applyBorder="1" applyAlignment="1">
      <alignment horizontal="center" vertical="center"/>
    </xf>
    <xf numFmtId="0" fontId="24" fillId="3" borderId="291" xfId="0" applyFont="1" applyFill="1" applyBorder="1" applyAlignment="1">
      <alignment horizontal="center" vertical="center"/>
    </xf>
    <xf numFmtId="0" fontId="23" fillId="3" borderId="72" xfId="0" applyFont="1" applyFill="1" applyBorder="1" applyAlignment="1">
      <alignment horizontal="center" vertical="center"/>
    </xf>
    <xf numFmtId="0" fontId="23" fillId="3" borderId="74" xfId="0" applyFont="1" applyFill="1" applyBorder="1" applyAlignment="1">
      <alignment horizontal="center" vertical="center"/>
    </xf>
    <xf numFmtId="0" fontId="24" fillId="0" borderId="291" xfId="0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0" fontId="27" fillId="2" borderId="301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7" fillId="2" borderId="30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0" borderId="289" xfId="0" applyFont="1" applyBorder="1" applyAlignment="1">
      <alignment horizontal="center" vertical="center"/>
    </xf>
    <xf numFmtId="0" fontId="5" fillId="0" borderId="290" xfId="0" applyFont="1" applyBorder="1" applyAlignment="1">
      <alignment horizontal="center" vertical="center"/>
    </xf>
    <xf numFmtId="0" fontId="5" fillId="0" borderId="29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302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vertical="top"/>
    </xf>
    <xf numFmtId="0" fontId="24" fillId="2" borderId="0" xfId="0" applyFont="1" applyFill="1" applyBorder="1" applyAlignment="1">
      <alignment vertical="top" wrapText="1"/>
    </xf>
    <xf numFmtId="3" fontId="0" fillId="3" borderId="243" xfId="0" applyNumberFormat="1" applyFill="1" applyBorder="1" applyAlignment="1">
      <alignment horizontal="center" vertical="center"/>
    </xf>
    <xf numFmtId="0" fontId="0" fillId="3" borderId="262" xfId="0" applyFill="1" applyBorder="1" applyAlignment="1">
      <alignment horizontal="center" vertical="center"/>
    </xf>
    <xf numFmtId="0" fontId="0" fillId="3" borderId="255" xfId="0" applyFill="1" applyBorder="1" applyAlignment="1">
      <alignment horizontal="center" vertical="center"/>
    </xf>
    <xf numFmtId="9" fontId="0" fillId="3" borderId="262" xfId="5" applyFont="1" applyFill="1" applyBorder="1" applyAlignment="1">
      <alignment horizontal="center" vertical="center"/>
    </xf>
    <xf numFmtId="3" fontId="0" fillId="3" borderId="255" xfId="0" applyNumberFormat="1" applyFill="1" applyBorder="1" applyAlignment="1">
      <alignment horizontal="center" vertical="center"/>
    </xf>
    <xf numFmtId="3" fontId="0" fillId="3" borderId="267" xfId="0" applyNumberFormat="1" applyFill="1" applyBorder="1" applyAlignment="1">
      <alignment horizontal="center" vertical="center"/>
    </xf>
    <xf numFmtId="3" fontId="0" fillId="3" borderId="244" xfId="0" applyNumberFormat="1" applyFill="1" applyBorder="1" applyAlignment="1">
      <alignment horizontal="center" vertical="center"/>
    </xf>
    <xf numFmtId="0" fontId="0" fillId="3" borderId="263" xfId="0" applyFill="1" applyBorder="1" applyAlignment="1">
      <alignment horizontal="center" vertical="center"/>
    </xf>
    <xf numFmtId="0" fontId="0" fillId="3" borderId="257" xfId="0" applyFill="1" applyBorder="1" applyAlignment="1">
      <alignment horizontal="center" vertical="center"/>
    </xf>
    <xf numFmtId="9" fontId="0" fillId="3" borderId="263" xfId="5" applyFont="1" applyFill="1" applyBorder="1" applyAlignment="1">
      <alignment horizontal="center" vertical="center"/>
    </xf>
    <xf numFmtId="3" fontId="0" fillId="3" borderId="257" xfId="0" applyNumberFormat="1" applyFill="1" applyBorder="1" applyAlignment="1">
      <alignment horizontal="center" vertical="center"/>
    </xf>
    <xf numFmtId="3" fontId="0" fillId="3" borderId="268" xfId="0" applyNumberFormat="1" applyFill="1" applyBorder="1" applyAlignment="1">
      <alignment horizontal="center" vertical="center"/>
    </xf>
    <xf numFmtId="3" fontId="14" fillId="3" borderId="244" xfId="0" applyNumberFormat="1" applyFont="1" applyFill="1" applyBorder="1" applyAlignment="1">
      <alignment horizontal="center" vertical="center"/>
    </xf>
    <xf numFmtId="0" fontId="14" fillId="3" borderId="263" xfId="0" applyFont="1" applyFill="1" applyBorder="1" applyAlignment="1">
      <alignment horizontal="center" vertical="center"/>
    </xf>
    <xf numFmtId="0" fontId="14" fillId="3" borderId="257" xfId="0" applyFont="1" applyFill="1" applyBorder="1" applyAlignment="1">
      <alignment horizontal="center" vertical="center"/>
    </xf>
    <xf numFmtId="9" fontId="14" fillId="3" borderId="263" xfId="5" applyFont="1" applyFill="1" applyBorder="1" applyAlignment="1">
      <alignment horizontal="center" vertical="center"/>
    </xf>
    <xf numFmtId="3" fontId="14" fillId="3" borderId="257" xfId="0" applyNumberFormat="1" applyFont="1" applyFill="1" applyBorder="1" applyAlignment="1">
      <alignment horizontal="center" vertical="center"/>
    </xf>
    <xf numFmtId="3" fontId="14" fillId="3" borderId="268" xfId="0" applyNumberFormat="1" applyFont="1" applyFill="1" applyBorder="1" applyAlignment="1">
      <alignment horizontal="center" vertical="center"/>
    </xf>
    <xf numFmtId="3" fontId="25" fillId="3" borderId="244" xfId="0" applyNumberFormat="1" applyFont="1" applyFill="1" applyBorder="1" applyAlignment="1">
      <alignment horizontal="center" vertical="center"/>
    </xf>
    <xf numFmtId="0" fontId="25" fillId="3" borderId="263" xfId="0" applyFont="1" applyFill="1" applyBorder="1" applyAlignment="1">
      <alignment horizontal="center" vertical="center"/>
    </xf>
    <xf numFmtId="0" fontId="25" fillId="3" borderId="257" xfId="0" applyFont="1" applyFill="1" applyBorder="1" applyAlignment="1">
      <alignment horizontal="center" vertical="center"/>
    </xf>
    <xf numFmtId="9" fontId="25" fillId="3" borderId="263" xfId="5" applyFont="1" applyFill="1" applyBorder="1" applyAlignment="1">
      <alignment horizontal="center" vertical="center"/>
    </xf>
    <xf numFmtId="3" fontId="25" fillId="3" borderId="257" xfId="0" applyNumberFormat="1" applyFont="1" applyFill="1" applyBorder="1" applyAlignment="1">
      <alignment horizontal="center" vertical="center"/>
    </xf>
    <xf numFmtId="3" fontId="25" fillId="3" borderId="268" xfId="0" applyNumberFormat="1" applyFont="1" applyFill="1" applyBorder="1" applyAlignment="1">
      <alignment horizontal="center" vertical="center"/>
    </xf>
    <xf numFmtId="3" fontId="16" fillId="3" borderId="247" xfId="0" applyNumberFormat="1" applyFont="1" applyFill="1" applyBorder="1" applyAlignment="1">
      <alignment horizontal="center" vertical="center"/>
    </xf>
    <xf numFmtId="0" fontId="16" fillId="3" borderId="271" xfId="0" applyFont="1" applyFill="1" applyBorder="1" applyAlignment="1">
      <alignment horizontal="center" vertical="center"/>
    </xf>
    <xf numFmtId="9" fontId="16" fillId="3" borderId="272" xfId="5" applyFont="1" applyFill="1" applyBorder="1" applyAlignment="1">
      <alignment horizontal="center" vertical="center"/>
    </xf>
    <xf numFmtId="3" fontId="16" fillId="3" borderId="271" xfId="0" applyNumberFormat="1" applyFont="1" applyFill="1" applyBorder="1" applyAlignment="1">
      <alignment horizontal="center" vertical="center"/>
    </xf>
    <xf numFmtId="3" fontId="16" fillId="3" borderId="273" xfId="0" applyNumberFormat="1" applyFont="1" applyFill="1" applyBorder="1" applyAlignment="1">
      <alignment horizontal="center" vertical="center"/>
    </xf>
    <xf numFmtId="3" fontId="16" fillId="3" borderId="272" xfId="0" applyNumberFormat="1" applyFont="1" applyFill="1" applyBorder="1" applyAlignment="1">
      <alignment horizontal="center" vertical="center"/>
    </xf>
    <xf numFmtId="0" fontId="16" fillId="2" borderId="303" xfId="0" applyFont="1" applyFill="1" applyBorder="1" applyAlignment="1">
      <alignment vertical="center"/>
    </xf>
    <xf numFmtId="0" fontId="16" fillId="2" borderId="304" xfId="0" applyFont="1" applyFill="1" applyBorder="1" applyAlignment="1">
      <alignment vertical="center"/>
    </xf>
    <xf numFmtId="3" fontId="16" fillId="3" borderId="305" xfId="0" applyNumberFormat="1" applyFont="1" applyFill="1" applyBorder="1" applyAlignment="1">
      <alignment horizontal="center" vertical="center"/>
    </xf>
    <xf numFmtId="3" fontId="16" fillId="3" borderId="306" xfId="0" applyNumberFormat="1" applyFont="1" applyFill="1" applyBorder="1" applyAlignment="1">
      <alignment horizontal="center" vertical="center"/>
    </xf>
    <xf numFmtId="0" fontId="16" fillId="3" borderId="307" xfId="0" applyFont="1" applyFill="1" applyBorder="1" applyAlignment="1">
      <alignment horizontal="center" vertical="center"/>
    </xf>
    <xf numFmtId="9" fontId="16" fillId="3" borderId="306" xfId="5" applyFont="1" applyFill="1" applyBorder="1" applyAlignment="1">
      <alignment horizontal="center" vertical="center"/>
    </xf>
    <xf numFmtId="3" fontId="16" fillId="3" borderId="307" xfId="0" applyNumberFormat="1" applyFont="1" applyFill="1" applyBorder="1" applyAlignment="1">
      <alignment horizontal="center" vertical="center"/>
    </xf>
    <xf numFmtId="3" fontId="16" fillId="3" borderId="308" xfId="0" applyNumberFormat="1" applyFont="1" applyFill="1" applyBorder="1" applyAlignment="1">
      <alignment horizontal="center" vertical="center"/>
    </xf>
    <xf numFmtId="9" fontId="16" fillId="3" borderId="309" xfId="5" applyFont="1" applyFill="1" applyBorder="1" applyAlignment="1">
      <alignment horizontal="center" vertical="center"/>
    </xf>
    <xf numFmtId="9" fontId="16" fillId="3" borderId="310" xfId="5" applyFont="1" applyFill="1" applyBorder="1" applyAlignment="1">
      <alignment horizontal="center" vertical="center"/>
    </xf>
    <xf numFmtId="9" fontId="16" fillId="3" borderId="311" xfId="5" applyFont="1" applyFill="1" applyBorder="1" applyAlignment="1">
      <alignment horizontal="center" vertical="center"/>
    </xf>
    <xf numFmtId="9" fontId="16" fillId="3" borderId="312" xfId="5" applyFont="1" applyFill="1" applyBorder="1" applyAlignment="1">
      <alignment horizontal="center" vertical="center"/>
    </xf>
    <xf numFmtId="0" fontId="1" fillId="0" borderId="0" xfId="6" applyAlignment="1">
      <alignment vertical="center"/>
    </xf>
    <xf numFmtId="0" fontId="1" fillId="3" borderId="0" xfId="6" applyFill="1" applyAlignment="1">
      <alignment vertical="center"/>
    </xf>
    <xf numFmtId="0" fontId="32" fillId="3" borderId="313" xfId="6" applyFont="1" applyFill="1" applyBorder="1" applyAlignment="1">
      <alignment vertical="center"/>
    </xf>
    <xf numFmtId="0" fontId="32" fillId="3" borderId="314" xfId="6" applyFont="1" applyFill="1" applyBorder="1" applyAlignment="1">
      <alignment vertical="center"/>
    </xf>
    <xf numFmtId="0" fontId="32" fillId="3" borderId="315" xfId="6" applyFont="1" applyFill="1" applyBorder="1" applyAlignment="1">
      <alignment vertical="center"/>
    </xf>
    <xf numFmtId="0" fontId="33" fillId="8" borderId="316" xfId="6" applyFont="1" applyFill="1" applyBorder="1" applyAlignment="1">
      <alignment vertical="center" wrapText="1"/>
    </xf>
    <xf numFmtId="0" fontId="32" fillId="3" borderId="317" xfId="6" applyFont="1" applyFill="1" applyBorder="1" applyAlignment="1">
      <alignment vertical="center"/>
    </xf>
    <xf numFmtId="0" fontId="32" fillId="3" borderId="318" xfId="6" applyFont="1" applyFill="1" applyBorder="1" applyAlignment="1">
      <alignment vertical="center"/>
    </xf>
    <xf numFmtId="0" fontId="32" fillId="3" borderId="319" xfId="6" applyFont="1" applyFill="1" applyBorder="1" applyAlignment="1">
      <alignment vertical="center"/>
    </xf>
    <xf numFmtId="0" fontId="33" fillId="8" borderId="320" xfId="6" applyFont="1" applyFill="1" applyBorder="1" applyAlignment="1">
      <alignment vertical="center" wrapText="1"/>
    </xf>
    <xf numFmtId="0" fontId="32" fillId="3" borderId="321" xfId="6" applyFont="1" applyFill="1" applyBorder="1" applyAlignment="1">
      <alignment vertical="center"/>
    </xf>
    <xf numFmtId="0" fontId="32" fillId="3" borderId="322" xfId="6" applyFont="1" applyFill="1" applyBorder="1" applyAlignment="1">
      <alignment vertical="center"/>
    </xf>
    <xf numFmtId="0" fontId="32" fillId="3" borderId="323" xfId="6" applyFont="1" applyFill="1" applyBorder="1" applyAlignment="1">
      <alignment vertical="center"/>
    </xf>
    <xf numFmtId="0" fontId="33" fillId="8" borderId="324" xfId="6" applyFont="1" applyFill="1" applyBorder="1" applyAlignment="1">
      <alignment vertical="center" wrapText="1"/>
    </xf>
    <xf numFmtId="0" fontId="33" fillId="8" borderId="325" xfId="6" applyFont="1" applyFill="1" applyBorder="1" applyAlignment="1">
      <alignment vertical="center"/>
    </xf>
    <xf numFmtId="0" fontId="33" fillId="8" borderId="326" xfId="6" applyFont="1" applyFill="1" applyBorder="1" applyAlignment="1">
      <alignment vertical="center"/>
    </xf>
    <xf numFmtId="0" fontId="33" fillId="8" borderId="327" xfId="6" applyFont="1" applyFill="1" applyBorder="1" applyAlignment="1">
      <alignment vertical="center"/>
    </xf>
    <xf numFmtId="0" fontId="32" fillId="3" borderId="0" xfId="6" applyFont="1" applyFill="1" applyAlignment="1">
      <alignment vertical="center"/>
    </xf>
    <xf numFmtId="0" fontId="24" fillId="3" borderId="241" xfId="0" applyFont="1" applyFill="1" applyBorder="1" applyAlignment="1">
      <alignment vertical="center"/>
    </xf>
    <xf numFmtId="0" fontId="14" fillId="0" borderId="256" xfId="0" applyFont="1" applyBorder="1" applyAlignment="1">
      <alignment horizontal="center" vertical="center"/>
    </xf>
    <xf numFmtId="0" fontId="14" fillId="0" borderId="257" xfId="0" applyFont="1" applyBorder="1" applyAlignment="1">
      <alignment horizontal="center" vertical="center"/>
    </xf>
    <xf numFmtId="0" fontId="14" fillId="2" borderId="249" xfId="0" applyFont="1" applyFill="1" applyBorder="1" applyAlignment="1">
      <alignment vertical="center"/>
    </xf>
    <xf numFmtId="0" fontId="14" fillId="0" borderId="258" xfId="0" applyFont="1" applyBorder="1" applyAlignment="1">
      <alignment horizontal="center" vertical="center"/>
    </xf>
    <xf numFmtId="0" fontId="14" fillId="0" borderId="259" xfId="0" applyFont="1" applyBorder="1" applyAlignment="1">
      <alignment horizontal="center" vertical="center"/>
    </xf>
    <xf numFmtId="3" fontId="14" fillId="3" borderId="245" xfId="0" applyNumberFormat="1" applyFont="1" applyFill="1" applyBorder="1" applyAlignment="1">
      <alignment horizontal="center" vertical="center"/>
    </xf>
    <xf numFmtId="0" fontId="14" fillId="3" borderId="264" xfId="0" applyFont="1" applyFill="1" applyBorder="1" applyAlignment="1">
      <alignment horizontal="center" vertical="center"/>
    </xf>
    <xf numFmtId="0" fontId="14" fillId="3" borderId="259" xfId="0" applyFont="1" applyFill="1" applyBorder="1" applyAlignment="1">
      <alignment horizontal="center" vertical="center"/>
    </xf>
    <xf numFmtId="9" fontId="14" fillId="3" borderId="264" xfId="5" applyFont="1" applyFill="1" applyBorder="1" applyAlignment="1">
      <alignment horizontal="center" vertical="center"/>
    </xf>
    <xf numFmtId="3" fontId="14" fillId="3" borderId="259" xfId="0" applyNumberFormat="1" applyFont="1" applyFill="1" applyBorder="1" applyAlignment="1">
      <alignment horizontal="center" vertical="center"/>
    </xf>
    <xf numFmtId="3" fontId="14" fillId="3" borderId="269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top" wrapText="1"/>
    </xf>
    <xf numFmtId="0" fontId="22" fillId="2" borderId="2" xfId="0" applyFont="1" applyFill="1" applyBorder="1" applyAlignment="1">
      <alignment horizontal="center" vertical="center" wrapText="1"/>
    </xf>
    <xf numFmtId="0" fontId="24" fillId="3" borderId="241" xfId="0" applyFont="1" applyFill="1" applyBorder="1" applyAlignment="1">
      <alignment vertical="center"/>
    </xf>
    <xf numFmtId="0" fontId="24" fillId="3" borderId="107" xfId="0" applyFont="1" applyFill="1" applyBorder="1" applyAlignment="1">
      <alignment vertical="center"/>
    </xf>
    <xf numFmtId="0" fontId="23" fillId="2" borderId="42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3" borderId="331" xfId="0" applyFont="1" applyFill="1" applyBorder="1" applyAlignment="1">
      <alignment vertical="center"/>
    </xf>
    <xf numFmtId="0" fontId="24" fillId="3" borderId="332" xfId="0" applyFont="1" applyFill="1" applyBorder="1" applyAlignment="1">
      <alignment vertical="center"/>
    </xf>
    <xf numFmtId="0" fontId="24" fillId="3" borderId="217" xfId="0" applyFont="1" applyFill="1" applyBorder="1" applyAlignment="1">
      <alignment vertical="center"/>
    </xf>
    <xf numFmtId="0" fontId="24" fillId="3" borderId="239" xfId="0" applyFont="1" applyFill="1" applyBorder="1" applyAlignment="1">
      <alignment vertical="center"/>
    </xf>
    <xf numFmtId="0" fontId="5" fillId="3" borderId="239" xfId="0" applyFont="1" applyFill="1" applyBorder="1" applyAlignment="1">
      <alignment vertical="center"/>
    </xf>
    <xf numFmtId="0" fontId="23" fillId="2" borderId="334" xfId="0" applyFont="1" applyFill="1" applyBorder="1" applyAlignment="1">
      <alignment horizontal="center" vertical="center"/>
    </xf>
    <xf numFmtId="0" fontId="23" fillId="2" borderId="336" xfId="0" applyFont="1" applyFill="1" applyBorder="1" applyAlignment="1">
      <alignment horizontal="center" vertical="center"/>
    </xf>
    <xf numFmtId="0" fontId="23" fillId="2" borderId="338" xfId="0" applyFont="1" applyFill="1" applyBorder="1" applyAlignment="1">
      <alignment horizontal="center" vertical="center"/>
    </xf>
    <xf numFmtId="0" fontId="23" fillId="2" borderId="340" xfId="0" applyFont="1" applyFill="1" applyBorder="1" applyAlignment="1">
      <alignment horizontal="center" vertical="center"/>
    </xf>
    <xf numFmtId="0" fontId="23" fillId="2" borderId="342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top"/>
    </xf>
    <xf numFmtId="0" fontId="2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left" vertical="center"/>
    </xf>
    <xf numFmtId="0" fontId="4" fillId="2" borderId="334" xfId="0" applyFont="1" applyFill="1" applyBorder="1" applyAlignment="1">
      <alignment horizontal="center" vertical="center"/>
    </xf>
    <xf numFmtId="0" fontId="4" fillId="2" borderId="336" xfId="0" applyFont="1" applyFill="1" applyBorder="1" applyAlignment="1">
      <alignment horizontal="center" vertical="center"/>
    </xf>
    <xf numFmtId="0" fontId="4" fillId="2" borderId="338" xfId="0" applyFont="1" applyFill="1" applyBorder="1" applyAlignment="1">
      <alignment horizontal="center" vertical="center"/>
    </xf>
    <xf numFmtId="0" fontId="4" fillId="2" borderId="340" xfId="0" applyFont="1" applyFill="1" applyBorder="1" applyAlignment="1">
      <alignment horizontal="center" vertical="center"/>
    </xf>
    <xf numFmtId="0" fontId="4" fillId="2" borderId="342" xfId="0" applyFont="1" applyFill="1" applyBorder="1" applyAlignment="1">
      <alignment horizontal="center" vertical="center"/>
    </xf>
    <xf numFmtId="0" fontId="23" fillId="2" borderId="350" xfId="0" applyFont="1" applyFill="1" applyBorder="1" applyAlignment="1">
      <alignment horizontal="center" vertical="center"/>
    </xf>
    <xf numFmtId="0" fontId="23" fillId="2" borderId="351" xfId="0" applyFont="1" applyFill="1" applyBorder="1" applyAlignment="1">
      <alignment horizontal="center" vertical="center"/>
    </xf>
    <xf numFmtId="0" fontId="24" fillId="3" borderId="352" xfId="0" applyFont="1" applyFill="1" applyBorder="1" applyAlignment="1">
      <alignment horizontal="center" vertical="center"/>
    </xf>
    <xf numFmtId="0" fontId="24" fillId="3" borderId="353" xfId="0" applyFont="1" applyFill="1" applyBorder="1" applyAlignment="1">
      <alignment horizontal="center" vertical="center"/>
    </xf>
    <xf numFmtId="0" fontId="24" fillId="0" borderId="354" xfId="0" applyFont="1" applyBorder="1" applyAlignment="1">
      <alignment horizontal="center" vertical="center"/>
    </xf>
    <xf numFmtId="0" fontId="24" fillId="0" borderId="355" xfId="0" applyFont="1" applyBorder="1" applyAlignment="1">
      <alignment horizontal="center" vertical="center"/>
    </xf>
    <xf numFmtId="0" fontId="24" fillId="6" borderId="356" xfId="0" applyFont="1" applyFill="1" applyBorder="1" applyAlignment="1">
      <alignment horizontal="center" vertical="center"/>
    </xf>
    <xf numFmtId="0" fontId="24" fillId="6" borderId="357" xfId="0" applyFont="1" applyFill="1" applyBorder="1" applyAlignment="1">
      <alignment horizontal="center" vertical="center"/>
    </xf>
    <xf numFmtId="0" fontId="24" fillId="0" borderId="356" xfId="0" applyFont="1" applyBorder="1" applyAlignment="1">
      <alignment horizontal="center" vertical="center"/>
    </xf>
    <xf numFmtId="0" fontId="24" fillId="0" borderId="357" xfId="0" applyFont="1" applyBorder="1" applyAlignment="1">
      <alignment horizontal="center" vertical="center"/>
    </xf>
    <xf numFmtId="0" fontId="24" fillId="6" borderId="358" xfId="0" applyFont="1" applyFill="1" applyBorder="1" applyAlignment="1">
      <alignment horizontal="center" vertical="center"/>
    </xf>
    <xf numFmtId="0" fontId="24" fillId="6" borderId="359" xfId="0" applyFont="1" applyFill="1" applyBorder="1" applyAlignment="1">
      <alignment horizontal="center" vertical="center"/>
    </xf>
    <xf numFmtId="0" fontId="24" fillId="0" borderId="360" xfId="0" applyFont="1" applyBorder="1" applyAlignment="1">
      <alignment horizontal="center" vertical="center"/>
    </xf>
    <xf numFmtId="0" fontId="24" fillId="0" borderId="361" xfId="0" applyFont="1" applyBorder="1" applyAlignment="1">
      <alignment horizontal="center" vertical="center"/>
    </xf>
    <xf numFmtId="0" fontId="24" fillId="6" borderId="362" xfId="0" applyFont="1" applyFill="1" applyBorder="1" applyAlignment="1">
      <alignment horizontal="center" vertical="center"/>
    </xf>
    <xf numFmtId="0" fontId="24" fillId="6" borderId="363" xfId="0" applyFont="1" applyFill="1" applyBorder="1" applyAlignment="1">
      <alignment horizontal="center" vertical="center"/>
    </xf>
    <xf numFmtId="0" fontId="23" fillId="2" borderId="366" xfId="0" applyFont="1" applyFill="1" applyBorder="1" applyAlignment="1">
      <alignment horizontal="center" vertical="center"/>
    </xf>
    <xf numFmtId="0" fontId="23" fillId="2" borderId="367" xfId="0" applyFont="1" applyFill="1" applyBorder="1" applyAlignment="1">
      <alignment horizontal="center" vertical="center"/>
    </xf>
    <xf numFmtId="0" fontId="24" fillId="3" borderId="368" xfId="0" applyFont="1" applyFill="1" applyBorder="1" applyAlignment="1">
      <alignment horizontal="center" vertical="center"/>
    </xf>
    <xf numFmtId="0" fontId="24" fillId="3" borderId="369" xfId="0" applyFont="1" applyFill="1" applyBorder="1" applyAlignment="1">
      <alignment horizontal="center" vertical="center"/>
    </xf>
    <xf numFmtId="0" fontId="24" fillId="0" borderId="370" xfId="0" applyFont="1" applyBorder="1" applyAlignment="1">
      <alignment horizontal="center" vertical="center"/>
    </xf>
    <xf numFmtId="0" fontId="24" fillId="0" borderId="371" xfId="0" applyFont="1" applyBorder="1" applyAlignment="1">
      <alignment horizontal="center" vertical="center"/>
    </xf>
    <xf numFmtId="0" fontId="24" fillId="7" borderId="372" xfId="0" applyFont="1" applyFill="1" applyBorder="1" applyAlignment="1">
      <alignment horizontal="center" vertical="center"/>
    </xf>
    <xf numFmtId="0" fontId="24" fillId="7" borderId="373" xfId="0" applyFont="1" applyFill="1" applyBorder="1" applyAlignment="1">
      <alignment horizontal="center" vertical="center"/>
    </xf>
    <xf numFmtId="0" fontId="24" fillId="0" borderId="372" xfId="0" applyFont="1" applyBorder="1" applyAlignment="1">
      <alignment horizontal="center" vertical="center"/>
    </xf>
    <xf numFmtId="0" fontId="24" fillId="0" borderId="373" xfId="0" applyFont="1" applyBorder="1" applyAlignment="1">
      <alignment horizontal="center" vertical="center"/>
    </xf>
    <xf numFmtId="0" fontId="24" fillId="7" borderId="374" xfId="0" applyFont="1" applyFill="1" applyBorder="1" applyAlignment="1">
      <alignment horizontal="center" vertical="center"/>
    </xf>
    <xf numFmtId="0" fontId="24" fillId="7" borderId="375" xfId="0" applyFont="1" applyFill="1" applyBorder="1" applyAlignment="1">
      <alignment horizontal="center" vertical="center"/>
    </xf>
    <xf numFmtId="0" fontId="24" fillId="0" borderId="376" xfId="0" applyFont="1" applyBorder="1" applyAlignment="1">
      <alignment horizontal="center" vertical="center"/>
    </xf>
    <xf numFmtId="0" fontId="24" fillId="0" borderId="377" xfId="0" applyFont="1" applyBorder="1" applyAlignment="1">
      <alignment horizontal="center" vertical="center"/>
    </xf>
    <xf numFmtId="0" fontId="24" fillId="7" borderId="378" xfId="0" applyFont="1" applyFill="1" applyBorder="1" applyAlignment="1">
      <alignment horizontal="center" vertical="center"/>
    </xf>
    <xf numFmtId="0" fontId="24" fillId="7" borderId="379" xfId="0" applyFont="1" applyFill="1" applyBorder="1" applyAlignment="1">
      <alignment horizontal="center" vertical="center"/>
    </xf>
    <xf numFmtId="0" fontId="23" fillId="2" borderId="382" xfId="0" applyFont="1" applyFill="1" applyBorder="1" applyAlignment="1">
      <alignment horizontal="center" vertical="center"/>
    </xf>
    <xf numFmtId="0" fontId="23" fillId="2" borderId="383" xfId="0" applyFont="1" applyFill="1" applyBorder="1" applyAlignment="1">
      <alignment horizontal="center" vertical="center"/>
    </xf>
    <xf numFmtId="0" fontId="24" fillId="3" borderId="384" xfId="0" applyFont="1" applyFill="1" applyBorder="1" applyAlignment="1">
      <alignment horizontal="center" vertical="center"/>
    </xf>
    <xf numFmtId="0" fontId="24" fillId="3" borderId="385" xfId="0" applyFont="1" applyFill="1" applyBorder="1" applyAlignment="1">
      <alignment horizontal="center" vertical="center"/>
    </xf>
    <xf numFmtId="0" fontId="24" fillId="0" borderId="386" xfId="0" applyFont="1" applyBorder="1" applyAlignment="1">
      <alignment horizontal="center" vertical="center"/>
    </xf>
    <xf numFmtId="0" fontId="24" fillId="6" borderId="387" xfId="0" applyFont="1" applyFill="1" applyBorder="1" applyAlignment="1">
      <alignment horizontal="center" vertical="center"/>
    </xf>
    <xf numFmtId="0" fontId="24" fillId="0" borderId="387" xfId="0" applyFont="1" applyBorder="1" applyAlignment="1">
      <alignment horizontal="center" vertical="center"/>
    </xf>
    <xf numFmtId="0" fontId="24" fillId="6" borderId="388" xfId="0" applyFont="1" applyFill="1" applyBorder="1" applyAlignment="1">
      <alignment horizontal="center" vertical="center"/>
    </xf>
    <xf numFmtId="0" fontId="24" fillId="0" borderId="389" xfId="0" applyFont="1" applyBorder="1" applyAlignment="1">
      <alignment horizontal="center" vertical="center"/>
    </xf>
    <xf numFmtId="0" fontId="24" fillId="6" borderId="390" xfId="0" applyFont="1" applyFill="1" applyBorder="1" applyAlignment="1">
      <alignment horizontal="center" vertical="center"/>
    </xf>
    <xf numFmtId="0" fontId="23" fillId="2" borderId="392" xfId="0" applyFont="1" applyFill="1" applyBorder="1" applyAlignment="1">
      <alignment horizontal="center" vertical="center"/>
    </xf>
    <xf numFmtId="0" fontId="24" fillId="3" borderId="393" xfId="0" applyFont="1" applyFill="1" applyBorder="1" applyAlignment="1">
      <alignment horizontal="center" vertical="center"/>
    </xf>
    <xf numFmtId="0" fontId="23" fillId="2" borderId="395" xfId="0" applyFont="1" applyFill="1" applyBorder="1" applyAlignment="1">
      <alignment horizontal="center" vertical="center"/>
    </xf>
    <xf numFmtId="0" fontId="24" fillId="3" borderId="396" xfId="0" applyFont="1" applyFill="1" applyBorder="1" applyAlignment="1">
      <alignment horizontal="center" vertical="center"/>
    </xf>
    <xf numFmtId="0" fontId="23" fillId="2" borderId="398" xfId="0" applyFont="1" applyFill="1" applyBorder="1" applyAlignment="1">
      <alignment horizontal="center" vertical="center"/>
    </xf>
    <xf numFmtId="0" fontId="24" fillId="3" borderId="399" xfId="0" applyFont="1" applyFill="1" applyBorder="1" applyAlignment="1">
      <alignment horizontal="center" vertical="center"/>
    </xf>
    <xf numFmtId="0" fontId="4" fillId="2" borderId="350" xfId="0" applyFont="1" applyFill="1" applyBorder="1" applyAlignment="1">
      <alignment horizontal="center" vertical="center"/>
    </xf>
    <xf numFmtId="0" fontId="4" fillId="2" borderId="392" xfId="0" applyFont="1" applyFill="1" applyBorder="1" applyAlignment="1">
      <alignment horizontal="center" vertical="center"/>
    </xf>
    <xf numFmtId="0" fontId="4" fillId="2" borderId="395" xfId="0" applyFont="1" applyFill="1" applyBorder="1" applyAlignment="1">
      <alignment horizontal="center" vertical="center"/>
    </xf>
    <xf numFmtId="0" fontId="4" fillId="2" borderId="367" xfId="0" applyFont="1" applyFill="1" applyBorder="1" applyAlignment="1">
      <alignment horizontal="center" vertical="center"/>
    </xf>
    <xf numFmtId="0" fontId="4" fillId="2" borderId="382" xfId="0" applyFont="1" applyFill="1" applyBorder="1" applyAlignment="1">
      <alignment horizontal="center" vertical="center"/>
    </xf>
    <xf numFmtId="0" fontId="24" fillId="0" borderId="352" xfId="0" applyFont="1" applyBorder="1" applyAlignment="1">
      <alignment horizontal="center" vertical="center"/>
    </xf>
    <xf numFmtId="0" fontId="24" fillId="0" borderId="393" xfId="0" applyFont="1" applyBorder="1" applyAlignment="1">
      <alignment horizontal="center" vertical="center"/>
    </xf>
    <xf numFmtId="0" fontId="24" fillId="0" borderId="384" xfId="0" applyFont="1" applyBorder="1" applyAlignment="1">
      <alignment horizontal="center" vertical="center"/>
    </xf>
    <xf numFmtId="0" fontId="24" fillId="0" borderId="396" xfId="0" applyFont="1" applyBorder="1" applyAlignment="1">
      <alignment horizontal="center" vertical="center"/>
    </xf>
    <xf numFmtId="0" fontId="24" fillId="0" borderId="369" xfId="0" applyFont="1" applyBorder="1" applyAlignment="1">
      <alignment horizontal="center" vertical="center"/>
    </xf>
    <xf numFmtId="0" fontId="24" fillId="0" borderId="39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4" fillId="5" borderId="374" xfId="0" applyFont="1" applyFill="1" applyBorder="1" applyAlignment="1">
      <alignment horizontal="center" vertical="center"/>
    </xf>
    <xf numFmtId="0" fontId="33" fillId="8" borderId="401" xfId="6" applyFont="1" applyFill="1" applyBorder="1" applyAlignment="1">
      <alignment vertical="center"/>
    </xf>
    <xf numFmtId="0" fontId="32" fillId="3" borderId="402" xfId="6" applyFont="1" applyFill="1" applyBorder="1" applyAlignment="1">
      <alignment vertical="center"/>
    </xf>
    <xf numFmtId="0" fontId="32" fillId="3" borderId="403" xfId="6" applyFont="1" applyFill="1" applyBorder="1" applyAlignment="1">
      <alignment vertical="center"/>
    </xf>
    <xf numFmtId="0" fontId="32" fillId="3" borderId="404" xfId="6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3" fontId="32" fillId="3" borderId="317" xfId="6" applyNumberFormat="1" applyFont="1" applyFill="1" applyBorder="1" applyAlignment="1">
      <alignment vertical="center"/>
    </xf>
    <xf numFmtId="1" fontId="32" fillId="3" borderId="319" xfId="6" applyNumberFormat="1" applyFont="1" applyFill="1" applyBorder="1" applyAlignment="1">
      <alignment vertical="center"/>
    </xf>
    <xf numFmtId="1" fontId="32" fillId="3" borderId="315" xfId="6" applyNumberFormat="1" applyFont="1" applyFill="1" applyBorder="1" applyAlignment="1">
      <alignment vertical="center"/>
    </xf>
    <xf numFmtId="9" fontId="1" fillId="0" borderId="0" xfId="5" applyFont="1" applyAlignment="1">
      <alignment vertical="center"/>
    </xf>
    <xf numFmtId="9" fontId="32" fillId="3" borderId="319" xfId="5" applyFont="1" applyFill="1" applyBorder="1" applyAlignment="1">
      <alignment vertical="center"/>
    </xf>
    <xf numFmtId="9" fontId="32" fillId="3" borderId="318" xfId="5" applyFont="1" applyFill="1" applyBorder="1" applyAlignment="1">
      <alignment vertical="center"/>
    </xf>
    <xf numFmtId="9" fontId="32" fillId="3" borderId="403" xfId="5" applyFont="1" applyFill="1" applyBorder="1" applyAlignment="1">
      <alignment vertical="center"/>
    </xf>
    <xf numFmtId="9" fontId="32" fillId="3" borderId="317" xfId="5" applyFont="1" applyFill="1" applyBorder="1" applyAlignment="1">
      <alignment vertical="center"/>
    </xf>
    <xf numFmtId="9" fontId="32" fillId="3" borderId="315" xfId="5" applyFont="1" applyFill="1" applyBorder="1" applyAlignment="1">
      <alignment vertical="center"/>
    </xf>
    <xf numFmtId="9" fontId="32" fillId="3" borderId="314" xfId="5" applyFont="1" applyFill="1" applyBorder="1" applyAlignment="1">
      <alignment vertical="center"/>
    </xf>
    <xf numFmtId="9" fontId="32" fillId="3" borderId="404" xfId="5" applyFont="1" applyFill="1" applyBorder="1" applyAlignment="1">
      <alignment vertical="center"/>
    </xf>
    <xf numFmtId="9" fontId="32" fillId="3" borderId="313" xfId="5" applyFont="1" applyFill="1" applyBorder="1" applyAlignment="1">
      <alignment vertical="center"/>
    </xf>
    <xf numFmtId="0" fontId="24" fillId="3" borderId="300" xfId="0" applyFont="1" applyFill="1" applyBorder="1" applyAlignment="1">
      <alignment vertical="top" wrapText="1"/>
    </xf>
    <xf numFmtId="0" fontId="24" fillId="3" borderId="0" xfId="0" applyFont="1" applyFill="1" applyBorder="1" applyAlignment="1">
      <alignment vertical="top" wrapText="1"/>
    </xf>
    <xf numFmtId="0" fontId="24" fillId="2" borderId="0" xfId="0" applyFont="1" applyFill="1" applyAlignment="1">
      <alignment vertical="top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27" fillId="2" borderId="23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66" xfId="0" applyFont="1" applyFill="1" applyBorder="1" applyAlignment="1">
      <alignment horizontal="center" vertical="center" wrapText="1"/>
    </xf>
    <xf numFmtId="0" fontId="27" fillId="2" borderId="297" xfId="0" applyFont="1" applyFill="1" applyBorder="1" applyAlignment="1">
      <alignment horizontal="center" vertical="center" wrapText="1"/>
    </xf>
    <xf numFmtId="0" fontId="27" fillId="2" borderId="298" xfId="0" applyFont="1" applyFill="1" applyBorder="1" applyAlignment="1">
      <alignment horizontal="center" vertical="center" wrapText="1"/>
    </xf>
    <xf numFmtId="0" fontId="27" fillId="2" borderId="299" xfId="0" applyFont="1" applyFill="1" applyBorder="1" applyAlignment="1">
      <alignment horizontal="center" vertical="center" wrapText="1"/>
    </xf>
    <xf numFmtId="0" fontId="20" fillId="2" borderId="150" xfId="0" applyFont="1" applyFill="1" applyBorder="1" applyAlignment="1">
      <alignment vertical="center" wrapText="1"/>
    </xf>
    <xf numFmtId="0" fontId="20" fillId="2" borderId="49" xfId="0" applyFont="1" applyFill="1" applyBorder="1" applyAlignment="1">
      <alignment vertical="center" wrapText="1"/>
    </xf>
    <xf numFmtId="0" fontId="20" fillId="2" borderId="66" xfId="0" applyFont="1" applyFill="1" applyBorder="1" applyAlignment="1">
      <alignment vertical="center" wrapText="1"/>
    </xf>
    <xf numFmtId="0" fontId="20" fillId="2" borderId="151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0" fillId="2" borderId="25" xfId="0" applyFont="1" applyFill="1" applyBorder="1" applyAlignment="1">
      <alignment vertical="center" wrapText="1"/>
    </xf>
    <xf numFmtId="0" fontId="20" fillId="2" borderId="152" xfId="0" applyFont="1" applyFill="1" applyBorder="1" applyAlignment="1">
      <alignment vertical="center" wrapText="1"/>
    </xf>
    <xf numFmtId="0" fontId="20" fillId="2" borderId="69" xfId="0" applyFont="1" applyFill="1" applyBorder="1" applyAlignment="1">
      <alignment vertical="center" wrapText="1"/>
    </xf>
    <xf numFmtId="0" fontId="20" fillId="2" borderId="70" xfId="0" applyFont="1" applyFill="1" applyBorder="1" applyAlignment="1">
      <alignment vertical="center" wrapText="1"/>
    </xf>
    <xf numFmtId="1" fontId="21" fillId="0" borderId="181" xfId="5" applyNumberFormat="1" applyFont="1" applyBorder="1" applyAlignment="1">
      <alignment vertical="center"/>
    </xf>
    <xf numFmtId="1" fontId="21" fillId="0" borderId="289" xfId="5" applyNumberFormat="1" applyFont="1" applyBorder="1" applyAlignment="1">
      <alignment vertical="center"/>
    </xf>
    <xf numFmtId="1" fontId="21" fillId="0" borderId="83" xfId="5" applyNumberFormat="1" applyFont="1" applyBorder="1" applyAlignment="1">
      <alignment vertical="center"/>
    </xf>
    <xf numFmtId="1" fontId="21" fillId="0" borderId="185" xfId="5" applyNumberFormat="1" applyFont="1" applyBorder="1" applyAlignment="1">
      <alignment vertical="center"/>
    </xf>
    <xf numFmtId="1" fontId="21" fillId="0" borderId="290" xfId="5" applyNumberFormat="1" applyFont="1" applyBorder="1" applyAlignment="1">
      <alignment vertical="center"/>
    </xf>
    <xf numFmtId="1" fontId="21" fillId="0" borderId="91" xfId="5" applyNumberFormat="1" applyFont="1" applyBorder="1" applyAlignment="1">
      <alignment vertical="center"/>
    </xf>
    <xf numFmtId="1" fontId="21" fillId="0" borderId="189" xfId="5" applyNumberFormat="1" applyFont="1" applyBorder="1" applyAlignment="1">
      <alignment vertical="center"/>
    </xf>
    <xf numFmtId="1" fontId="21" fillId="0" borderId="291" xfId="5" applyNumberFormat="1" applyFont="1" applyBorder="1" applyAlignment="1">
      <alignment vertical="center"/>
    </xf>
    <xf numFmtId="1" fontId="21" fillId="0" borderId="99" xfId="5" applyNumberFormat="1" applyFont="1" applyBorder="1" applyAlignment="1">
      <alignment vertical="center"/>
    </xf>
    <xf numFmtId="1" fontId="21" fillId="0" borderId="288" xfId="5" applyNumberFormat="1" applyFont="1" applyBorder="1" applyAlignment="1">
      <alignment vertical="center"/>
    </xf>
    <xf numFmtId="1" fontId="21" fillId="0" borderId="72" xfId="5" applyNumberFormat="1" applyFont="1" applyBorder="1" applyAlignment="1">
      <alignment vertical="center"/>
    </xf>
    <xf numFmtId="1" fontId="21" fillId="0" borderId="41" xfId="5" applyNumberFormat="1" applyFont="1" applyBorder="1" applyAlignment="1">
      <alignment vertical="center"/>
    </xf>
    <xf numFmtId="1" fontId="21" fillId="0" borderId="155" xfId="5" applyNumberFormat="1" applyFont="1" applyBorder="1" applyAlignment="1">
      <alignment vertical="center"/>
    </xf>
    <xf numFmtId="1" fontId="21" fillId="0" borderId="74" xfId="5" applyNumberFormat="1" applyFont="1" applyBorder="1" applyAlignment="1">
      <alignment vertical="center"/>
    </xf>
    <xf numFmtId="1" fontId="21" fillId="0" borderId="43" xfId="5" applyNumberFormat="1" applyFont="1" applyBorder="1" applyAlignment="1">
      <alignment vertical="center"/>
    </xf>
    <xf numFmtId="0" fontId="23" fillId="2" borderId="169" xfId="0" applyFont="1" applyFill="1" applyBorder="1" applyAlignment="1">
      <alignment horizontal="center" vertical="center" wrapText="1"/>
    </xf>
    <xf numFmtId="0" fontId="23" fillId="2" borderId="67" xfId="0" applyFont="1" applyFill="1" applyBorder="1" applyAlignment="1">
      <alignment horizontal="center" vertical="center" wrapText="1"/>
    </xf>
    <xf numFmtId="0" fontId="23" fillId="2" borderId="170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161" xfId="0" applyFont="1" applyFill="1" applyBorder="1" applyAlignment="1">
      <alignment horizontal="center" vertical="center" wrapText="1"/>
    </xf>
    <xf numFmtId="0" fontId="23" fillId="2" borderId="348" xfId="0" applyFont="1" applyFill="1" applyBorder="1" applyAlignment="1">
      <alignment horizontal="center" vertical="center" wrapText="1"/>
    </xf>
    <xf numFmtId="0" fontId="23" fillId="2" borderId="349" xfId="0" applyFont="1" applyFill="1" applyBorder="1" applyAlignment="1">
      <alignment horizontal="center" vertical="center" wrapText="1"/>
    </xf>
    <xf numFmtId="0" fontId="23" fillId="2" borderId="364" xfId="0" applyFont="1" applyFill="1" applyBorder="1" applyAlignment="1">
      <alignment horizontal="center" vertical="center" wrapText="1"/>
    </xf>
    <xf numFmtId="0" fontId="23" fillId="2" borderId="365" xfId="0" applyFont="1" applyFill="1" applyBorder="1" applyAlignment="1">
      <alignment horizontal="center" vertical="center" wrapText="1"/>
    </xf>
    <xf numFmtId="0" fontId="23" fillId="2" borderId="380" xfId="0" applyFont="1" applyFill="1" applyBorder="1" applyAlignment="1">
      <alignment horizontal="center" vertical="center" wrapText="1"/>
    </xf>
    <xf numFmtId="0" fontId="23" fillId="2" borderId="381" xfId="0" applyFont="1" applyFill="1" applyBorder="1" applyAlignment="1">
      <alignment horizontal="center" vertical="center" wrapText="1"/>
    </xf>
    <xf numFmtId="0" fontId="23" fillId="2" borderId="391" xfId="0" applyFont="1" applyFill="1" applyBorder="1" applyAlignment="1">
      <alignment horizontal="center" vertical="center" wrapText="1"/>
    </xf>
    <xf numFmtId="0" fontId="23" fillId="2" borderId="394" xfId="0" applyFont="1" applyFill="1" applyBorder="1" applyAlignment="1">
      <alignment horizontal="center" vertical="center" wrapText="1"/>
    </xf>
    <xf numFmtId="0" fontId="23" fillId="2" borderId="397" xfId="0" applyFont="1" applyFill="1" applyBorder="1" applyAlignment="1">
      <alignment horizontal="center" vertical="center" wrapText="1"/>
    </xf>
    <xf numFmtId="0" fontId="23" fillId="2" borderId="19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4" fillId="2" borderId="171" xfId="0" applyFont="1" applyFill="1" applyBorder="1" applyAlignment="1">
      <alignment horizontal="center" vertical="center" wrapText="1"/>
    </xf>
    <xf numFmtId="0" fontId="4" fillId="2" borderId="191" xfId="0" applyFont="1" applyFill="1" applyBorder="1" applyAlignment="1">
      <alignment horizontal="center" vertical="center" wrapText="1"/>
    </xf>
    <xf numFmtId="0" fontId="4" fillId="2" borderId="193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23" fillId="2" borderId="2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196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4" fillId="2" borderId="82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/>
    </xf>
    <xf numFmtId="0" fontId="4" fillId="2" borderId="202" xfId="0" applyFont="1" applyFill="1" applyBorder="1" applyAlignment="1">
      <alignment horizontal="center" vertical="center"/>
    </xf>
    <xf numFmtId="0" fontId="4" fillId="2" borderId="203" xfId="0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2" borderId="204" xfId="0" applyFont="1" applyFill="1" applyBorder="1" applyAlignment="1">
      <alignment horizontal="center" vertical="center"/>
    </xf>
    <xf numFmtId="0" fontId="4" fillId="2" borderId="205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66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208" xfId="0" applyFont="1" applyFill="1" applyBorder="1" applyAlignment="1">
      <alignment horizontal="center" vertical="center"/>
    </xf>
    <xf numFmtId="0" fontId="4" fillId="2" borderId="163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209" xfId="0" applyFont="1" applyFill="1" applyBorder="1" applyAlignment="1">
      <alignment horizontal="center" vertical="center"/>
    </xf>
    <xf numFmtId="0" fontId="4" fillId="2" borderId="21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98" xfId="0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/>
    </xf>
    <xf numFmtId="0" fontId="4" fillId="2" borderId="206" xfId="0" applyFont="1" applyFill="1" applyBorder="1" applyAlignment="1">
      <alignment horizontal="center" vertical="center"/>
    </xf>
    <xf numFmtId="0" fontId="4" fillId="2" borderId="207" xfId="0" applyFont="1" applyFill="1" applyBorder="1" applyAlignment="1">
      <alignment horizontal="center" vertical="center"/>
    </xf>
    <xf numFmtId="0" fontId="23" fillId="2" borderId="333" xfId="0" applyFont="1" applyFill="1" applyBorder="1" applyAlignment="1">
      <alignment horizontal="center" vertical="center"/>
    </xf>
    <xf numFmtId="0" fontId="23" fillId="2" borderId="335" xfId="0" applyFont="1" applyFill="1" applyBorder="1" applyAlignment="1">
      <alignment horizontal="center" vertical="center"/>
    </xf>
    <xf numFmtId="0" fontId="23" fillId="2" borderId="337" xfId="0" applyFont="1" applyFill="1" applyBorder="1" applyAlignment="1">
      <alignment horizontal="center" vertical="center"/>
    </xf>
    <xf numFmtId="0" fontId="23" fillId="2" borderId="339" xfId="0" applyFont="1" applyFill="1" applyBorder="1" applyAlignment="1">
      <alignment horizontal="center" vertical="center"/>
    </xf>
    <xf numFmtId="0" fontId="23" fillId="2" borderId="341" xfId="0" applyFont="1" applyFill="1" applyBorder="1" applyAlignment="1">
      <alignment horizontal="center" vertical="center"/>
    </xf>
    <xf numFmtId="0" fontId="4" fillId="2" borderId="200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198" xfId="0" applyFont="1" applyFill="1" applyBorder="1" applyAlignment="1">
      <alignment horizontal="center" vertical="center"/>
    </xf>
    <xf numFmtId="0" fontId="4" fillId="2" borderId="1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6" xfId="0" applyFont="1" applyFill="1" applyBorder="1" applyAlignment="1">
      <alignment horizontal="center" vertical="center" wrapText="1"/>
    </xf>
    <xf numFmtId="0" fontId="4" fillId="2" borderId="16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0" fillId="2" borderId="280" xfId="0" applyFont="1" applyFill="1" applyBorder="1" applyAlignment="1">
      <alignment horizontal="center" vertical="center" wrapText="1"/>
    </xf>
    <xf numFmtId="0" fontId="20" fillId="2" borderId="281" xfId="0" applyFont="1" applyFill="1" applyBorder="1" applyAlignment="1">
      <alignment horizontal="center" vertical="center" wrapText="1"/>
    </xf>
    <xf numFmtId="0" fontId="20" fillId="2" borderId="282" xfId="0" applyFont="1" applyFill="1" applyBorder="1" applyAlignment="1">
      <alignment horizontal="center" vertical="center" wrapText="1"/>
    </xf>
    <xf numFmtId="1" fontId="11" fillId="0" borderId="72" xfId="5" applyNumberFormat="1" applyFont="1" applyBorder="1" applyAlignment="1">
      <alignment vertical="center" wrapText="1"/>
    </xf>
    <xf numFmtId="1" fontId="11" fillId="0" borderId="41" xfId="5" applyNumberFormat="1" applyFont="1" applyBorder="1" applyAlignment="1">
      <alignment vertical="center" wrapText="1"/>
    </xf>
    <xf numFmtId="1" fontId="11" fillId="0" borderId="74" xfId="5" applyNumberFormat="1" applyFont="1" applyBorder="1" applyAlignment="1">
      <alignment vertical="center" wrapText="1"/>
    </xf>
    <xf numFmtId="1" fontId="11" fillId="0" borderId="43" xfId="5" applyNumberFormat="1" applyFont="1" applyBorder="1" applyAlignment="1">
      <alignment vertical="center" wrapText="1"/>
    </xf>
    <xf numFmtId="0" fontId="24" fillId="3" borderId="0" xfId="0" applyFont="1" applyFill="1" applyBorder="1" applyAlignment="1">
      <alignment vertical="top"/>
    </xf>
    <xf numFmtId="0" fontId="4" fillId="2" borderId="197" xfId="0" applyFont="1" applyFill="1" applyBorder="1" applyAlignment="1">
      <alignment horizontal="center" vertical="center"/>
    </xf>
    <xf numFmtId="0" fontId="4" fillId="2" borderId="108" xfId="0" applyFont="1" applyFill="1" applyBorder="1" applyAlignment="1">
      <alignment horizontal="center" vertical="center"/>
    </xf>
    <xf numFmtId="1" fontId="11" fillId="0" borderId="119" xfId="5" applyNumberFormat="1" applyFont="1" applyBorder="1" applyAlignment="1">
      <alignment vertical="center" wrapText="1"/>
    </xf>
    <xf numFmtId="1" fontId="11" fillId="0" borderId="114" xfId="5" applyNumberFormat="1" applyFont="1" applyBorder="1" applyAlignment="1">
      <alignment vertical="center" wrapText="1"/>
    </xf>
    <xf numFmtId="1" fontId="11" fillId="0" borderId="125" xfId="5" applyNumberFormat="1" applyFont="1" applyBorder="1" applyAlignment="1">
      <alignment vertical="center" wrapText="1"/>
    </xf>
    <xf numFmtId="1" fontId="11" fillId="0" borderId="120" xfId="5" applyNumberFormat="1" applyFont="1" applyBorder="1" applyAlignment="1">
      <alignment vertical="center" wrapText="1"/>
    </xf>
    <xf numFmtId="0" fontId="4" fillId="2" borderId="199" xfId="0" applyFont="1" applyFill="1" applyBorder="1" applyAlignment="1">
      <alignment horizontal="center" vertical="center"/>
    </xf>
    <xf numFmtId="0" fontId="4" fillId="2" borderId="120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center" vertical="center" wrapText="1"/>
    </xf>
    <xf numFmtId="0" fontId="10" fillId="2" borderId="62" xfId="0" applyFont="1" applyFill="1" applyBorder="1" applyAlignment="1">
      <alignment horizontal="center" vertical="center" wrapText="1"/>
    </xf>
    <xf numFmtId="0" fontId="4" fillId="2" borderId="201" xfId="0" applyFont="1" applyFill="1" applyBorder="1" applyAlignment="1">
      <alignment horizontal="center" vertical="center"/>
    </xf>
    <xf numFmtId="0" fontId="4" fillId="2" borderId="81" xfId="0" applyFont="1" applyFill="1" applyBorder="1" applyAlignment="1">
      <alignment horizontal="center" vertical="center"/>
    </xf>
    <xf numFmtId="0" fontId="10" fillId="2" borderId="280" xfId="0" applyFont="1" applyFill="1" applyBorder="1" applyAlignment="1">
      <alignment horizontal="center" vertical="center" wrapText="1"/>
    </xf>
    <xf numFmtId="0" fontId="10" fillId="2" borderId="281" xfId="0" applyFont="1" applyFill="1" applyBorder="1" applyAlignment="1">
      <alignment horizontal="center" vertical="center" wrapText="1"/>
    </xf>
    <xf numFmtId="0" fontId="10" fillId="2" borderId="282" xfId="0" applyFont="1" applyFill="1" applyBorder="1" applyAlignment="1">
      <alignment horizontal="center" vertical="center" wrapText="1"/>
    </xf>
    <xf numFmtId="0" fontId="10" fillId="2" borderId="50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10" fillId="2" borderId="5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3" fillId="2" borderId="343" xfId="0" applyFont="1" applyFill="1" applyBorder="1" applyAlignment="1">
      <alignment horizontal="center" vertical="center"/>
    </xf>
    <xf numFmtId="0" fontId="23" fillId="2" borderId="344" xfId="0" applyFont="1" applyFill="1" applyBorder="1" applyAlignment="1">
      <alignment horizontal="center" vertical="center"/>
    </xf>
    <xf numFmtId="0" fontId="23" fillId="2" borderId="345" xfId="0" applyFont="1" applyFill="1" applyBorder="1" applyAlignment="1">
      <alignment horizontal="center" vertical="center"/>
    </xf>
    <xf numFmtId="0" fontId="23" fillId="2" borderId="346" xfId="0" applyFont="1" applyFill="1" applyBorder="1" applyAlignment="1">
      <alignment horizontal="center" vertical="center"/>
    </xf>
    <xf numFmtId="0" fontId="23" fillId="2" borderId="347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vertical="center" wrapText="1"/>
    </xf>
    <xf numFmtId="0" fontId="10" fillId="2" borderId="49" xfId="0" applyFont="1" applyFill="1" applyBorder="1" applyAlignment="1">
      <alignment vertical="center" wrapText="1"/>
    </xf>
    <xf numFmtId="0" fontId="10" fillId="2" borderId="66" xfId="0" applyFont="1" applyFill="1" applyBorder="1" applyAlignment="1">
      <alignment vertical="center" wrapText="1"/>
    </xf>
    <xf numFmtId="0" fontId="10" fillId="2" borderId="67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0" fillId="2" borderId="25" xfId="0" applyFont="1" applyFill="1" applyBorder="1" applyAlignment="1">
      <alignment vertical="center" wrapText="1"/>
    </xf>
    <xf numFmtId="0" fontId="10" fillId="2" borderId="68" xfId="0" applyFont="1" applyFill="1" applyBorder="1" applyAlignment="1">
      <alignment vertical="center" wrapText="1"/>
    </xf>
    <xf numFmtId="0" fontId="10" fillId="2" borderId="69" xfId="0" applyFont="1" applyFill="1" applyBorder="1" applyAlignment="1">
      <alignment vertical="center" wrapText="1"/>
    </xf>
    <xf numFmtId="0" fontId="10" fillId="2" borderId="70" xfId="0" applyFont="1" applyFill="1" applyBorder="1" applyAlignment="1">
      <alignment vertical="center" wrapText="1"/>
    </xf>
    <xf numFmtId="1" fontId="11" fillId="0" borderId="113" xfId="5" applyNumberFormat="1" applyFont="1" applyBorder="1" applyAlignment="1">
      <alignment vertical="center" wrapText="1"/>
    </xf>
    <xf numFmtId="1" fontId="11" fillId="0" borderId="108" xfId="5" applyNumberFormat="1" applyFont="1" applyBorder="1" applyAlignment="1">
      <alignment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2" borderId="150" xfId="0" applyFont="1" applyFill="1" applyBorder="1" applyAlignment="1">
      <alignment vertical="center" wrapText="1"/>
    </xf>
    <xf numFmtId="0" fontId="10" fillId="2" borderId="151" xfId="0" applyFont="1" applyFill="1" applyBorder="1" applyAlignment="1">
      <alignment vertical="center" wrapText="1"/>
    </xf>
    <xf numFmtId="0" fontId="10" fillId="2" borderId="152" xfId="0" applyFont="1" applyFill="1" applyBorder="1" applyAlignment="1">
      <alignment vertical="center" wrapText="1"/>
    </xf>
    <xf numFmtId="0" fontId="7" fillId="2" borderId="194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2" borderId="16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top" wrapText="1"/>
    </xf>
    <xf numFmtId="0" fontId="4" fillId="2" borderId="348" xfId="0" applyFont="1" applyFill="1" applyBorder="1" applyAlignment="1">
      <alignment horizontal="center" vertical="center" wrapText="1"/>
    </xf>
    <xf numFmtId="0" fontId="4" fillId="2" borderId="391" xfId="0" applyFont="1" applyFill="1" applyBorder="1" applyAlignment="1">
      <alignment horizontal="center" vertical="center" wrapText="1"/>
    </xf>
    <xf numFmtId="0" fontId="4" fillId="2" borderId="394" xfId="0" applyFont="1" applyFill="1" applyBorder="1" applyAlignment="1">
      <alignment horizontal="center" vertical="center" wrapText="1"/>
    </xf>
    <xf numFmtId="0" fontId="4" fillId="2" borderId="365" xfId="0" applyFont="1" applyFill="1" applyBorder="1" applyAlignment="1">
      <alignment horizontal="center" vertical="center" wrapText="1"/>
    </xf>
    <xf numFmtId="0" fontId="4" fillId="2" borderId="380" xfId="0" applyFont="1" applyFill="1" applyBorder="1" applyAlignment="1">
      <alignment horizontal="center" vertical="center" wrapText="1"/>
    </xf>
    <xf numFmtId="0" fontId="23" fillId="2" borderId="82" xfId="0" applyFont="1" applyFill="1" applyBorder="1" applyAlignment="1">
      <alignment horizontal="center" vertical="center"/>
    </xf>
    <xf numFmtId="0" fontId="23" fillId="2" borderId="83" xfId="0" applyFont="1" applyFill="1" applyBorder="1" applyAlignment="1">
      <alignment horizontal="center" vertical="center"/>
    </xf>
    <xf numFmtId="0" fontId="22" fillId="2" borderId="171" xfId="0" applyFont="1" applyFill="1" applyBorder="1" applyAlignment="1">
      <alignment horizontal="center" vertical="center" wrapText="1"/>
    </xf>
    <xf numFmtId="0" fontId="23" fillId="2" borderId="53" xfId="0" applyFont="1" applyFill="1" applyBorder="1" applyAlignment="1">
      <alignment horizontal="center" vertical="center" wrapText="1"/>
    </xf>
    <xf numFmtId="0" fontId="23" fillId="2" borderId="40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90" xfId="0" applyFont="1" applyFill="1" applyBorder="1" applyAlignment="1">
      <alignment horizontal="center" vertical="center"/>
    </xf>
    <xf numFmtId="0" fontId="23" fillId="2" borderId="91" xfId="0" applyFont="1" applyFill="1" applyBorder="1" applyAlignment="1">
      <alignment horizontal="center" vertical="center"/>
    </xf>
    <xf numFmtId="0" fontId="27" fillId="2" borderId="168" xfId="0" applyFont="1" applyFill="1" applyBorder="1" applyAlignment="1">
      <alignment horizontal="center" vertical="center" wrapText="1"/>
    </xf>
    <xf numFmtId="0" fontId="23" fillId="2" borderId="98" xfId="0" applyFont="1" applyFill="1" applyBorder="1" applyAlignment="1">
      <alignment horizontal="center" vertical="center"/>
    </xf>
    <xf numFmtId="0" fontId="23" fillId="2" borderId="99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4" fillId="2" borderId="333" xfId="0" applyFont="1" applyFill="1" applyBorder="1" applyAlignment="1">
      <alignment horizontal="center" vertical="center"/>
    </xf>
    <xf numFmtId="0" fontId="4" fillId="2" borderId="335" xfId="0" applyFont="1" applyFill="1" applyBorder="1" applyAlignment="1">
      <alignment horizontal="center" vertical="center"/>
    </xf>
    <xf numFmtId="0" fontId="4" fillId="2" borderId="337" xfId="0" applyFont="1" applyFill="1" applyBorder="1" applyAlignment="1">
      <alignment horizontal="center" vertical="center"/>
    </xf>
    <xf numFmtId="0" fontId="4" fillId="2" borderId="339" xfId="0" applyFont="1" applyFill="1" applyBorder="1" applyAlignment="1">
      <alignment horizontal="center" vertical="center"/>
    </xf>
    <xf numFmtId="0" fontId="4" fillId="2" borderId="341" xfId="0" applyFont="1" applyFill="1" applyBorder="1" applyAlignment="1">
      <alignment horizontal="center" vertical="center"/>
    </xf>
    <xf numFmtId="0" fontId="30" fillId="2" borderId="280" xfId="0" applyFont="1" applyFill="1" applyBorder="1" applyAlignment="1">
      <alignment horizontal="center" vertical="center" wrapText="1"/>
    </xf>
    <xf numFmtId="0" fontId="30" fillId="2" borderId="281" xfId="0" applyFont="1" applyFill="1" applyBorder="1" applyAlignment="1">
      <alignment horizontal="center" vertical="center" wrapText="1"/>
    </xf>
    <xf numFmtId="0" fontId="30" fillId="2" borderId="282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30" fillId="2" borderId="44" xfId="0" applyFont="1" applyFill="1" applyBorder="1" applyAlignment="1">
      <alignment horizontal="center" vertical="center" wrapText="1"/>
    </xf>
    <xf numFmtId="0" fontId="30" fillId="2" borderId="45" xfId="0" applyFont="1" applyFill="1" applyBorder="1" applyAlignment="1">
      <alignment horizontal="center" vertical="center" wrapText="1"/>
    </xf>
    <xf numFmtId="0" fontId="30" fillId="2" borderId="46" xfId="0" applyFont="1" applyFill="1" applyBorder="1" applyAlignment="1">
      <alignment horizontal="center" vertical="center" wrapText="1"/>
    </xf>
    <xf numFmtId="0" fontId="29" fillId="2" borderId="171" xfId="0" applyFont="1" applyFill="1" applyBorder="1" applyAlignment="1">
      <alignment horizontal="center" vertical="center" wrapText="1"/>
    </xf>
    <xf numFmtId="0" fontId="28" fillId="2" borderId="226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12" fillId="2" borderId="171" xfId="0" applyFont="1" applyFill="1" applyBorder="1" applyAlignment="1">
      <alignment horizontal="center" vertical="center" wrapText="1"/>
    </xf>
    <xf numFmtId="0" fontId="30" fillId="2" borderId="150" xfId="0" applyFont="1" applyFill="1" applyBorder="1" applyAlignment="1">
      <alignment vertical="center" wrapText="1"/>
    </xf>
    <xf numFmtId="0" fontId="30" fillId="2" borderId="49" xfId="0" applyFont="1" applyFill="1" applyBorder="1" applyAlignment="1">
      <alignment vertical="center" wrapText="1"/>
    </xf>
    <xf numFmtId="0" fontId="30" fillId="2" borderId="66" xfId="0" applyFont="1" applyFill="1" applyBorder="1" applyAlignment="1">
      <alignment vertical="center" wrapText="1"/>
    </xf>
    <xf numFmtId="0" fontId="30" fillId="2" borderId="151" xfId="0" applyFont="1" applyFill="1" applyBorder="1" applyAlignment="1">
      <alignment vertical="center" wrapText="1"/>
    </xf>
    <xf numFmtId="0" fontId="30" fillId="2" borderId="0" xfId="0" applyFont="1" applyFill="1" applyAlignment="1">
      <alignment vertical="center" wrapText="1"/>
    </xf>
    <xf numFmtId="0" fontId="30" fillId="2" borderId="25" xfId="0" applyFont="1" applyFill="1" applyBorder="1" applyAlignment="1">
      <alignment vertical="center" wrapText="1"/>
    </xf>
    <xf numFmtId="0" fontId="30" fillId="2" borderId="152" xfId="0" applyFont="1" applyFill="1" applyBorder="1" applyAlignment="1">
      <alignment vertical="center" wrapText="1"/>
    </xf>
    <xf numFmtId="0" fontId="30" fillId="2" borderId="69" xfId="0" applyFont="1" applyFill="1" applyBorder="1" applyAlignment="1">
      <alignment vertical="center" wrapText="1"/>
    </xf>
    <xf numFmtId="0" fontId="30" fillId="2" borderId="70" xfId="0" applyFont="1" applyFill="1" applyBorder="1" applyAlignment="1">
      <alignment vertical="center" wrapText="1"/>
    </xf>
    <xf numFmtId="0" fontId="12" fillId="2" borderId="38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234" xfId="0" applyFont="1" applyFill="1" applyBorder="1" applyAlignment="1">
      <alignment horizontal="center" vertical="center"/>
    </xf>
    <xf numFmtId="0" fontId="12" fillId="2" borderId="166" xfId="0" applyFont="1" applyFill="1" applyBorder="1" applyAlignment="1">
      <alignment horizontal="center" vertical="center" wrapText="1"/>
    </xf>
    <xf numFmtId="1" fontId="31" fillId="3" borderId="113" xfId="5" applyNumberFormat="1" applyFont="1" applyFill="1" applyBorder="1" applyAlignment="1">
      <alignment vertical="center" wrapText="1"/>
    </xf>
    <xf numFmtId="1" fontId="31" fillId="3" borderId="108" xfId="5" applyNumberFormat="1" applyFont="1" applyFill="1" applyBorder="1" applyAlignment="1">
      <alignment vertical="center" wrapText="1"/>
    </xf>
    <xf numFmtId="0" fontId="12" fillId="2" borderId="90" xfId="0" applyFont="1" applyFill="1" applyBorder="1" applyAlignment="1">
      <alignment horizontal="center" vertical="center"/>
    </xf>
    <xf numFmtId="0" fontId="12" fillId="2" borderId="91" xfId="0" applyFont="1" applyFill="1" applyBorder="1" applyAlignment="1">
      <alignment horizontal="center" vertical="center"/>
    </xf>
    <xf numFmtId="0" fontId="12" fillId="2" borderId="236" xfId="0" applyFont="1" applyFill="1" applyBorder="1" applyAlignment="1">
      <alignment horizontal="center" vertical="center"/>
    </xf>
    <xf numFmtId="1" fontId="31" fillId="3" borderId="119" xfId="5" applyNumberFormat="1" applyFont="1" applyFill="1" applyBorder="1" applyAlignment="1">
      <alignment vertical="center" wrapText="1"/>
    </xf>
    <xf numFmtId="1" fontId="31" fillId="3" borderId="114" xfId="5" applyNumberFormat="1" applyFont="1" applyFill="1" applyBorder="1" applyAlignment="1">
      <alignment vertical="center" wrapText="1"/>
    </xf>
    <xf numFmtId="0" fontId="12" fillId="2" borderId="82" xfId="0" applyFont="1" applyFill="1" applyBorder="1" applyAlignment="1">
      <alignment horizontal="center" vertical="center"/>
    </xf>
    <xf numFmtId="0" fontId="12" fillId="2" borderId="83" xfId="0" applyFont="1" applyFill="1" applyBorder="1" applyAlignment="1">
      <alignment horizontal="center" vertical="center"/>
    </xf>
    <xf numFmtId="0" fontId="12" fillId="2" borderId="235" xfId="0" applyFont="1" applyFill="1" applyBorder="1" applyAlignment="1">
      <alignment horizontal="center" vertical="center"/>
    </xf>
    <xf numFmtId="0" fontId="12" fillId="2" borderId="98" xfId="0" applyFont="1" applyFill="1" applyBorder="1" applyAlignment="1">
      <alignment horizontal="center" vertical="center"/>
    </xf>
    <xf numFmtId="0" fontId="12" fillId="2" borderId="99" xfId="0" applyFont="1" applyFill="1" applyBorder="1" applyAlignment="1">
      <alignment horizontal="center" vertical="center"/>
    </xf>
    <xf numFmtId="0" fontId="12" fillId="2" borderId="237" xfId="0" applyFont="1" applyFill="1" applyBorder="1" applyAlignment="1">
      <alignment horizontal="center" vertical="center"/>
    </xf>
    <xf numFmtId="1" fontId="31" fillId="3" borderId="125" xfId="5" applyNumberFormat="1" applyFont="1" applyFill="1" applyBorder="1" applyAlignment="1">
      <alignment vertical="center" wrapText="1"/>
    </xf>
    <xf numFmtId="1" fontId="31" fillId="3" borderId="120" xfId="5" applyNumberFormat="1" applyFont="1" applyFill="1" applyBorder="1" applyAlignment="1">
      <alignment vertical="center" wrapText="1"/>
    </xf>
    <xf numFmtId="0" fontId="12" fillId="2" borderId="40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232" xfId="0" applyFont="1" applyFill="1" applyBorder="1" applyAlignment="1">
      <alignment horizontal="center" vertical="center"/>
    </xf>
    <xf numFmtId="1" fontId="31" fillId="3" borderId="72" xfId="5" applyNumberFormat="1" applyFont="1" applyFill="1" applyBorder="1" applyAlignment="1">
      <alignment vertical="center" wrapText="1"/>
    </xf>
    <xf numFmtId="1" fontId="31" fillId="3" borderId="41" xfId="5" applyNumberFormat="1" applyFont="1" applyFill="1" applyBorder="1" applyAlignment="1">
      <alignment vertical="center" wrapText="1"/>
    </xf>
    <xf numFmtId="0" fontId="12" fillId="2" borderId="42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233" xfId="0" applyFont="1" applyFill="1" applyBorder="1" applyAlignment="1">
      <alignment horizontal="center" vertical="center"/>
    </xf>
    <xf numFmtId="1" fontId="31" fillId="3" borderId="74" xfId="5" applyNumberFormat="1" applyFont="1" applyFill="1" applyBorder="1" applyAlignment="1">
      <alignment vertical="center" wrapText="1"/>
    </xf>
    <xf numFmtId="1" fontId="31" fillId="3" borderId="43" xfId="5" applyNumberFormat="1" applyFont="1" applyFill="1" applyBorder="1" applyAlignment="1">
      <alignment vertical="center" wrapText="1"/>
    </xf>
    <xf numFmtId="1" fontId="21" fillId="3" borderId="288" xfId="5" applyNumberFormat="1" applyFont="1" applyFill="1" applyBorder="1" applyAlignment="1">
      <alignment vertical="center" wrapText="1"/>
    </xf>
    <xf numFmtId="1" fontId="21" fillId="3" borderId="72" xfId="5" applyNumberFormat="1" applyFont="1" applyFill="1" applyBorder="1" applyAlignment="1">
      <alignment vertical="center" wrapText="1"/>
    </xf>
    <xf numFmtId="1" fontId="21" fillId="3" borderId="41" xfId="5" applyNumberFormat="1" applyFont="1" applyFill="1" applyBorder="1" applyAlignment="1">
      <alignment vertical="center" wrapText="1"/>
    </xf>
    <xf numFmtId="0" fontId="27" fillId="2" borderId="194" xfId="0" applyFont="1" applyFill="1" applyBorder="1" applyAlignment="1">
      <alignment horizontal="center" vertical="center" wrapText="1"/>
    </xf>
    <xf numFmtId="0" fontId="27" fillId="2" borderId="49" xfId="0" applyFont="1" applyFill="1" applyBorder="1" applyAlignment="1">
      <alignment horizontal="center" vertical="center" wrapText="1"/>
    </xf>
    <xf numFmtId="0" fontId="27" fillId="2" borderId="66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1" fontId="21" fillId="3" borderId="119" xfId="5" applyNumberFormat="1" applyFont="1" applyFill="1" applyBorder="1" applyAlignment="1">
      <alignment vertical="center" wrapText="1"/>
    </xf>
    <xf numFmtId="1" fontId="21" fillId="3" borderId="114" xfId="5" applyNumberFormat="1" applyFont="1" applyFill="1" applyBorder="1" applyAlignment="1">
      <alignment vertical="center" wrapText="1"/>
    </xf>
    <xf numFmtId="0" fontId="23" fillId="2" borderId="198" xfId="0" applyFont="1" applyFill="1" applyBorder="1" applyAlignment="1">
      <alignment horizontal="center" vertical="center"/>
    </xf>
    <xf numFmtId="0" fontId="23" fillId="2" borderId="114" xfId="0" applyFont="1" applyFill="1" applyBorder="1" applyAlignment="1">
      <alignment horizontal="center" vertical="center"/>
    </xf>
    <xf numFmtId="0" fontId="23" fillId="2" borderId="106" xfId="0" applyFont="1" applyFill="1" applyBorder="1" applyAlignment="1">
      <alignment horizontal="center" vertical="center" wrapText="1"/>
    </xf>
    <xf numFmtId="0" fontId="23" fillId="2" borderId="166" xfId="0" applyFont="1" applyFill="1" applyBorder="1" applyAlignment="1">
      <alignment horizontal="center" vertical="center" wrapText="1"/>
    </xf>
    <xf numFmtId="0" fontId="23" fillId="2" borderId="196" xfId="0" applyFont="1" applyFill="1" applyBorder="1" applyAlignment="1">
      <alignment horizontal="center" vertical="center"/>
    </xf>
    <xf numFmtId="0" fontId="23" fillId="2" borderId="79" xfId="0" applyFont="1" applyFill="1" applyBorder="1" applyAlignment="1">
      <alignment horizontal="center" vertical="center"/>
    </xf>
    <xf numFmtId="0" fontId="23" fillId="2" borderId="197" xfId="0" applyFont="1" applyFill="1" applyBorder="1" applyAlignment="1">
      <alignment horizontal="center" vertical="center"/>
    </xf>
    <xf numFmtId="0" fontId="23" fillId="2" borderId="108" xfId="0" applyFont="1" applyFill="1" applyBorder="1" applyAlignment="1">
      <alignment horizontal="center" vertical="center"/>
    </xf>
    <xf numFmtId="0" fontId="23" fillId="2" borderId="200" xfId="0" applyFont="1" applyFill="1" applyBorder="1" applyAlignment="1">
      <alignment horizontal="center" vertical="center"/>
    </xf>
    <xf numFmtId="0" fontId="23" fillId="2" borderId="80" xfId="0" applyFont="1" applyFill="1" applyBorder="1" applyAlignment="1">
      <alignment horizontal="center" vertical="center"/>
    </xf>
    <xf numFmtId="1" fontId="21" fillId="3" borderId="113" xfId="5" applyNumberFormat="1" applyFont="1" applyFill="1" applyBorder="1" applyAlignment="1">
      <alignment vertical="center" wrapText="1"/>
    </xf>
    <xf numFmtId="1" fontId="21" fillId="3" borderId="108" xfId="5" applyNumberFormat="1" applyFont="1" applyFill="1" applyBorder="1" applyAlignment="1">
      <alignment vertical="center" wrapText="1"/>
    </xf>
    <xf numFmtId="0" fontId="23" fillId="2" borderId="201" xfId="0" applyFont="1" applyFill="1" applyBorder="1" applyAlignment="1">
      <alignment horizontal="center" vertical="center"/>
    </xf>
    <xf numFmtId="0" fontId="23" fillId="2" borderId="81" xfId="0" applyFont="1" applyFill="1" applyBorder="1" applyAlignment="1">
      <alignment horizontal="center" vertical="center"/>
    </xf>
    <xf numFmtId="1" fontId="21" fillId="3" borderId="74" xfId="5" applyNumberFormat="1" applyFont="1" applyFill="1" applyBorder="1" applyAlignment="1">
      <alignment vertical="center" wrapText="1"/>
    </xf>
    <xf numFmtId="1" fontId="21" fillId="3" borderId="43" xfId="5" applyNumberFormat="1" applyFont="1" applyFill="1" applyBorder="1" applyAlignment="1">
      <alignment vertical="center" wrapText="1"/>
    </xf>
    <xf numFmtId="0" fontId="23" fillId="2" borderId="199" xfId="0" applyFont="1" applyFill="1" applyBorder="1" applyAlignment="1">
      <alignment horizontal="center" vertical="center"/>
    </xf>
    <xf numFmtId="0" fontId="23" fillId="2" borderId="120" xfId="0" applyFont="1" applyFill="1" applyBorder="1" applyAlignment="1">
      <alignment horizontal="center" vertical="center"/>
    </xf>
    <xf numFmtId="1" fontId="21" fillId="3" borderId="125" xfId="5" applyNumberFormat="1" applyFont="1" applyFill="1" applyBorder="1" applyAlignment="1">
      <alignment vertical="center" wrapText="1"/>
    </xf>
    <xf numFmtId="1" fontId="21" fillId="3" borderId="120" xfId="5" applyNumberFormat="1" applyFont="1" applyFill="1" applyBorder="1" applyAlignment="1">
      <alignment vertical="center" wrapText="1"/>
    </xf>
    <xf numFmtId="0" fontId="16" fillId="2" borderId="260" xfId="0" applyFont="1" applyFill="1" applyBorder="1" applyAlignment="1">
      <alignment horizontal="center" vertical="center"/>
    </xf>
    <xf numFmtId="0" fontId="16" fillId="2" borderId="265" xfId="0" applyFont="1" applyFill="1" applyBorder="1" applyAlignment="1">
      <alignment horizontal="center" vertical="center"/>
    </xf>
    <xf numFmtId="0" fontId="16" fillId="2" borderId="250" xfId="0" applyFont="1" applyFill="1" applyBorder="1" applyAlignment="1">
      <alignment horizontal="center" vertical="center"/>
    </xf>
    <xf numFmtId="0" fontId="16" fillId="2" borderId="251" xfId="0" applyFont="1" applyFill="1" applyBorder="1" applyAlignment="1">
      <alignment horizontal="center" vertical="center"/>
    </xf>
    <xf numFmtId="3" fontId="16" fillId="2" borderId="293" xfId="0" applyNumberFormat="1" applyFont="1" applyFill="1" applyBorder="1" applyAlignment="1">
      <alignment horizontal="center" vertical="center" wrapText="1"/>
    </xf>
    <xf numFmtId="3" fontId="16" fillId="2" borderId="295" xfId="0" applyNumberFormat="1" applyFont="1" applyFill="1" applyBorder="1" applyAlignment="1">
      <alignment horizontal="center" vertical="center" wrapText="1"/>
    </xf>
    <xf numFmtId="0" fontId="16" fillId="2" borderId="260" xfId="0" applyFont="1" applyFill="1" applyBorder="1" applyAlignment="1">
      <alignment horizontal="center" vertical="center" wrapText="1"/>
    </xf>
    <xf numFmtId="0" fontId="16" fillId="2" borderId="251" xfId="0" applyFont="1" applyFill="1" applyBorder="1" applyAlignment="1">
      <alignment horizontal="center" vertical="center" wrapText="1"/>
    </xf>
    <xf numFmtId="0" fontId="33" fillId="8" borderId="330" xfId="6" applyFont="1" applyFill="1" applyBorder="1" applyAlignment="1">
      <alignment horizontal="center" vertical="center"/>
    </xf>
    <xf numFmtId="0" fontId="33" fillId="8" borderId="329" xfId="6" applyFont="1" applyFill="1" applyBorder="1" applyAlignment="1">
      <alignment horizontal="center" vertical="center"/>
    </xf>
    <xf numFmtId="0" fontId="33" fillId="8" borderId="400" xfId="6" applyFont="1" applyFill="1" applyBorder="1" applyAlignment="1">
      <alignment horizontal="center" vertical="center"/>
    </xf>
    <xf numFmtId="0" fontId="33" fillId="8" borderId="328" xfId="6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 wrapText="1"/>
    </xf>
    <xf numFmtId="0" fontId="20" fillId="2" borderId="52" xfId="0" applyFont="1" applyFill="1" applyBorder="1" applyAlignment="1">
      <alignment horizontal="center" vertical="center" wrapText="1"/>
    </xf>
    <xf numFmtId="0" fontId="20" fillId="2" borderId="5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20" fillId="2" borderId="53" xfId="0" applyFont="1" applyFill="1" applyBorder="1" applyAlignment="1">
      <alignment horizontal="center" vertical="center" wrapText="1"/>
    </xf>
    <xf numFmtId="0" fontId="20" fillId="2" borderId="55" xfId="0" applyFont="1" applyFill="1" applyBorder="1" applyAlignment="1">
      <alignment horizontal="center" vertical="center" wrapText="1"/>
    </xf>
    <xf numFmtId="0" fontId="24" fillId="3" borderId="241" xfId="0" applyFont="1" applyFill="1" applyBorder="1" applyAlignment="1">
      <alignment vertical="center"/>
    </xf>
    <xf numFmtId="0" fontId="24" fillId="3" borderId="107" xfId="0" applyFont="1" applyFill="1" applyBorder="1" applyAlignment="1">
      <alignment vertical="center"/>
    </xf>
    <xf numFmtId="0" fontId="24" fillId="3" borderId="22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/>
    </xf>
    <xf numFmtId="0" fontId="23" fillId="2" borderId="191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193" xfId="0" applyFont="1" applyFill="1" applyBorder="1" applyAlignment="1">
      <alignment horizontal="center" vertical="center" wrapText="1"/>
    </xf>
    <xf numFmtId="0" fontId="23" fillId="2" borderId="171" xfId="0" applyFont="1" applyFill="1" applyBorder="1" applyAlignment="1">
      <alignment horizontal="center" vertical="center" wrapText="1"/>
    </xf>
    <xf numFmtId="0" fontId="23" fillId="2" borderId="208" xfId="0" applyFont="1" applyFill="1" applyBorder="1" applyAlignment="1">
      <alignment horizontal="center" vertical="center"/>
    </xf>
    <xf numFmtId="0" fontId="23" fillId="2" borderId="163" xfId="0" applyFont="1" applyFill="1" applyBorder="1" applyAlignment="1">
      <alignment horizontal="center" vertical="center"/>
    </xf>
    <xf numFmtId="0" fontId="23" fillId="2" borderId="209" xfId="0" applyFont="1" applyFill="1" applyBorder="1" applyAlignment="1">
      <alignment horizontal="center" vertical="center"/>
    </xf>
    <xf numFmtId="0" fontId="23" fillId="2" borderId="210" xfId="0" applyFont="1" applyFill="1" applyBorder="1" applyAlignment="1">
      <alignment horizontal="center" vertical="center"/>
    </xf>
    <xf numFmtId="0" fontId="23" fillId="2" borderId="204" xfId="0" applyFont="1" applyFill="1" applyBorder="1" applyAlignment="1">
      <alignment horizontal="center" vertical="center"/>
    </xf>
    <xf numFmtId="0" fontId="23" fillId="2" borderId="205" xfId="0" applyFont="1" applyFill="1" applyBorder="1" applyAlignment="1">
      <alignment horizontal="center" vertical="center"/>
    </xf>
    <xf numFmtId="0" fontId="23" fillId="2" borderId="206" xfId="0" applyFont="1" applyFill="1" applyBorder="1" applyAlignment="1">
      <alignment horizontal="center" vertical="center"/>
    </xf>
    <xf numFmtId="0" fontId="23" fillId="2" borderId="207" xfId="0" applyFont="1" applyFill="1" applyBorder="1" applyAlignment="1">
      <alignment horizontal="center" vertical="center"/>
    </xf>
    <xf numFmtId="0" fontId="23" fillId="2" borderId="202" xfId="0" applyFont="1" applyFill="1" applyBorder="1" applyAlignment="1">
      <alignment horizontal="center" vertical="center"/>
    </xf>
    <xf numFmtId="0" fontId="23" fillId="2" borderId="203" xfId="0" applyFont="1" applyFill="1" applyBorder="1" applyAlignment="1">
      <alignment horizontal="center" vertical="center"/>
    </xf>
    <xf numFmtId="0" fontId="23" fillId="2" borderId="151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23" fillId="3" borderId="49" xfId="0" applyFont="1" applyFill="1" applyBorder="1" applyAlignment="1">
      <alignment horizontal="center" vertical="center"/>
    </xf>
    <xf numFmtId="0" fontId="23" fillId="2" borderId="216" xfId="0" applyFont="1" applyFill="1" applyBorder="1" applyAlignment="1">
      <alignment horizontal="center" vertical="center"/>
    </xf>
    <xf numFmtId="0" fontId="23" fillId="2" borderId="186" xfId="0" applyFont="1" applyFill="1" applyBorder="1" applyAlignment="1">
      <alignment horizontal="center" vertical="center"/>
    </xf>
    <xf numFmtId="0" fontId="23" fillId="2" borderId="215" xfId="0" applyFont="1" applyFill="1" applyBorder="1" applyAlignment="1">
      <alignment horizontal="center" vertical="center"/>
    </xf>
    <xf numFmtId="0" fontId="23" fillId="2" borderId="182" xfId="0" applyFont="1" applyFill="1" applyBorder="1" applyAlignment="1">
      <alignment horizontal="center" vertical="center"/>
    </xf>
    <xf numFmtId="0" fontId="23" fillId="2" borderId="214" xfId="0" applyFont="1" applyFill="1" applyBorder="1" applyAlignment="1">
      <alignment horizontal="center" vertical="center"/>
    </xf>
    <xf numFmtId="0" fontId="23" fillId="2" borderId="178" xfId="0" applyFont="1" applyFill="1" applyBorder="1" applyAlignment="1">
      <alignment horizontal="center" vertical="center"/>
    </xf>
  </cellXfs>
  <cellStyles count="7">
    <cellStyle name="Heading" xfId="1"/>
    <cellStyle name="Heading1" xfId="2"/>
    <cellStyle name="Normal" xfId="0" builtinId="0" customBuiltin="1"/>
    <cellStyle name="Normal 2" xfId="6"/>
    <cellStyle name="Pourcentage" xfId="5" builtinId="5"/>
    <cellStyle name="Result" xfId="3"/>
    <cellStyle name="Result2" xfId="4"/>
  </cellStyles>
  <dxfs count="0"/>
  <tableStyles count="0" defaultTableStyle="TableStyleMedium2" defaultPivotStyle="PivotStyleLight16"/>
  <colors>
    <mruColors>
      <color rgb="FFF47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Nombre total de cyclistes</a:t>
            </a:r>
          </a:p>
        </c:rich>
      </c:tx>
      <c:layout>
        <c:manualLayout>
          <c:xMode val="edge"/>
          <c:yMode val="edge"/>
          <c:x val="0.2583818897637795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sommaire'!$A$4</c:f>
              <c:strCache>
                <c:ptCount val="1"/>
                <c:pt idx="0">
                  <c:v>NB  total de cyclistes par année</c:v>
                </c:pt>
              </c:strCache>
            </c:strRef>
          </c:tx>
          <c:marker>
            <c:symbol val="none"/>
          </c:marker>
          <c:cat>
            <c:numRef>
              <c:f>'Analyse sommaire'!$B$2:$F$2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sommaire'!$B$4:$F$4</c:f>
              <c:numCache>
                <c:formatCode>General</c:formatCode>
                <c:ptCount val="5"/>
                <c:pt idx="0">
                  <c:v>159</c:v>
                </c:pt>
                <c:pt idx="1">
                  <c:v>198</c:v>
                </c:pt>
                <c:pt idx="2">
                  <c:v>148</c:v>
                </c:pt>
                <c:pt idx="3">
                  <c:v>386</c:v>
                </c:pt>
                <c:pt idx="4" formatCode="#,##0">
                  <c:v>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453-4529-8EAD-0CC296D04799}"/>
            </c:ext>
          </c:extLst>
        </c:ser>
        <c:ser>
          <c:idx val="1"/>
          <c:order val="1"/>
          <c:tx>
            <c:strRef>
              <c:f>'Analyse sommaire'!$A$5</c:f>
              <c:strCache>
                <c:ptCount val="1"/>
                <c:pt idx="0">
                  <c:v>NB de cyclistes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sommaire'!$B$5:$F$5</c:f>
              <c:numCache>
                <c:formatCode>General</c:formatCode>
                <c:ptCount val="5"/>
                <c:pt idx="0">
                  <c:v>117</c:v>
                </c:pt>
                <c:pt idx="1">
                  <c:v>145</c:v>
                </c:pt>
                <c:pt idx="2">
                  <c:v>137</c:v>
                </c:pt>
                <c:pt idx="3">
                  <c:v>233</c:v>
                </c:pt>
                <c:pt idx="4">
                  <c:v>256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453-4529-8EAD-0CC296D04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29632"/>
        <c:axId val="104223488"/>
      </c:lineChart>
      <c:catAx>
        <c:axId val="10182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223488"/>
        <c:crosses val="autoZero"/>
        <c:auto val="1"/>
        <c:lblAlgn val="ctr"/>
        <c:lblOffset val="100"/>
        <c:noMultiLvlLbl val="0"/>
      </c:catAx>
      <c:valAx>
        <c:axId val="10422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829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Nombre de cyclistes à l'HPM</a:t>
            </a:r>
          </a:p>
        </c:rich>
      </c:tx>
      <c:layout>
        <c:manualLayout>
          <c:xMode val="edge"/>
          <c:yMode val="edge"/>
          <c:x val="0.24371853590219161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sommaire'!$H$4</c:f>
              <c:strCache>
                <c:ptCount val="1"/>
                <c:pt idx="0">
                  <c:v>NB total de cyclistes par année</c:v>
                </c:pt>
              </c:strCache>
            </c:strRef>
          </c:tx>
          <c:marker>
            <c:symbol val="none"/>
          </c:marker>
          <c:cat>
            <c:numRef>
              <c:f>'Analyse sommaire'!$I$2:$M$2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sommaire'!$I$4:$M$4</c:f>
              <c:numCache>
                <c:formatCode>General</c:formatCode>
                <c:ptCount val="5"/>
                <c:pt idx="0">
                  <c:v>95</c:v>
                </c:pt>
                <c:pt idx="1">
                  <c:v>128</c:v>
                </c:pt>
                <c:pt idx="2">
                  <c:v>96</c:v>
                </c:pt>
                <c:pt idx="3">
                  <c:v>235</c:v>
                </c:pt>
                <c:pt idx="4">
                  <c:v>199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22-4FDC-9964-BD941A0A6EDA}"/>
            </c:ext>
          </c:extLst>
        </c:ser>
        <c:ser>
          <c:idx val="1"/>
          <c:order val="1"/>
          <c:tx>
            <c:strRef>
              <c:f>'Analyse sommaire'!$H$5</c:f>
              <c:strCache>
                <c:ptCount val="1"/>
                <c:pt idx="0">
                  <c:v>NB de cyclistes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sommaire'!$I$2:$M$2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sommaire'!$I$5:$M$5</c:f>
              <c:numCache>
                <c:formatCode>General</c:formatCode>
                <c:ptCount val="5"/>
                <c:pt idx="0">
                  <c:v>67</c:v>
                </c:pt>
                <c:pt idx="1">
                  <c:v>91</c:v>
                </c:pt>
                <c:pt idx="2">
                  <c:v>89</c:v>
                </c:pt>
                <c:pt idx="3">
                  <c:v>145</c:v>
                </c:pt>
                <c:pt idx="4">
                  <c:v>146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22-4FDC-9964-BD941A0A6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57792"/>
        <c:axId val="104263680"/>
      </c:lineChart>
      <c:catAx>
        <c:axId val="10425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263680"/>
        <c:crosses val="autoZero"/>
        <c:auto val="1"/>
        <c:lblAlgn val="ctr"/>
        <c:lblOffset val="100"/>
        <c:noMultiLvlLbl val="0"/>
      </c:catAx>
      <c:valAx>
        <c:axId val="10426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257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Nombre de VAE</a:t>
            </a:r>
          </a:p>
        </c:rich>
      </c:tx>
      <c:layout>
        <c:manualLayout>
          <c:xMode val="edge"/>
          <c:yMode val="edge"/>
          <c:x val="0.2583818897637795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sommaire'!$A$25</c:f>
              <c:strCache>
                <c:ptCount val="1"/>
                <c:pt idx="0">
                  <c:v>NB total de VAE par année</c:v>
                </c:pt>
              </c:strCache>
            </c:strRef>
          </c:tx>
          <c:marker>
            <c:symbol val="none"/>
          </c:marker>
          <c:cat>
            <c:numRef>
              <c:f>'Analyse sommaire'!$B$23:$F$23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sommaire'!$B$25:$F$25</c:f>
              <c:numCache>
                <c:formatCode>General</c:formatCode>
                <c:ptCount val="5"/>
                <c:pt idx="0" formatCode="0">
                  <c:v>44.97</c:v>
                </c:pt>
                <c:pt idx="1">
                  <c:v>94</c:v>
                </c:pt>
                <c:pt idx="2">
                  <c:v>73</c:v>
                </c:pt>
                <c:pt idx="3">
                  <c:v>195</c:v>
                </c:pt>
                <c:pt idx="4" formatCode="#,##0">
                  <c:v>200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453-4529-8EAD-0CC296D04799}"/>
            </c:ext>
          </c:extLst>
        </c:ser>
        <c:ser>
          <c:idx val="1"/>
          <c:order val="1"/>
          <c:tx>
            <c:strRef>
              <c:f>'Analyse sommaire'!$A$26</c:f>
              <c:strCache>
                <c:ptCount val="1"/>
                <c:pt idx="0">
                  <c:v>NB de VAE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sommaire'!$B$23:$F$23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sommaire'!$B$26:$F$26</c:f>
              <c:numCache>
                <c:formatCode>General</c:formatCode>
                <c:ptCount val="5"/>
                <c:pt idx="0" formatCode="0">
                  <c:v>33.89</c:v>
                </c:pt>
                <c:pt idx="1">
                  <c:v>67</c:v>
                </c:pt>
                <c:pt idx="2">
                  <c:v>66</c:v>
                </c:pt>
                <c:pt idx="3">
                  <c:v>118</c:v>
                </c:pt>
                <c:pt idx="4">
                  <c:v>161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453-4529-8EAD-0CC296D04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25664"/>
        <c:axId val="104627200"/>
      </c:lineChart>
      <c:catAx>
        <c:axId val="10462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627200"/>
        <c:crosses val="autoZero"/>
        <c:auto val="1"/>
        <c:lblAlgn val="ctr"/>
        <c:lblOffset val="100"/>
        <c:noMultiLvlLbl val="0"/>
      </c:catAx>
      <c:valAx>
        <c:axId val="104627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4625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TOTAL de femmes</a:t>
            </a:r>
          </a:p>
        </c:rich>
      </c:tx>
      <c:layout>
        <c:manualLayout>
          <c:xMode val="edge"/>
          <c:yMode val="edge"/>
          <c:x val="0.3242707786526684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sommaire'!$A$46</c:f>
              <c:strCache>
                <c:ptCount val="1"/>
                <c:pt idx="0">
                  <c:v>NB total de femmes par année</c:v>
                </c:pt>
              </c:strCache>
            </c:strRef>
          </c:tx>
          <c:marker>
            <c:symbol val="none"/>
          </c:marker>
          <c:cat>
            <c:numRef>
              <c:f>'Analyse sommaire'!$B$44:$F$44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sommaire'!$B$46:$F$46</c:f>
              <c:numCache>
                <c:formatCode>General</c:formatCode>
                <c:ptCount val="5"/>
                <c:pt idx="0" formatCode="0">
                  <c:v>19.020000000000003</c:v>
                </c:pt>
                <c:pt idx="1">
                  <c:v>46</c:v>
                </c:pt>
                <c:pt idx="2">
                  <c:v>33</c:v>
                </c:pt>
                <c:pt idx="3">
                  <c:v>125</c:v>
                </c:pt>
                <c:pt idx="4">
                  <c:v>115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22-4FDC-9964-BD941A0A6EDA}"/>
            </c:ext>
          </c:extLst>
        </c:ser>
        <c:ser>
          <c:idx val="1"/>
          <c:order val="1"/>
          <c:tx>
            <c:strRef>
              <c:f>'Analyse sommaire'!$A$47</c:f>
              <c:strCache>
                <c:ptCount val="1"/>
                <c:pt idx="0">
                  <c:v>NB de femmes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sommaire'!$B$44:$F$44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sommaire'!$B$47:$F$47</c:f>
              <c:numCache>
                <c:formatCode>General</c:formatCode>
                <c:ptCount val="5"/>
                <c:pt idx="0" formatCode="0">
                  <c:v>13.940000000000001</c:v>
                </c:pt>
                <c:pt idx="1">
                  <c:v>36</c:v>
                </c:pt>
                <c:pt idx="2">
                  <c:v>32</c:v>
                </c:pt>
                <c:pt idx="3">
                  <c:v>73</c:v>
                </c:pt>
                <c:pt idx="4">
                  <c:v>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22-4FDC-9964-BD941A0A6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10336"/>
        <c:axId val="105711872"/>
      </c:lineChart>
      <c:catAx>
        <c:axId val="10571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711872"/>
        <c:crosses val="autoZero"/>
        <c:auto val="1"/>
        <c:lblAlgn val="ctr"/>
        <c:lblOffset val="100"/>
        <c:noMultiLvlLbl val="0"/>
      </c:catAx>
      <c:valAx>
        <c:axId val="1057118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710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Part de VAE chez les femmes</a:t>
            </a:r>
          </a:p>
        </c:rich>
      </c:tx>
      <c:layout>
        <c:manualLayout>
          <c:xMode val="edge"/>
          <c:yMode val="edge"/>
          <c:x val="0.22812779091215066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sommaire'!$A$66</c:f>
              <c:strCache>
                <c:ptCount val="1"/>
                <c:pt idx="0">
                  <c:v>NB de VAE chez les femmes par année</c:v>
                </c:pt>
              </c:strCache>
            </c:strRef>
          </c:tx>
          <c:marker>
            <c:symbol val="none"/>
          </c:marker>
          <c:cat>
            <c:numRef>
              <c:f>'Analyse sommaire'!$B$64:$F$64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sommaire'!$B$66:$F$66</c:f>
              <c:numCache>
                <c:formatCode>General</c:formatCode>
                <c:ptCount val="5"/>
                <c:pt idx="0" formatCode="0">
                  <c:v>12.96</c:v>
                </c:pt>
                <c:pt idx="1">
                  <c:v>29</c:v>
                </c:pt>
                <c:pt idx="2">
                  <c:v>24</c:v>
                </c:pt>
                <c:pt idx="3">
                  <c:v>88</c:v>
                </c:pt>
                <c:pt idx="4">
                  <c:v>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22-4FDC-9964-BD941A0A6EDA}"/>
            </c:ext>
          </c:extLst>
        </c:ser>
        <c:ser>
          <c:idx val="1"/>
          <c:order val="1"/>
          <c:tx>
            <c:strRef>
              <c:f>'Analyse sommaire'!$A$67</c:f>
              <c:strCache>
                <c:ptCount val="1"/>
                <c:pt idx="0">
                  <c:v>NB de VAE chez les femmes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sommaire'!$B$64:$F$64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sommaire'!$B$67:$F$67</c:f>
              <c:numCache>
                <c:formatCode>General</c:formatCode>
                <c:ptCount val="5"/>
                <c:pt idx="0" formatCode="0">
                  <c:v>9.89</c:v>
                </c:pt>
                <c:pt idx="1">
                  <c:v>22</c:v>
                </c:pt>
                <c:pt idx="2">
                  <c:v>23</c:v>
                </c:pt>
                <c:pt idx="3">
                  <c:v>54</c:v>
                </c:pt>
                <c:pt idx="4">
                  <c:v>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22-4FDC-9964-BD941A0A6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39776"/>
        <c:axId val="105741312"/>
      </c:lineChart>
      <c:catAx>
        <c:axId val="10573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741312"/>
        <c:crosses val="autoZero"/>
        <c:auto val="1"/>
        <c:lblAlgn val="ctr"/>
        <c:lblOffset val="100"/>
        <c:noMultiLvlLbl val="0"/>
      </c:catAx>
      <c:valAx>
        <c:axId val="105741312"/>
        <c:scaling>
          <c:orientation val="minMax"/>
          <c:min val="0.60000000000000009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5739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Part de femmes dans le TOTAL</a:t>
            </a:r>
          </a:p>
        </c:rich>
      </c:tx>
      <c:layout>
        <c:manualLayout>
          <c:xMode val="edge"/>
          <c:yMode val="edge"/>
          <c:x val="0.3242707786526684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sommaire'!$H$46</c:f>
              <c:strCache>
                <c:ptCount val="1"/>
                <c:pt idx="0">
                  <c:v>Part de femmes dans le TOTAL par année</c:v>
                </c:pt>
              </c:strCache>
            </c:strRef>
          </c:tx>
          <c:marker>
            <c:symbol val="none"/>
          </c:marker>
          <c:cat>
            <c:numRef>
              <c:f>'Analyse sommaire'!$I$44:$M$44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sommaire'!$I$46:$M$46</c:f>
              <c:numCache>
                <c:formatCode>0%</c:formatCode>
                <c:ptCount val="5"/>
                <c:pt idx="0">
                  <c:v>0.11962264150943398</c:v>
                </c:pt>
                <c:pt idx="1">
                  <c:v>0.23232323232323232</c:v>
                </c:pt>
                <c:pt idx="2">
                  <c:v>0.22297297297297297</c:v>
                </c:pt>
                <c:pt idx="3">
                  <c:v>0.32383419689119169</c:v>
                </c:pt>
                <c:pt idx="4">
                  <c:v>0.33923303834808261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22-4FDC-9964-BD941A0A6EDA}"/>
            </c:ext>
          </c:extLst>
        </c:ser>
        <c:ser>
          <c:idx val="1"/>
          <c:order val="1"/>
          <c:tx>
            <c:strRef>
              <c:f>'Analyse sommaire'!$H$47</c:f>
              <c:strCache>
                <c:ptCount val="1"/>
                <c:pt idx="0">
                  <c:v>Part de femmes dans le TOTAL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sommaire'!$I$44:$M$44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sommaire'!$I$47:$M$47</c:f>
              <c:numCache>
                <c:formatCode>0%</c:formatCode>
                <c:ptCount val="5"/>
                <c:pt idx="0">
                  <c:v>0.11914529914529916</c:v>
                </c:pt>
                <c:pt idx="1">
                  <c:v>0.24827586206896551</c:v>
                </c:pt>
                <c:pt idx="2">
                  <c:v>0.23357664233576642</c:v>
                </c:pt>
                <c:pt idx="3">
                  <c:v>0.31330472103004292</c:v>
                </c:pt>
                <c:pt idx="4">
                  <c:v>0.34765625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22-4FDC-9964-BD941A0A6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84064"/>
        <c:axId val="105785600"/>
      </c:lineChart>
      <c:catAx>
        <c:axId val="1057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785600"/>
        <c:crosses val="autoZero"/>
        <c:auto val="1"/>
        <c:lblAlgn val="ctr"/>
        <c:lblOffset val="100"/>
        <c:noMultiLvlLbl val="0"/>
      </c:catAx>
      <c:valAx>
        <c:axId val="1057856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05784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Part de VAE chez les femmes</a:t>
            </a:r>
          </a:p>
        </c:rich>
      </c:tx>
      <c:layout>
        <c:manualLayout>
          <c:xMode val="edge"/>
          <c:yMode val="edge"/>
          <c:x val="0.22812779091215066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sommaire'!$H$66</c:f>
              <c:strCache>
                <c:ptCount val="1"/>
                <c:pt idx="0">
                  <c:v>Part de VAE chez les femmes par année</c:v>
                </c:pt>
              </c:strCache>
            </c:strRef>
          </c:tx>
          <c:marker>
            <c:symbol val="none"/>
          </c:marker>
          <c:cat>
            <c:numRef>
              <c:f>'Analyse sommaire'!$I$64:$M$64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sommaire'!$I$66:$M$66</c:f>
              <c:numCache>
                <c:formatCode>0%</c:formatCode>
                <c:ptCount val="5"/>
                <c:pt idx="0">
                  <c:v>0.68138801261829651</c:v>
                </c:pt>
                <c:pt idx="1">
                  <c:v>0.63043478260869568</c:v>
                </c:pt>
                <c:pt idx="2">
                  <c:v>0.72727272727272729</c:v>
                </c:pt>
                <c:pt idx="3">
                  <c:v>0.70399999999999996</c:v>
                </c:pt>
                <c:pt idx="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22-4FDC-9964-BD941A0A6EDA}"/>
            </c:ext>
          </c:extLst>
        </c:ser>
        <c:ser>
          <c:idx val="1"/>
          <c:order val="1"/>
          <c:tx>
            <c:strRef>
              <c:f>'Analyse sommaire'!$H$67</c:f>
              <c:strCache>
                <c:ptCount val="1"/>
                <c:pt idx="0">
                  <c:v>Part de VAE chez les femmes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sommaire'!$I$64:$M$64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sommaire'!$I$67:$M$67</c:f>
              <c:numCache>
                <c:formatCode>0%</c:formatCode>
                <c:ptCount val="5"/>
                <c:pt idx="0">
                  <c:v>0.70946915351506457</c:v>
                </c:pt>
                <c:pt idx="1">
                  <c:v>0.61111111111111116</c:v>
                </c:pt>
                <c:pt idx="2">
                  <c:v>0.71875</c:v>
                </c:pt>
                <c:pt idx="3">
                  <c:v>0.73972602739726023</c:v>
                </c:pt>
                <c:pt idx="4">
                  <c:v>0.797752808988764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22-4FDC-9964-BD941A0A6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10176"/>
        <c:axId val="105811968"/>
      </c:lineChart>
      <c:catAx>
        <c:axId val="10581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811968"/>
        <c:crosses val="autoZero"/>
        <c:auto val="1"/>
        <c:lblAlgn val="ctr"/>
        <c:lblOffset val="100"/>
        <c:noMultiLvlLbl val="0"/>
      </c:catAx>
      <c:valAx>
        <c:axId val="105811968"/>
        <c:scaling>
          <c:orientation val="minMax"/>
          <c:min val="0.60000000000000009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05810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Nombre de VAE</a:t>
            </a:r>
          </a:p>
        </c:rich>
      </c:tx>
      <c:layout>
        <c:manualLayout>
          <c:xMode val="edge"/>
          <c:yMode val="edge"/>
          <c:x val="0.2583818897637795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15325240594925635"/>
          <c:w val="0.53694094488188981"/>
          <c:h val="0.73076771653543304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sommaire'!$H$25</c:f>
              <c:strCache>
                <c:ptCount val="1"/>
                <c:pt idx="0">
                  <c:v>Part de VAE par année</c:v>
                </c:pt>
              </c:strCache>
            </c:strRef>
          </c:tx>
          <c:marker>
            <c:symbol val="none"/>
          </c:marker>
          <c:cat>
            <c:numRef>
              <c:f>'Analyse sommaire'!$I$23:$M$23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sommaire'!$I$25:$M$25</c:f>
              <c:numCache>
                <c:formatCode>0%</c:formatCode>
                <c:ptCount val="5"/>
                <c:pt idx="0">
                  <c:v>0.28283018867924525</c:v>
                </c:pt>
                <c:pt idx="1">
                  <c:v>0.47474747474747475</c:v>
                </c:pt>
                <c:pt idx="2">
                  <c:v>0.49324324324324326</c:v>
                </c:pt>
                <c:pt idx="3">
                  <c:v>0.50518134715025909</c:v>
                </c:pt>
                <c:pt idx="4">
                  <c:v>0.58997050147492625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453-4529-8EAD-0CC296D04799}"/>
            </c:ext>
          </c:extLst>
        </c:ser>
        <c:ser>
          <c:idx val="1"/>
          <c:order val="1"/>
          <c:tx>
            <c:strRef>
              <c:f>'Analyse sommaire'!$H$26</c:f>
              <c:strCache>
                <c:ptCount val="1"/>
                <c:pt idx="0">
                  <c:v>Part de VAE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sommaire'!$I$23:$M$23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'Analyse sommaire'!$I$26:$M$26</c:f>
              <c:numCache>
                <c:formatCode>0%</c:formatCode>
                <c:ptCount val="5"/>
                <c:pt idx="0">
                  <c:v>0.28965811965811966</c:v>
                </c:pt>
                <c:pt idx="1">
                  <c:v>0.46206896551724136</c:v>
                </c:pt>
                <c:pt idx="2">
                  <c:v>0.48175182481751827</c:v>
                </c:pt>
                <c:pt idx="3">
                  <c:v>0.50643776824034337</c:v>
                </c:pt>
                <c:pt idx="4">
                  <c:v>0.62890625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453-4529-8EAD-0CC296D04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36096"/>
        <c:axId val="106437632"/>
      </c:lineChart>
      <c:catAx>
        <c:axId val="10643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437632"/>
        <c:crosses val="autoZero"/>
        <c:auto val="1"/>
        <c:lblAlgn val="ctr"/>
        <c:lblOffset val="100"/>
        <c:noMultiLvlLbl val="0"/>
      </c:catAx>
      <c:valAx>
        <c:axId val="106437632"/>
        <c:scaling>
          <c:orientation val="minMax"/>
          <c:min val="0.25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06436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530679</xdr:colOff>
      <xdr:row>0</xdr:row>
      <xdr:rowOff>23813</xdr:rowOff>
    </xdr:from>
    <xdr:to>
      <xdr:col>25</xdr:col>
      <xdr:colOff>791997</xdr:colOff>
      <xdr:row>6</xdr:row>
      <xdr:rowOff>305670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62528783-EE2F-417D-9DBC-C251199B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7429" y="23813"/>
          <a:ext cx="5261943" cy="3615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130968</xdr:rowOff>
    </xdr:from>
    <xdr:to>
      <xdr:col>5</xdr:col>
      <xdr:colOff>510988</xdr:colOff>
      <xdr:row>19</xdr:row>
      <xdr:rowOff>7327</xdr:rowOff>
    </xdr:to>
    <xdr:graphicFrame macro="">
      <xdr:nvGraphicFramePr>
        <xdr:cNvPr id="2" name="Graphiqu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5952</xdr:colOff>
      <xdr:row>5</xdr:row>
      <xdr:rowOff>130969</xdr:rowOff>
    </xdr:from>
    <xdr:to>
      <xdr:col>12</xdr:col>
      <xdr:colOff>511967</xdr:colOff>
      <xdr:row>19</xdr:row>
      <xdr:rowOff>1</xdr:rowOff>
    </xdr:to>
    <xdr:graphicFrame macro="">
      <xdr:nvGraphicFramePr>
        <xdr:cNvPr id="3" name="Graphiqu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130968</xdr:rowOff>
    </xdr:from>
    <xdr:to>
      <xdr:col>5</xdr:col>
      <xdr:colOff>510988</xdr:colOff>
      <xdr:row>40</xdr:row>
      <xdr:rowOff>7327</xdr:rowOff>
    </xdr:to>
    <xdr:graphicFrame macro="">
      <xdr:nvGraphicFramePr>
        <xdr:cNvPr id="4" name="Graphique 3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5952</xdr:colOff>
      <xdr:row>47</xdr:row>
      <xdr:rowOff>130969</xdr:rowOff>
    </xdr:from>
    <xdr:to>
      <xdr:col>5</xdr:col>
      <xdr:colOff>511967</xdr:colOff>
      <xdr:row>61</xdr:row>
      <xdr:rowOff>1</xdr:rowOff>
    </xdr:to>
    <xdr:graphicFrame macro="">
      <xdr:nvGraphicFramePr>
        <xdr:cNvPr id="5" name="Graphique 4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5952</xdr:colOff>
      <xdr:row>67</xdr:row>
      <xdr:rowOff>130969</xdr:rowOff>
    </xdr:from>
    <xdr:to>
      <xdr:col>5</xdr:col>
      <xdr:colOff>511967</xdr:colOff>
      <xdr:row>81</xdr:row>
      <xdr:rowOff>1</xdr:rowOff>
    </xdr:to>
    <xdr:graphicFrame macro="">
      <xdr:nvGraphicFramePr>
        <xdr:cNvPr id="6" name="Graphique 5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47</xdr:row>
      <xdr:rowOff>130969</xdr:rowOff>
    </xdr:from>
    <xdr:to>
      <xdr:col>12</xdr:col>
      <xdr:colOff>506015</xdr:colOff>
      <xdr:row>61</xdr:row>
      <xdr:rowOff>1</xdr:rowOff>
    </xdr:to>
    <xdr:graphicFrame macro="">
      <xdr:nvGraphicFramePr>
        <xdr:cNvPr id="8" name="Graphique 7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5952</xdr:colOff>
      <xdr:row>67</xdr:row>
      <xdr:rowOff>130969</xdr:rowOff>
    </xdr:from>
    <xdr:to>
      <xdr:col>12</xdr:col>
      <xdr:colOff>511967</xdr:colOff>
      <xdr:row>81</xdr:row>
      <xdr:rowOff>1</xdr:rowOff>
    </xdr:to>
    <xdr:graphicFrame macro="">
      <xdr:nvGraphicFramePr>
        <xdr:cNvPr id="9" name="Graphique 8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9525</xdr:colOff>
      <xdr:row>26</xdr:row>
      <xdr:rowOff>130968</xdr:rowOff>
    </xdr:from>
    <xdr:to>
      <xdr:col>12</xdr:col>
      <xdr:colOff>510988</xdr:colOff>
      <xdr:row>40</xdr:row>
      <xdr:rowOff>7327</xdr:rowOff>
    </xdr:to>
    <xdr:graphicFrame macro="">
      <xdr:nvGraphicFramePr>
        <xdr:cNvPr id="10" name="Graphique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7CE3"/>
    <pageSetUpPr fitToPage="1"/>
  </sheetPr>
  <dimension ref="A1:AR67"/>
  <sheetViews>
    <sheetView view="pageBreakPreview" zoomScale="40" zoomScaleNormal="55" zoomScaleSheetLayoutView="40" workbookViewId="0">
      <selection activeCell="AE17" sqref="AE17"/>
    </sheetView>
  </sheetViews>
  <sheetFormatPr baseColWidth="10" defaultRowHeight="14.25" outlineLevelRow="1"/>
  <cols>
    <col min="1" max="1" width="9.125" style="8" customWidth="1"/>
    <col min="2" max="2" width="13.75" style="8" customWidth="1"/>
    <col min="3" max="14" width="12.875" style="8" customWidth="1"/>
    <col min="15" max="15" width="2.625" style="8" customWidth="1"/>
    <col min="16" max="27" width="12.875" style="8" customWidth="1"/>
    <col min="28" max="28" width="9.125" style="8" customWidth="1"/>
    <col min="29" max="29" width="13.75" style="8" customWidth="1"/>
    <col min="30" max="37" width="21.125" style="8" customWidth="1"/>
    <col min="38" max="38" width="82.625" style="8" customWidth="1"/>
    <col min="39" max="44" width="10.625" style="8" customWidth="1"/>
    <col min="45" max="16384" width="11" style="8"/>
  </cols>
  <sheetData>
    <row r="1" spans="1:33" ht="52.5" customHeight="1" thickBot="1">
      <c r="A1" s="283" t="s">
        <v>89</v>
      </c>
      <c r="B1" s="284" t="s">
        <v>84</v>
      </c>
      <c r="C1" s="285"/>
      <c r="D1" s="285"/>
      <c r="E1" s="285"/>
      <c r="F1" s="286"/>
      <c r="G1" s="286"/>
      <c r="H1" s="285"/>
      <c r="I1" s="285"/>
      <c r="J1" s="286"/>
      <c r="K1" s="286"/>
      <c r="L1" s="287"/>
      <c r="M1" s="240" t="s">
        <v>30</v>
      </c>
      <c r="N1" s="241" t="s">
        <v>139</v>
      </c>
      <c r="O1" s="241"/>
      <c r="P1" s="285"/>
      <c r="Q1" s="285"/>
      <c r="R1" s="285"/>
      <c r="S1" s="285"/>
      <c r="T1" s="285"/>
      <c r="U1" s="285"/>
      <c r="V1" s="285"/>
      <c r="W1" s="758"/>
      <c r="X1" s="770"/>
      <c r="Y1" s="289"/>
      <c r="Z1" s="289"/>
      <c r="AA1" s="290"/>
    </row>
    <row r="2" spans="1:33" ht="52.5" customHeight="1" thickBot="1">
      <c r="A2" s="227" t="s">
        <v>2</v>
      </c>
      <c r="B2" s="228"/>
      <c r="C2" s="228"/>
      <c r="D2" s="228"/>
      <c r="E2" s="228"/>
      <c r="F2" s="228"/>
      <c r="G2" s="284" t="s">
        <v>145</v>
      </c>
      <c r="H2" s="285"/>
      <c r="I2" s="285"/>
      <c r="J2" s="285"/>
      <c r="K2" s="285"/>
      <c r="L2" s="285"/>
      <c r="M2" s="285"/>
      <c r="N2" s="285"/>
      <c r="O2" s="600"/>
      <c r="P2" s="285"/>
      <c r="Q2" s="285"/>
      <c r="R2" s="285"/>
      <c r="S2" s="285"/>
      <c r="T2" s="285"/>
      <c r="U2" s="285"/>
      <c r="V2" s="285"/>
      <c r="W2" s="758"/>
      <c r="X2" s="770"/>
      <c r="Y2" s="228"/>
      <c r="Z2" s="228"/>
      <c r="AA2" s="228"/>
    </row>
    <row r="3" spans="1:33" ht="52.5" customHeight="1" thickBot="1">
      <c r="A3" s="227" t="s">
        <v>3</v>
      </c>
      <c r="B3" s="228"/>
      <c r="C3" s="757" t="s">
        <v>151</v>
      </c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70"/>
      <c r="Y3" s="228"/>
      <c r="Z3" s="228"/>
      <c r="AA3" s="245"/>
    </row>
    <row r="4" spans="1:33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45"/>
    </row>
    <row r="5" spans="1:33" s="642" customFormat="1" ht="75" customHeight="1">
      <c r="A5" s="639" t="s">
        <v>27</v>
      </c>
      <c r="B5" s="640"/>
      <c r="C5" s="866" t="s">
        <v>154</v>
      </c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674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666"/>
    </row>
    <row r="6" spans="1:33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597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45"/>
    </row>
    <row r="7" spans="1:33" ht="32.25" customHeight="1" thickTop="1">
      <c r="A7" s="227"/>
      <c r="B7" s="228"/>
      <c r="C7" s="875" t="s">
        <v>74</v>
      </c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O7" s="636"/>
      <c r="P7" s="875" t="s">
        <v>85</v>
      </c>
      <c r="Q7" s="876"/>
      <c r="R7" s="876"/>
      <c r="S7" s="876"/>
      <c r="T7" s="876"/>
      <c r="U7" s="876"/>
      <c r="V7" s="876"/>
      <c r="W7" s="876"/>
      <c r="X7" s="876"/>
      <c r="Y7" s="876"/>
      <c r="Z7" s="876"/>
      <c r="AA7" s="877"/>
      <c r="AC7" s="9"/>
      <c r="AD7" s="9"/>
      <c r="AE7" s="9"/>
      <c r="AF7" s="9"/>
      <c r="AG7" s="9"/>
    </row>
    <row r="8" spans="1:33" ht="22.7" customHeight="1">
      <c r="A8" s="227"/>
      <c r="B8" s="228"/>
      <c r="C8" s="878" t="s">
        <v>37</v>
      </c>
      <c r="D8" s="879"/>
      <c r="E8" s="879"/>
      <c r="F8" s="879"/>
      <c r="G8" s="879" t="s">
        <v>87</v>
      </c>
      <c r="H8" s="879"/>
      <c r="I8" s="879"/>
      <c r="J8" s="879"/>
      <c r="K8" s="879" t="s">
        <v>86</v>
      </c>
      <c r="L8" s="879"/>
      <c r="M8" s="879"/>
      <c r="N8" s="879"/>
      <c r="O8" s="583"/>
      <c r="P8" s="878" t="s">
        <v>77</v>
      </c>
      <c r="Q8" s="879"/>
      <c r="R8" s="879"/>
      <c r="S8" s="879"/>
      <c r="T8" s="879" t="s">
        <v>37</v>
      </c>
      <c r="U8" s="879"/>
      <c r="V8" s="879"/>
      <c r="W8" s="879"/>
      <c r="X8" s="879" t="s">
        <v>87</v>
      </c>
      <c r="Y8" s="879"/>
      <c r="Z8" s="879"/>
      <c r="AA8" s="880"/>
    </row>
    <row r="9" spans="1:33" ht="18.600000000000001" customHeight="1" thickBot="1">
      <c r="A9" s="227"/>
      <c r="B9" s="228"/>
      <c r="C9" s="913" t="s">
        <v>4</v>
      </c>
      <c r="D9" s="914"/>
      <c r="E9" s="915" t="s">
        <v>5</v>
      </c>
      <c r="F9" s="916"/>
      <c r="G9" s="917" t="s">
        <v>4</v>
      </c>
      <c r="H9" s="918"/>
      <c r="I9" s="915" t="s">
        <v>5</v>
      </c>
      <c r="J9" s="916"/>
      <c r="K9" s="917" t="s">
        <v>4</v>
      </c>
      <c r="L9" s="919"/>
      <c r="M9" s="920" t="s">
        <v>5</v>
      </c>
      <c r="N9" s="916"/>
      <c r="O9" s="624"/>
      <c r="P9" s="913" t="s">
        <v>4</v>
      </c>
      <c r="Q9" s="914"/>
      <c r="R9" s="915" t="s">
        <v>5</v>
      </c>
      <c r="S9" s="916"/>
      <c r="T9" s="917" t="s">
        <v>4</v>
      </c>
      <c r="U9" s="918"/>
      <c r="V9" s="915" t="s">
        <v>5</v>
      </c>
      <c r="W9" s="916"/>
      <c r="X9" s="917" t="s">
        <v>4</v>
      </c>
      <c r="Y9" s="919"/>
      <c r="Z9" s="920" t="s">
        <v>5</v>
      </c>
      <c r="AA9" s="921"/>
    </row>
    <row r="10" spans="1:33" ht="24" thickTop="1">
      <c r="A10" s="763" t="s">
        <v>6</v>
      </c>
      <c r="B10" s="764" t="s">
        <v>7</v>
      </c>
      <c r="C10" s="787" t="s">
        <v>8</v>
      </c>
      <c r="D10" s="788" t="s">
        <v>9</v>
      </c>
      <c r="E10" s="803" t="s">
        <v>8</v>
      </c>
      <c r="F10" s="804" t="s">
        <v>9</v>
      </c>
      <c r="G10" s="819" t="s">
        <v>8</v>
      </c>
      <c r="H10" s="820" t="s">
        <v>9</v>
      </c>
      <c r="I10" s="803" t="s">
        <v>8</v>
      </c>
      <c r="J10" s="804" t="s">
        <v>9</v>
      </c>
      <c r="K10" s="819" t="s">
        <v>8</v>
      </c>
      <c r="L10" s="829" t="s">
        <v>9</v>
      </c>
      <c r="M10" s="831" t="s">
        <v>8</v>
      </c>
      <c r="N10" s="804" t="s">
        <v>9</v>
      </c>
      <c r="O10" s="637"/>
      <c r="P10" s="787" t="s">
        <v>8</v>
      </c>
      <c r="Q10" s="788" t="s">
        <v>9</v>
      </c>
      <c r="R10" s="803" t="s">
        <v>8</v>
      </c>
      <c r="S10" s="804" t="s">
        <v>9</v>
      </c>
      <c r="T10" s="819" t="s">
        <v>8</v>
      </c>
      <c r="U10" s="820" t="s">
        <v>9</v>
      </c>
      <c r="V10" s="803" t="s">
        <v>8</v>
      </c>
      <c r="W10" s="804" t="s">
        <v>9</v>
      </c>
      <c r="X10" s="819" t="s">
        <v>8</v>
      </c>
      <c r="Y10" s="829" t="s">
        <v>9</v>
      </c>
      <c r="Z10" s="831" t="s">
        <v>8</v>
      </c>
      <c r="AA10" s="833" t="s">
        <v>9</v>
      </c>
      <c r="AB10" s="847"/>
      <c r="AC10" s="846"/>
    </row>
    <row r="11" spans="1:33" ht="54.95" hidden="1" customHeight="1" outlineLevel="1">
      <c r="A11" s="761">
        <v>6</v>
      </c>
      <c r="B11" s="762" t="s">
        <v>25</v>
      </c>
      <c r="C11" s="789"/>
      <c r="D11" s="790"/>
      <c r="E11" s="805"/>
      <c r="F11" s="806"/>
      <c r="G11" s="821"/>
      <c r="H11" s="822"/>
      <c r="I11" s="805"/>
      <c r="J11" s="806"/>
      <c r="K11" s="821"/>
      <c r="L11" s="830"/>
      <c r="M11" s="832"/>
      <c r="N11" s="806"/>
      <c r="O11" s="638"/>
      <c r="P11" s="789"/>
      <c r="Q11" s="790"/>
      <c r="R11" s="805"/>
      <c r="S11" s="806"/>
      <c r="T11" s="821"/>
      <c r="U11" s="822"/>
      <c r="V11" s="805"/>
      <c r="W11" s="806"/>
      <c r="X11" s="821"/>
      <c r="Y11" s="830"/>
      <c r="Z11" s="832"/>
      <c r="AA11" s="834"/>
      <c r="AB11" s="2"/>
      <c r="AC11" s="2"/>
      <c r="AD11" s="2"/>
      <c r="AE11" s="2"/>
      <c r="AF11" s="2"/>
      <c r="AG11" s="2"/>
    </row>
    <row r="12" spans="1:33" ht="54.95" hidden="1" customHeight="1" outlineLevel="1">
      <c r="A12" s="761"/>
      <c r="B12" s="762" t="s">
        <v>26</v>
      </c>
      <c r="C12" s="789"/>
      <c r="D12" s="790"/>
      <c r="E12" s="805"/>
      <c r="F12" s="806"/>
      <c r="G12" s="821"/>
      <c r="H12" s="822"/>
      <c r="I12" s="805"/>
      <c r="J12" s="806"/>
      <c r="K12" s="821"/>
      <c r="L12" s="830"/>
      <c r="M12" s="832"/>
      <c r="N12" s="806"/>
      <c r="O12" s="638"/>
      <c r="P12" s="789"/>
      <c r="Q12" s="790"/>
      <c r="R12" s="805"/>
      <c r="S12" s="806"/>
      <c r="T12" s="821"/>
      <c r="U12" s="822"/>
      <c r="V12" s="805"/>
      <c r="W12" s="806"/>
      <c r="X12" s="821"/>
      <c r="Y12" s="830"/>
      <c r="Z12" s="832"/>
      <c r="AA12" s="834"/>
      <c r="AB12" s="2"/>
      <c r="AC12" s="2"/>
      <c r="AD12" s="2"/>
      <c r="AE12" s="2"/>
      <c r="AF12" s="2"/>
      <c r="AG12" s="2"/>
    </row>
    <row r="13" spans="1:33" ht="54.95" customHeight="1" collapsed="1">
      <c r="A13" s="963">
        <v>7</v>
      </c>
      <c r="B13" s="772" t="s">
        <v>140</v>
      </c>
      <c r="C13" s="791"/>
      <c r="D13" s="792">
        <v>2</v>
      </c>
      <c r="E13" s="807"/>
      <c r="F13" s="808"/>
      <c r="G13" s="823"/>
      <c r="H13" s="792"/>
      <c r="I13" s="807"/>
      <c r="J13" s="808"/>
      <c r="K13" s="791"/>
      <c r="L13" s="792"/>
      <c r="M13" s="807"/>
      <c r="N13" s="808"/>
      <c r="O13" s="638"/>
      <c r="P13" s="791"/>
      <c r="Q13" s="792"/>
      <c r="R13" s="807"/>
      <c r="S13" s="808"/>
      <c r="T13" s="823"/>
      <c r="U13" s="792"/>
      <c r="V13" s="807"/>
      <c r="W13" s="808"/>
      <c r="X13" s="791"/>
      <c r="Y13" s="792"/>
      <c r="Z13" s="807"/>
      <c r="AA13" s="808"/>
      <c r="AB13" s="846"/>
      <c r="AC13" s="846"/>
      <c r="AD13" s="2"/>
      <c r="AE13" s="2"/>
      <c r="AF13" s="2"/>
      <c r="AG13" s="2"/>
    </row>
    <row r="14" spans="1:33" ht="54.95" customHeight="1">
      <c r="A14" s="964"/>
      <c r="B14" s="773" t="s">
        <v>141</v>
      </c>
      <c r="C14" s="793">
        <v>1</v>
      </c>
      <c r="D14" s="794"/>
      <c r="E14" s="809">
        <v>1</v>
      </c>
      <c r="F14" s="810"/>
      <c r="G14" s="824"/>
      <c r="H14" s="794"/>
      <c r="I14" s="809"/>
      <c r="J14" s="810"/>
      <c r="K14" s="793"/>
      <c r="L14" s="794"/>
      <c r="M14" s="809"/>
      <c r="N14" s="810"/>
      <c r="O14" s="638"/>
      <c r="P14" s="793"/>
      <c r="Q14" s="794"/>
      <c r="R14" s="809"/>
      <c r="S14" s="810"/>
      <c r="T14" s="824">
        <v>1</v>
      </c>
      <c r="U14" s="794"/>
      <c r="V14" s="809">
        <v>1</v>
      </c>
      <c r="W14" s="810"/>
      <c r="X14" s="793"/>
      <c r="Y14" s="794"/>
      <c r="Z14" s="809"/>
      <c r="AA14" s="810"/>
      <c r="AB14" s="846"/>
      <c r="AC14" s="846"/>
      <c r="AD14" s="2"/>
      <c r="AE14" s="2"/>
      <c r="AF14" s="2"/>
      <c r="AG14" s="2"/>
    </row>
    <row r="15" spans="1:33" ht="54.95" customHeight="1">
      <c r="A15" s="964"/>
      <c r="B15" s="773" t="s">
        <v>142</v>
      </c>
      <c r="C15" s="795"/>
      <c r="D15" s="796"/>
      <c r="E15" s="811"/>
      <c r="F15" s="812"/>
      <c r="G15" s="825"/>
      <c r="H15" s="796"/>
      <c r="I15" s="811"/>
      <c r="J15" s="812"/>
      <c r="K15" s="795"/>
      <c r="L15" s="796"/>
      <c r="M15" s="811"/>
      <c r="N15" s="812"/>
      <c r="O15" s="638"/>
      <c r="P15" s="795"/>
      <c r="Q15" s="796"/>
      <c r="R15" s="811"/>
      <c r="S15" s="812"/>
      <c r="T15" s="825"/>
      <c r="U15" s="796"/>
      <c r="V15" s="811">
        <v>1</v>
      </c>
      <c r="W15" s="812"/>
      <c r="X15" s="795"/>
      <c r="Y15" s="796"/>
      <c r="Z15" s="811"/>
      <c r="AA15" s="812"/>
      <c r="AB15" s="846"/>
      <c r="AC15" s="846"/>
      <c r="AD15" s="2"/>
      <c r="AE15" s="2"/>
      <c r="AF15" s="2"/>
      <c r="AG15" s="2"/>
    </row>
    <row r="16" spans="1:33" ht="54.95" customHeight="1" thickBot="1">
      <c r="A16" s="965"/>
      <c r="B16" s="774" t="s">
        <v>143</v>
      </c>
      <c r="C16" s="797">
        <v>1</v>
      </c>
      <c r="D16" s="798"/>
      <c r="E16" s="813"/>
      <c r="F16" s="814"/>
      <c r="G16" s="826"/>
      <c r="H16" s="798"/>
      <c r="I16" s="813"/>
      <c r="J16" s="814"/>
      <c r="K16" s="797"/>
      <c r="L16" s="798"/>
      <c r="M16" s="813"/>
      <c r="N16" s="814"/>
      <c r="O16" s="638"/>
      <c r="P16" s="797"/>
      <c r="Q16" s="798"/>
      <c r="R16" s="813"/>
      <c r="S16" s="814"/>
      <c r="T16" s="826">
        <v>1</v>
      </c>
      <c r="U16" s="798">
        <v>1</v>
      </c>
      <c r="V16" s="813"/>
      <c r="W16" s="814"/>
      <c r="X16" s="797"/>
      <c r="Y16" s="798"/>
      <c r="Z16" s="813"/>
      <c r="AA16" s="814"/>
      <c r="AB16" s="846"/>
      <c r="AC16" s="846"/>
      <c r="AD16" s="2"/>
      <c r="AE16" s="2"/>
      <c r="AF16" s="2"/>
      <c r="AG16" s="2"/>
    </row>
    <row r="17" spans="1:33" ht="54.95" customHeight="1">
      <c r="A17" s="966">
        <v>8</v>
      </c>
      <c r="B17" s="775" t="s">
        <v>140</v>
      </c>
      <c r="C17" s="799"/>
      <c r="D17" s="800">
        <v>1</v>
      </c>
      <c r="E17" s="815"/>
      <c r="F17" s="816"/>
      <c r="G17" s="827"/>
      <c r="H17" s="800"/>
      <c r="I17" s="815"/>
      <c r="J17" s="816"/>
      <c r="K17" s="799"/>
      <c r="L17" s="800"/>
      <c r="M17" s="815"/>
      <c r="N17" s="816"/>
      <c r="O17" s="638"/>
      <c r="P17" s="799"/>
      <c r="Q17" s="800"/>
      <c r="R17" s="815"/>
      <c r="S17" s="816"/>
      <c r="T17" s="827"/>
      <c r="U17" s="800"/>
      <c r="V17" s="815"/>
      <c r="W17" s="816"/>
      <c r="X17" s="799"/>
      <c r="Y17" s="800"/>
      <c r="Z17" s="815"/>
      <c r="AA17" s="816"/>
      <c r="AB17" s="846"/>
      <c r="AC17" s="846"/>
      <c r="AD17" s="2"/>
      <c r="AE17" s="2"/>
      <c r="AF17" s="2"/>
      <c r="AG17" s="2"/>
    </row>
    <row r="18" spans="1:33" ht="54.95" customHeight="1">
      <c r="A18" s="964"/>
      <c r="B18" s="773" t="s">
        <v>141</v>
      </c>
      <c r="C18" s="793"/>
      <c r="D18" s="794"/>
      <c r="E18" s="809"/>
      <c r="F18" s="810"/>
      <c r="G18" s="824"/>
      <c r="H18" s="794"/>
      <c r="I18" s="809"/>
      <c r="J18" s="810"/>
      <c r="K18" s="793"/>
      <c r="L18" s="794"/>
      <c r="M18" s="809"/>
      <c r="N18" s="810"/>
      <c r="O18" s="638"/>
      <c r="P18" s="793"/>
      <c r="Q18" s="794"/>
      <c r="R18" s="809"/>
      <c r="S18" s="810"/>
      <c r="T18" s="824">
        <v>1</v>
      </c>
      <c r="U18" s="794"/>
      <c r="V18" s="809">
        <v>1</v>
      </c>
      <c r="W18" s="810"/>
      <c r="X18" s="793"/>
      <c r="Y18" s="794">
        <v>1</v>
      </c>
      <c r="Z18" s="809"/>
      <c r="AA18" s="810"/>
      <c r="AB18" s="846"/>
      <c r="AC18" s="846"/>
      <c r="AD18" s="2"/>
      <c r="AE18" s="2"/>
      <c r="AF18" s="2"/>
      <c r="AG18" s="2"/>
    </row>
    <row r="19" spans="1:33" ht="54.95" customHeight="1">
      <c r="A19" s="964"/>
      <c r="B19" s="773" t="s">
        <v>142</v>
      </c>
      <c r="C19" s="795"/>
      <c r="D19" s="796"/>
      <c r="E19" s="811">
        <v>1</v>
      </c>
      <c r="F19" s="812"/>
      <c r="G19" s="825"/>
      <c r="H19" s="796"/>
      <c r="I19" s="811"/>
      <c r="J19" s="812"/>
      <c r="K19" s="795"/>
      <c r="L19" s="796"/>
      <c r="M19" s="811"/>
      <c r="N19" s="812"/>
      <c r="O19" s="638"/>
      <c r="P19" s="795"/>
      <c r="Q19" s="796"/>
      <c r="R19" s="811"/>
      <c r="S19" s="812"/>
      <c r="T19" s="825"/>
      <c r="U19" s="796"/>
      <c r="V19" s="811"/>
      <c r="W19" s="812">
        <v>1</v>
      </c>
      <c r="X19" s="795"/>
      <c r="Y19" s="796"/>
      <c r="Z19" s="811"/>
      <c r="AA19" s="812"/>
      <c r="AB19" s="846"/>
      <c r="AC19" s="846"/>
      <c r="AD19" s="2"/>
      <c r="AE19" s="2"/>
      <c r="AF19" s="2"/>
      <c r="AG19" s="2"/>
    </row>
    <row r="20" spans="1:33" ht="54.95" customHeight="1" thickBot="1">
      <c r="A20" s="967"/>
      <c r="B20" s="776" t="s">
        <v>143</v>
      </c>
      <c r="C20" s="801"/>
      <c r="D20" s="802"/>
      <c r="E20" s="817"/>
      <c r="F20" s="818"/>
      <c r="G20" s="828"/>
      <c r="H20" s="802"/>
      <c r="I20" s="817"/>
      <c r="J20" s="818"/>
      <c r="K20" s="801"/>
      <c r="L20" s="802"/>
      <c r="M20" s="817"/>
      <c r="N20" s="818"/>
      <c r="O20" s="638"/>
      <c r="P20" s="801"/>
      <c r="Q20" s="802"/>
      <c r="R20" s="817"/>
      <c r="S20" s="818"/>
      <c r="T20" s="828"/>
      <c r="U20" s="802">
        <v>1</v>
      </c>
      <c r="V20" s="817"/>
      <c r="W20" s="818"/>
      <c r="X20" s="801"/>
      <c r="Y20" s="802"/>
      <c r="Z20" s="817"/>
      <c r="AA20" s="818"/>
      <c r="AB20" s="846"/>
      <c r="AC20" s="846"/>
      <c r="AD20" s="2"/>
      <c r="AE20" s="2"/>
      <c r="AF20" s="2"/>
      <c r="AG20" s="2"/>
    </row>
    <row r="21" spans="1:33" ht="54.95" hidden="1" customHeight="1" outlineLevel="1">
      <c r="A21" s="761">
        <v>9</v>
      </c>
      <c r="B21" s="762" t="s">
        <v>23</v>
      </c>
      <c r="C21" s="374"/>
      <c r="D21" s="375"/>
      <c r="E21" s="376"/>
      <c r="F21" s="377"/>
      <c r="G21" s="378"/>
      <c r="H21" s="379"/>
      <c r="I21" s="376"/>
      <c r="J21" s="377"/>
      <c r="K21" s="348"/>
      <c r="L21" s="345"/>
      <c r="M21" s="346"/>
      <c r="N21" s="347"/>
      <c r="O21" s="638"/>
      <c r="P21" s="374"/>
      <c r="Q21" s="375"/>
      <c r="R21" s="376"/>
      <c r="S21" s="377"/>
      <c r="T21" s="378"/>
      <c r="U21" s="379"/>
      <c r="V21" s="376"/>
      <c r="W21" s="377"/>
      <c r="X21" s="348"/>
      <c r="Y21" s="345"/>
      <c r="Z21" s="346"/>
      <c r="AA21" s="349"/>
      <c r="AB21" s="846"/>
      <c r="AC21" s="846"/>
      <c r="AD21" s="2"/>
      <c r="AE21" s="2"/>
      <c r="AF21" s="2"/>
      <c r="AG21" s="2"/>
    </row>
    <row r="22" spans="1:33" ht="54.95" hidden="1" customHeight="1" outlineLevel="1" thickBot="1">
      <c r="A22" s="759"/>
      <c r="B22" s="760" t="s">
        <v>24</v>
      </c>
      <c r="C22" s="380"/>
      <c r="D22" s="381"/>
      <c r="E22" s="382"/>
      <c r="F22" s="383"/>
      <c r="G22" s="384"/>
      <c r="H22" s="385"/>
      <c r="I22" s="382"/>
      <c r="J22" s="383"/>
      <c r="K22" s="354"/>
      <c r="L22" s="351"/>
      <c r="M22" s="352"/>
      <c r="N22" s="353"/>
      <c r="O22" s="638"/>
      <c r="P22" s="380"/>
      <c r="Q22" s="381"/>
      <c r="R22" s="382"/>
      <c r="S22" s="383"/>
      <c r="T22" s="384"/>
      <c r="U22" s="385"/>
      <c r="V22" s="382"/>
      <c r="W22" s="383"/>
      <c r="X22" s="354"/>
      <c r="Y22" s="351"/>
      <c r="Z22" s="352"/>
      <c r="AA22" s="355"/>
      <c r="AB22" s="846"/>
      <c r="AC22" s="846"/>
      <c r="AD22" s="2"/>
      <c r="AE22" s="2"/>
      <c r="AF22" s="2"/>
      <c r="AG22" s="2"/>
    </row>
    <row r="23" spans="1:33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638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  <c r="AB23" s="846"/>
      <c r="AC23" s="846"/>
      <c r="AD23" s="2"/>
      <c r="AE23" s="2"/>
      <c r="AF23" s="2"/>
      <c r="AG23" s="2"/>
    </row>
    <row r="24" spans="1:33" ht="75" customHeight="1" thickBot="1">
      <c r="A24" s="777" t="s">
        <v>27</v>
      </c>
      <c r="B24" s="673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674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  <c r="AA24" s="598"/>
      <c r="AB24" s="846"/>
      <c r="AC24" s="846"/>
    </row>
    <row r="25" spans="1:33" ht="6" hidden="1" customHeight="1" outlineLevel="1" thickBot="1">
      <c r="A25" s="599"/>
      <c r="B25" s="597"/>
      <c r="C25" s="594"/>
      <c r="D25" s="594"/>
      <c r="E25" s="594"/>
      <c r="F25" s="594"/>
      <c r="G25" s="594"/>
      <c r="H25" s="594"/>
      <c r="I25" s="594"/>
      <c r="J25" s="594"/>
      <c r="K25" s="594"/>
      <c r="L25" s="594"/>
      <c r="M25" s="594"/>
      <c r="N25" s="594"/>
      <c r="O25" s="597"/>
      <c r="P25" s="594"/>
      <c r="Q25" s="594"/>
      <c r="R25" s="594"/>
      <c r="S25" s="594"/>
      <c r="T25" s="594"/>
      <c r="U25" s="594"/>
      <c r="V25" s="594"/>
      <c r="W25" s="594"/>
      <c r="X25" s="594"/>
      <c r="Y25" s="594"/>
      <c r="Z25" s="594"/>
      <c r="AA25" s="595"/>
      <c r="AB25" s="846"/>
      <c r="AC25" s="846"/>
    </row>
    <row r="26" spans="1:33" ht="32.25" customHeight="1" collapsed="1" thickTop="1">
      <c r="A26" s="778"/>
      <c r="B26" s="597"/>
      <c r="C26" s="881" t="s">
        <v>39</v>
      </c>
      <c r="D26" s="882"/>
      <c r="E26" s="882"/>
      <c r="F26" s="882"/>
      <c r="G26" s="882"/>
      <c r="H26" s="882"/>
      <c r="I26" s="882"/>
      <c r="J26" s="882"/>
      <c r="K26" s="882"/>
      <c r="L26" s="882"/>
      <c r="M26" s="882"/>
      <c r="N26" s="882"/>
      <c r="O26" s="636"/>
      <c r="P26" s="881" t="s">
        <v>88</v>
      </c>
      <c r="Q26" s="882"/>
      <c r="R26" s="882"/>
      <c r="S26" s="882"/>
      <c r="T26" s="882"/>
      <c r="U26" s="882"/>
      <c r="V26" s="882"/>
      <c r="W26" s="882"/>
      <c r="X26" s="882"/>
      <c r="Y26" s="882"/>
      <c r="Z26" s="882"/>
      <c r="AA26" s="883"/>
      <c r="AB26" s="846"/>
      <c r="AC26" s="846"/>
      <c r="AD26" s="9"/>
      <c r="AE26" s="9"/>
      <c r="AF26" s="9"/>
      <c r="AG26" s="9"/>
    </row>
    <row r="27" spans="1:33" ht="22.7" customHeight="1">
      <c r="A27" s="778"/>
      <c r="B27" s="597"/>
      <c r="C27" s="878" t="s">
        <v>87</v>
      </c>
      <c r="D27" s="879"/>
      <c r="E27" s="879"/>
      <c r="F27" s="879"/>
      <c r="G27" s="879" t="s">
        <v>86</v>
      </c>
      <c r="H27" s="879"/>
      <c r="I27" s="879"/>
      <c r="J27" s="879"/>
      <c r="K27" s="879" t="s">
        <v>77</v>
      </c>
      <c r="L27" s="879"/>
      <c r="M27" s="879"/>
      <c r="N27" s="879"/>
      <c r="O27" s="583"/>
      <c r="P27" s="878" t="s">
        <v>86</v>
      </c>
      <c r="Q27" s="879"/>
      <c r="R27" s="879"/>
      <c r="S27" s="879"/>
      <c r="T27" s="879" t="s">
        <v>77</v>
      </c>
      <c r="U27" s="879"/>
      <c r="V27" s="879"/>
      <c r="W27" s="879"/>
      <c r="X27" s="879" t="s">
        <v>37</v>
      </c>
      <c r="Y27" s="879"/>
      <c r="Z27" s="879"/>
      <c r="AA27" s="880"/>
      <c r="AB27" s="846"/>
      <c r="AC27" s="846"/>
    </row>
    <row r="28" spans="1:33" ht="18.600000000000001" customHeight="1" thickBot="1">
      <c r="A28" s="778"/>
      <c r="B28" s="597"/>
      <c r="C28" s="908" t="s">
        <v>4</v>
      </c>
      <c r="D28" s="909"/>
      <c r="E28" s="910" t="s">
        <v>5</v>
      </c>
      <c r="F28" s="911"/>
      <c r="G28" s="911" t="s">
        <v>4</v>
      </c>
      <c r="H28" s="912"/>
      <c r="I28" s="910" t="s">
        <v>5</v>
      </c>
      <c r="J28" s="911"/>
      <c r="K28" s="911" t="s">
        <v>4</v>
      </c>
      <c r="L28" s="922"/>
      <c r="M28" s="923" t="s">
        <v>5</v>
      </c>
      <c r="N28" s="924"/>
      <c r="O28" s="624"/>
      <c r="P28" s="908" t="s">
        <v>4</v>
      </c>
      <c r="Q28" s="909"/>
      <c r="R28" s="910" t="s">
        <v>5</v>
      </c>
      <c r="S28" s="911"/>
      <c r="T28" s="911" t="s">
        <v>4</v>
      </c>
      <c r="U28" s="912"/>
      <c r="V28" s="910" t="s">
        <v>5</v>
      </c>
      <c r="W28" s="911"/>
      <c r="X28" s="911" t="s">
        <v>4</v>
      </c>
      <c r="Y28" s="922"/>
      <c r="Z28" s="923" t="s">
        <v>5</v>
      </c>
      <c r="AA28" s="930"/>
      <c r="AB28" s="846"/>
      <c r="AC28" s="846"/>
    </row>
    <row r="29" spans="1:33" ht="24" thickTop="1">
      <c r="A29" s="763" t="s">
        <v>6</v>
      </c>
      <c r="B29" s="764" t="s">
        <v>7</v>
      </c>
      <c r="C29" s="368" t="s">
        <v>8</v>
      </c>
      <c r="D29" s="369" t="s">
        <v>9</v>
      </c>
      <c r="E29" s="370" t="s">
        <v>8</v>
      </c>
      <c r="F29" s="371" t="s">
        <v>9</v>
      </c>
      <c r="G29" s="372" t="s">
        <v>8</v>
      </c>
      <c r="H29" s="373" t="s">
        <v>9</v>
      </c>
      <c r="I29" s="370" t="s">
        <v>8</v>
      </c>
      <c r="J29" s="371" t="s">
        <v>9</v>
      </c>
      <c r="K29" s="251" t="s">
        <v>8</v>
      </c>
      <c r="L29" s="248" t="s">
        <v>9</v>
      </c>
      <c r="M29" s="249" t="s">
        <v>8</v>
      </c>
      <c r="N29" s="250" t="s">
        <v>9</v>
      </c>
      <c r="O29" s="637"/>
      <c r="P29" s="368" t="s">
        <v>8</v>
      </c>
      <c r="Q29" s="369" t="s">
        <v>9</v>
      </c>
      <c r="R29" s="370" t="s">
        <v>8</v>
      </c>
      <c r="S29" s="371" t="s">
        <v>9</v>
      </c>
      <c r="T29" s="372" t="s">
        <v>8</v>
      </c>
      <c r="U29" s="373" t="s">
        <v>9</v>
      </c>
      <c r="V29" s="370" t="s">
        <v>8</v>
      </c>
      <c r="W29" s="371" t="s">
        <v>9</v>
      </c>
      <c r="X29" s="251" t="s">
        <v>8</v>
      </c>
      <c r="Y29" s="248" t="s">
        <v>9</v>
      </c>
      <c r="Z29" s="249" t="s">
        <v>8</v>
      </c>
      <c r="AA29" s="252" t="s">
        <v>9</v>
      </c>
      <c r="AB29" s="846"/>
      <c r="AC29" s="846"/>
    </row>
    <row r="30" spans="1:33" ht="54.95" hidden="1" customHeight="1" outlineLevel="1">
      <c r="A30" s="761">
        <v>6</v>
      </c>
      <c r="B30" s="762" t="s">
        <v>25</v>
      </c>
      <c r="C30" s="374"/>
      <c r="D30" s="375"/>
      <c r="E30" s="376"/>
      <c r="F30" s="377"/>
      <c r="G30" s="378"/>
      <c r="H30" s="379"/>
      <c r="I30" s="376"/>
      <c r="J30" s="377"/>
      <c r="K30" s="348"/>
      <c r="L30" s="345"/>
      <c r="M30" s="346"/>
      <c r="N30" s="347"/>
      <c r="O30" s="638"/>
      <c r="P30" s="374"/>
      <c r="Q30" s="375"/>
      <c r="R30" s="376"/>
      <c r="S30" s="377"/>
      <c r="T30" s="378"/>
      <c r="U30" s="379"/>
      <c r="V30" s="376"/>
      <c r="W30" s="377"/>
      <c r="X30" s="348"/>
      <c r="Y30" s="345"/>
      <c r="Z30" s="346"/>
      <c r="AA30" s="349"/>
      <c r="AB30" s="846"/>
      <c r="AC30" s="846"/>
      <c r="AD30" s="2"/>
      <c r="AE30" s="2"/>
      <c r="AF30" s="2"/>
      <c r="AG30" s="2"/>
    </row>
    <row r="31" spans="1:33" ht="54.95" hidden="1" customHeight="1" outlineLevel="1">
      <c r="A31" s="761"/>
      <c r="B31" s="762" t="s">
        <v>26</v>
      </c>
      <c r="C31" s="374"/>
      <c r="D31" s="375"/>
      <c r="E31" s="376"/>
      <c r="F31" s="377"/>
      <c r="G31" s="378"/>
      <c r="H31" s="379"/>
      <c r="I31" s="376"/>
      <c r="J31" s="377"/>
      <c r="K31" s="348"/>
      <c r="L31" s="345"/>
      <c r="M31" s="346"/>
      <c r="N31" s="347"/>
      <c r="O31" s="638"/>
      <c r="P31" s="374"/>
      <c r="Q31" s="375"/>
      <c r="R31" s="376"/>
      <c r="S31" s="377"/>
      <c r="T31" s="378"/>
      <c r="U31" s="379"/>
      <c r="V31" s="376"/>
      <c r="W31" s="377"/>
      <c r="X31" s="348"/>
      <c r="Y31" s="345"/>
      <c r="Z31" s="346"/>
      <c r="AA31" s="349"/>
      <c r="AB31" s="846"/>
      <c r="AC31" s="846"/>
      <c r="AD31" s="2"/>
      <c r="AE31" s="2"/>
      <c r="AF31" s="2"/>
      <c r="AG31" s="2"/>
    </row>
    <row r="32" spans="1:33" ht="54.95" customHeight="1" collapsed="1">
      <c r="A32" s="963">
        <v>7</v>
      </c>
      <c r="B32" s="772" t="s">
        <v>140</v>
      </c>
      <c r="C32" s="791"/>
      <c r="D32" s="792"/>
      <c r="E32" s="807"/>
      <c r="F32" s="808"/>
      <c r="G32" s="823"/>
      <c r="H32" s="792"/>
      <c r="I32" s="807"/>
      <c r="J32" s="808"/>
      <c r="K32" s="791"/>
      <c r="L32" s="792"/>
      <c r="M32" s="807"/>
      <c r="N32" s="808"/>
      <c r="O32" s="638"/>
      <c r="P32" s="791"/>
      <c r="Q32" s="792"/>
      <c r="R32" s="807"/>
      <c r="S32" s="808"/>
      <c r="T32" s="823"/>
      <c r="U32" s="792"/>
      <c r="V32" s="807"/>
      <c r="W32" s="808"/>
      <c r="X32" s="791"/>
      <c r="Y32" s="792"/>
      <c r="Z32" s="807"/>
      <c r="AA32" s="808"/>
      <c r="AB32" s="846"/>
      <c r="AC32" s="846"/>
      <c r="AD32" s="2"/>
      <c r="AE32" s="2"/>
      <c r="AF32" s="2"/>
      <c r="AG32" s="2"/>
    </row>
    <row r="33" spans="1:40" ht="54.95" customHeight="1">
      <c r="A33" s="964"/>
      <c r="B33" s="773" t="s">
        <v>141</v>
      </c>
      <c r="C33" s="793"/>
      <c r="D33" s="794"/>
      <c r="E33" s="809"/>
      <c r="F33" s="810"/>
      <c r="G33" s="824"/>
      <c r="H33" s="794"/>
      <c r="I33" s="809"/>
      <c r="J33" s="810"/>
      <c r="K33" s="793"/>
      <c r="L33" s="794"/>
      <c r="M33" s="809"/>
      <c r="N33" s="810"/>
      <c r="O33" s="638"/>
      <c r="P33" s="793"/>
      <c r="Q33" s="794"/>
      <c r="R33" s="809"/>
      <c r="S33" s="810"/>
      <c r="T33" s="824"/>
      <c r="U33" s="794"/>
      <c r="V33" s="809"/>
      <c r="W33" s="810"/>
      <c r="X33" s="793"/>
      <c r="Y33" s="794"/>
      <c r="Z33" s="809"/>
      <c r="AA33" s="810"/>
      <c r="AB33" s="846"/>
      <c r="AC33" s="846"/>
      <c r="AD33" s="2"/>
      <c r="AE33" s="2"/>
      <c r="AF33" s="2"/>
      <c r="AG33" s="2"/>
    </row>
    <row r="34" spans="1:40" ht="54.95" customHeight="1">
      <c r="A34" s="964"/>
      <c r="B34" s="773" t="s">
        <v>142</v>
      </c>
      <c r="C34" s="795"/>
      <c r="D34" s="796"/>
      <c r="E34" s="811"/>
      <c r="F34" s="812"/>
      <c r="G34" s="825"/>
      <c r="H34" s="796"/>
      <c r="I34" s="811"/>
      <c r="J34" s="812"/>
      <c r="K34" s="795"/>
      <c r="L34" s="796"/>
      <c r="M34" s="811"/>
      <c r="N34" s="812"/>
      <c r="O34" s="638"/>
      <c r="P34" s="795"/>
      <c r="Q34" s="796"/>
      <c r="R34" s="811"/>
      <c r="S34" s="812"/>
      <c r="T34" s="825"/>
      <c r="U34" s="796"/>
      <c r="V34" s="811"/>
      <c r="W34" s="812"/>
      <c r="X34" s="795"/>
      <c r="Y34" s="796"/>
      <c r="Z34" s="811"/>
      <c r="AA34" s="812"/>
      <c r="AB34" s="846"/>
      <c r="AC34" s="846"/>
      <c r="AD34" s="2"/>
      <c r="AE34" s="2"/>
      <c r="AF34" s="2"/>
      <c r="AG34" s="2"/>
    </row>
    <row r="35" spans="1:40" ht="54.95" customHeight="1" thickBot="1">
      <c r="A35" s="965"/>
      <c r="B35" s="774" t="s">
        <v>143</v>
      </c>
      <c r="C35" s="797"/>
      <c r="D35" s="798"/>
      <c r="E35" s="813"/>
      <c r="F35" s="814"/>
      <c r="G35" s="826"/>
      <c r="H35" s="798"/>
      <c r="I35" s="813"/>
      <c r="J35" s="814"/>
      <c r="K35" s="797"/>
      <c r="L35" s="798"/>
      <c r="M35" s="813"/>
      <c r="N35" s="814"/>
      <c r="O35" s="638"/>
      <c r="P35" s="797"/>
      <c r="Q35" s="798"/>
      <c r="R35" s="813"/>
      <c r="S35" s="814"/>
      <c r="T35" s="826"/>
      <c r="U35" s="798"/>
      <c r="V35" s="813"/>
      <c r="W35" s="814"/>
      <c r="X35" s="797"/>
      <c r="Y35" s="798"/>
      <c r="Z35" s="813"/>
      <c r="AA35" s="814"/>
      <c r="AB35" s="846"/>
      <c r="AC35" s="846"/>
      <c r="AD35" s="2"/>
      <c r="AE35" s="2"/>
      <c r="AF35" s="2"/>
      <c r="AG35" s="2"/>
    </row>
    <row r="36" spans="1:40" ht="54.95" customHeight="1">
      <c r="A36" s="966">
        <v>8</v>
      </c>
      <c r="B36" s="775" t="s">
        <v>140</v>
      </c>
      <c r="C36" s="799"/>
      <c r="D36" s="800"/>
      <c r="E36" s="815"/>
      <c r="F36" s="816"/>
      <c r="G36" s="827"/>
      <c r="H36" s="800"/>
      <c r="I36" s="815"/>
      <c r="J36" s="816"/>
      <c r="K36" s="799"/>
      <c r="L36" s="800"/>
      <c r="M36" s="815"/>
      <c r="N36" s="816"/>
      <c r="O36" s="638"/>
      <c r="P36" s="799"/>
      <c r="Q36" s="800"/>
      <c r="R36" s="815"/>
      <c r="S36" s="816"/>
      <c r="T36" s="827"/>
      <c r="U36" s="800"/>
      <c r="V36" s="815"/>
      <c r="W36" s="816"/>
      <c r="X36" s="799"/>
      <c r="Y36" s="800"/>
      <c r="Z36" s="815"/>
      <c r="AA36" s="816"/>
      <c r="AB36" s="846"/>
      <c r="AC36" s="846"/>
      <c r="AD36" s="2"/>
      <c r="AE36" s="2"/>
      <c r="AF36" s="2"/>
      <c r="AG36" s="2"/>
    </row>
    <row r="37" spans="1:40" ht="54.95" customHeight="1">
      <c r="A37" s="964"/>
      <c r="B37" s="773" t="s">
        <v>141</v>
      </c>
      <c r="C37" s="793"/>
      <c r="D37" s="794"/>
      <c r="E37" s="809"/>
      <c r="F37" s="810"/>
      <c r="G37" s="824"/>
      <c r="H37" s="794"/>
      <c r="I37" s="809">
        <v>1</v>
      </c>
      <c r="J37" s="810"/>
      <c r="K37" s="793"/>
      <c r="L37" s="794"/>
      <c r="M37" s="809"/>
      <c r="N37" s="810"/>
      <c r="O37" s="638"/>
      <c r="P37" s="793">
        <v>1</v>
      </c>
      <c r="Q37" s="794"/>
      <c r="R37" s="809"/>
      <c r="S37" s="810"/>
      <c r="T37" s="824"/>
      <c r="U37" s="794"/>
      <c r="V37" s="809"/>
      <c r="W37" s="810"/>
      <c r="X37" s="793"/>
      <c r="Y37" s="794"/>
      <c r="Z37" s="809"/>
      <c r="AA37" s="810"/>
      <c r="AB37" s="846"/>
      <c r="AC37" s="846"/>
      <c r="AD37" s="2"/>
      <c r="AE37" s="2"/>
      <c r="AF37" s="2"/>
      <c r="AG37" s="2"/>
    </row>
    <row r="38" spans="1:40" ht="54.95" customHeight="1">
      <c r="A38" s="964"/>
      <c r="B38" s="773" t="s">
        <v>142</v>
      </c>
      <c r="C38" s="795"/>
      <c r="D38" s="796"/>
      <c r="E38" s="811"/>
      <c r="F38" s="812"/>
      <c r="G38" s="825"/>
      <c r="H38" s="796"/>
      <c r="I38" s="811"/>
      <c r="J38" s="812"/>
      <c r="K38" s="795"/>
      <c r="L38" s="796"/>
      <c r="M38" s="811"/>
      <c r="N38" s="812"/>
      <c r="O38" s="638"/>
      <c r="P38" s="795"/>
      <c r="Q38" s="796"/>
      <c r="R38" s="811"/>
      <c r="S38" s="812"/>
      <c r="T38" s="825"/>
      <c r="U38" s="796"/>
      <c r="V38" s="811"/>
      <c r="W38" s="812"/>
      <c r="X38" s="795"/>
      <c r="Y38" s="796"/>
      <c r="Z38" s="811"/>
      <c r="AA38" s="812"/>
      <c r="AB38" s="846"/>
      <c r="AC38" s="846"/>
      <c r="AD38" s="2"/>
      <c r="AE38" s="2"/>
      <c r="AF38" s="2"/>
      <c r="AG38" s="2"/>
    </row>
    <row r="39" spans="1:40" ht="54.95" customHeight="1">
      <c r="A39" s="967"/>
      <c r="B39" s="776" t="s">
        <v>143</v>
      </c>
      <c r="C39" s="801"/>
      <c r="D39" s="802">
        <v>1</v>
      </c>
      <c r="E39" s="817"/>
      <c r="F39" s="818"/>
      <c r="G39" s="828"/>
      <c r="H39" s="802"/>
      <c r="I39" s="817"/>
      <c r="J39" s="818"/>
      <c r="K39" s="801"/>
      <c r="L39" s="802">
        <v>1</v>
      </c>
      <c r="M39" s="817"/>
      <c r="N39" s="818"/>
      <c r="O39" s="638"/>
      <c r="P39" s="801"/>
      <c r="Q39" s="802"/>
      <c r="R39" s="817"/>
      <c r="S39" s="818"/>
      <c r="T39" s="828"/>
      <c r="U39" s="802"/>
      <c r="V39" s="817"/>
      <c r="W39" s="818"/>
      <c r="X39" s="801"/>
      <c r="Y39" s="802"/>
      <c r="Z39" s="817"/>
      <c r="AA39" s="818"/>
      <c r="AB39" s="846"/>
      <c r="AC39" s="846"/>
      <c r="AD39" s="2"/>
      <c r="AE39" s="2"/>
      <c r="AF39" s="2"/>
      <c r="AG39" s="2"/>
    </row>
    <row r="40" spans="1:40" ht="54.95" hidden="1" customHeight="1" outlineLevel="1">
      <c r="A40" s="297">
        <v>9</v>
      </c>
      <c r="B40" s="298" t="s">
        <v>23</v>
      </c>
      <c r="C40" s="374"/>
      <c r="D40" s="375"/>
      <c r="E40" s="376"/>
      <c r="F40" s="377"/>
      <c r="G40" s="378"/>
      <c r="H40" s="379"/>
      <c r="I40" s="376"/>
      <c r="J40" s="377"/>
      <c r="K40" s="348"/>
      <c r="L40" s="345"/>
      <c r="M40" s="346"/>
      <c r="N40" s="347"/>
      <c r="O40" s="638"/>
      <c r="P40" s="374"/>
      <c r="Q40" s="375"/>
      <c r="R40" s="376"/>
      <c r="S40" s="377"/>
      <c r="T40" s="378"/>
      <c r="U40" s="379"/>
      <c r="V40" s="376"/>
      <c r="W40" s="377"/>
      <c r="X40" s="348"/>
      <c r="Y40" s="345"/>
      <c r="Z40" s="346"/>
      <c r="AA40" s="349"/>
      <c r="AB40" s="2"/>
      <c r="AC40" s="2"/>
      <c r="AD40" s="2"/>
      <c r="AE40" s="2"/>
      <c r="AF40" s="2"/>
      <c r="AG40" s="2"/>
    </row>
    <row r="41" spans="1:40" ht="54.95" hidden="1" customHeight="1" outlineLevel="1" thickBot="1">
      <c r="A41" s="300"/>
      <c r="B41" s="301" t="s">
        <v>24</v>
      </c>
      <c r="C41" s="380"/>
      <c r="D41" s="381"/>
      <c r="E41" s="382"/>
      <c r="F41" s="383"/>
      <c r="G41" s="384"/>
      <c r="H41" s="385"/>
      <c r="I41" s="382"/>
      <c r="J41" s="383"/>
      <c r="K41" s="354"/>
      <c r="L41" s="351"/>
      <c r="M41" s="352"/>
      <c r="N41" s="353"/>
      <c r="O41" s="638"/>
      <c r="P41" s="380"/>
      <c r="Q41" s="381"/>
      <c r="R41" s="382"/>
      <c r="S41" s="383"/>
      <c r="T41" s="384"/>
      <c r="U41" s="385"/>
      <c r="V41" s="382"/>
      <c r="W41" s="383"/>
      <c r="X41" s="354"/>
      <c r="Y41" s="351"/>
      <c r="Z41" s="352"/>
      <c r="AA41" s="355"/>
      <c r="AB41" s="2"/>
      <c r="AC41" s="2"/>
      <c r="AD41" s="2"/>
      <c r="AE41" s="2"/>
      <c r="AF41" s="2"/>
      <c r="AG41" s="2"/>
    </row>
    <row r="42" spans="1:40" ht="30" customHeight="1" collapsed="1">
      <c r="A42" s="302"/>
      <c r="B42" s="30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638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2"/>
      <c r="AC42" s="2"/>
      <c r="AD42" s="2"/>
      <c r="AE42" s="2"/>
      <c r="AF42" s="2"/>
      <c r="AG42" s="2"/>
    </row>
    <row r="43" spans="1:40" ht="30" customHeight="1" thickBot="1">
      <c r="A43" s="28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22"/>
    </row>
    <row r="44" spans="1:40" ht="32.25" customHeight="1" thickTop="1">
      <c r="A44" s="26"/>
      <c r="B44" s="27"/>
      <c r="C44" s="947" t="str">
        <f>C7</f>
        <v>Depuis 'La Roche'</v>
      </c>
      <c r="D44" s="948"/>
      <c r="E44" s="948"/>
      <c r="F44" s="948"/>
      <c r="G44" s="948"/>
      <c r="H44" s="948"/>
      <c r="I44" s="948"/>
      <c r="J44" s="948"/>
      <c r="K44" s="948"/>
      <c r="L44" s="948"/>
      <c r="M44" s="948"/>
      <c r="N44" s="948"/>
      <c r="O44" s="590"/>
      <c r="P44" s="947" t="str">
        <f>P7</f>
        <v>Depuis 'Pers-Jussy'</v>
      </c>
      <c r="Q44" s="948"/>
      <c r="R44" s="948"/>
      <c r="S44" s="948"/>
      <c r="T44" s="948"/>
      <c r="U44" s="948"/>
      <c r="V44" s="948"/>
      <c r="W44" s="948"/>
      <c r="X44" s="948"/>
      <c r="Y44" s="948"/>
      <c r="Z44" s="948"/>
      <c r="AA44" s="949"/>
      <c r="AB44" s="26"/>
      <c r="AC44" s="27"/>
      <c r="AD44" s="928" t="s">
        <v>12</v>
      </c>
      <c r="AE44" s="869" t="s">
        <v>14</v>
      </c>
      <c r="AF44" s="869" t="s">
        <v>15</v>
      </c>
      <c r="AG44" s="869" t="s">
        <v>18</v>
      </c>
      <c r="AH44" s="872" t="s">
        <v>114</v>
      </c>
      <c r="AI44" s="872" t="s">
        <v>79</v>
      </c>
      <c r="AJ44" s="872" t="s">
        <v>111</v>
      </c>
      <c r="AK44" s="884" t="s">
        <v>31</v>
      </c>
      <c r="AL44" s="885"/>
      <c r="AM44" s="885"/>
      <c r="AN44" s="886"/>
    </row>
    <row r="45" spans="1:40" ht="22.7" customHeight="1">
      <c r="A45" s="26"/>
      <c r="B45" s="27"/>
      <c r="C45" s="944" t="str">
        <f>C8</f>
        <v>vers 'Reignier'</v>
      </c>
      <c r="D45" s="945"/>
      <c r="E45" s="945"/>
      <c r="F45" s="945"/>
      <c r="G45" s="944" t="str">
        <f>G8</f>
        <v>vers 'Casino'</v>
      </c>
      <c r="H45" s="945"/>
      <c r="I45" s="945"/>
      <c r="J45" s="945"/>
      <c r="K45" s="944" t="str">
        <f>K8</f>
        <v>vers 'Pers-Jussy'</v>
      </c>
      <c r="L45" s="945"/>
      <c r="M45" s="945"/>
      <c r="N45" s="945"/>
      <c r="O45" s="588"/>
      <c r="P45" s="944" t="str">
        <f>P8</f>
        <v>vers 'La Roche'</v>
      </c>
      <c r="Q45" s="945"/>
      <c r="R45" s="945"/>
      <c r="S45" s="945"/>
      <c r="T45" s="944" t="str">
        <f>T8</f>
        <v>vers 'Reignier'</v>
      </c>
      <c r="U45" s="945"/>
      <c r="V45" s="945"/>
      <c r="W45" s="945"/>
      <c r="X45" s="944" t="str">
        <f>X8</f>
        <v>vers 'Casino'</v>
      </c>
      <c r="Y45" s="945"/>
      <c r="Z45" s="945"/>
      <c r="AA45" s="946"/>
      <c r="AB45" s="26"/>
      <c r="AC45" s="27"/>
      <c r="AD45" s="929"/>
      <c r="AE45" s="870"/>
      <c r="AF45" s="870"/>
      <c r="AG45" s="870"/>
      <c r="AH45" s="873"/>
      <c r="AI45" s="873"/>
      <c r="AJ45" s="873"/>
      <c r="AK45" s="887"/>
      <c r="AL45" s="888"/>
      <c r="AM45" s="888"/>
      <c r="AN45" s="889"/>
    </row>
    <row r="46" spans="1:40" ht="18.600000000000001" customHeight="1" thickBot="1">
      <c r="A46" s="26"/>
      <c r="B46" s="27"/>
      <c r="C46" s="926" t="s">
        <v>4</v>
      </c>
      <c r="D46" s="943"/>
      <c r="E46" s="927" t="s">
        <v>5</v>
      </c>
      <c r="F46" s="925"/>
      <c r="G46" s="925" t="s">
        <v>4</v>
      </c>
      <c r="H46" s="926"/>
      <c r="I46" s="927" t="s">
        <v>5</v>
      </c>
      <c r="J46" s="925"/>
      <c r="K46" s="925" t="s">
        <v>4</v>
      </c>
      <c r="L46" s="926"/>
      <c r="M46" s="927" t="s">
        <v>5</v>
      </c>
      <c r="N46" s="925"/>
      <c r="O46" s="580"/>
      <c r="P46" s="925" t="s">
        <v>4</v>
      </c>
      <c r="Q46" s="926"/>
      <c r="R46" s="927" t="s">
        <v>5</v>
      </c>
      <c r="S46" s="925"/>
      <c r="T46" s="925" t="s">
        <v>4</v>
      </c>
      <c r="U46" s="926"/>
      <c r="V46" s="927" t="s">
        <v>5</v>
      </c>
      <c r="W46" s="925"/>
      <c r="X46" s="925" t="s">
        <v>4</v>
      </c>
      <c r="Y46" s="926"/>
      <c r="Z46" s="943" t="s">
        <v>5</v>
      </c>
      <c r="AA46" s="927"/>
      <c r="AB46" s="99"/>
      <c r="AC46" s="27"/>
      <c r="AD46" s="929"/>
      <c r="AE46" s="870"/>
      <c r="AF46" s="870"/>
      <c r="AG46" s="870"/>
      <c r="AH46" s="873"/>
      <c r="AI46" s="873"/>
      <c r="AJ46" s="873"/>
      <c r="AK46" s="887"/>
      <c r="AL46" s="888"/>
      <c r="AM46" s="888"/>
      <c r="AN46" s="889"/>
    </row>
    <row r="47" spans="1:40" ht="21" thickTop="1">
      <c r="A47" s="931" t="s">
        <v>13</v>
      </c>
      <c r="B47" s="932"/>
      <c r="C47" s="114" t="s">
        <v>8</v>
      </c>
      <c r="D47" s="115" t="s">
        <v>9</v>
      </c>
      <c r="E47" s="116" t="s">
        <v>8</v>
      </c>
      <c r="F47" s="117" t="s">
        <v>9</v>
      </c>
      <c r="G47" s="114" t="s">
        <v>8</v>
      </c>
      <c r="H47" s="115" t="s">
        <v>9</v>
      </c>
      <c r="I47" s="116" t="s">
        <v>8</v>
      </c>
      <c r="J47" s="117" t="s">
        <v>9</v>
      </c>
      <c r="K47" s="114" t="s">
        <v>8</v>
      </c>
      <c r="L47" s="115" t="s">
        <v>9</v>
      </c>
      <c r="M47" s="116" t="s">
        <v>8</v>
      </c>
      <c r="N47" s="117" t="s">
        <v>9</v>
      </c>
      <c r="O47" s="630"/>
      <c r="P47" s="114" t="s">
        <v>8</v>
      </c>
      <c r="Q47" s="115" t="s">
        <v>9</v>
      </c>
      <c r="R47" s="116" t="s">
        <v>8</v>
      </c>
      <c r="S47" s="117" t="s">
        <v>9</v>
      </c>
      <c r="T47" s="114" t="s">
        <v>8</v>
      </c>
      <c r="U47" s="115" t="s">
        <v>9</v>
      </c>
      <c r="V47" s="116" t="s">
        <v>8</v>
      </c>
      <c r="W47" s="117" t="s">
        <v>9</v>
      </c>
      <c r="X47" s="114" t="s">
        <v>8</v>
      </c>
      <c r="Y47" s="115" t="s">
        <v>9</v>
      </c>
      <c r="Z47" s="116" t="s">
        <v>8</v>
      </c>
      <c r="AA47" s="117" t="s">
        <v>9</v>
      </c>
      <c r="AB47" s="933" t="s">
        <v>13</v>
      </c>
      <c r="AC47" s="934"/>
      <c r="AD47" s="929"/>
      <c r="AE47" s="871"/>
      <c r="AF47" s="871"/>
      <c r="AG47" s="871"/>
      <c r="AH47" s="874"/>
      <c r="AI47" s="874"/>
      <c r="AJ47" s="874"/>
      <c r="AK47" s="890"/>
      <c r="AL47" s="891"/>
      <c r="AM47" s="891"/>
      <c r="AN47" s="892"/>
    </row>
    <row r="48" spans="1:40" ht="54.95" customHeight="1">
      <c r="A48" s="935" t="s">
        <v>28</v>
      </c>
      <c r="B48" s="936"/>
      <c r="C48" s="75">
        <f t="shared" ref="C48:AA48" si="0">SUM(C11:C14)</f>
        <v>1</v>
      </c>
      <c r="D48" s="76">
        <f t="shared" si="0"/>
        <v>2</v>
      </c>
      <c r="E48" s="77">
        <f t="shared" si="0"/>
        <v>1</v>
      </c>
      <c r="F48" s="78">
        <f t="shared" si="0"/>
        <v>0</v>
      </c>
      <c r="G48" s="75">
        <f t="shared" si="0"/>
        <v>0</v>
      </c>
      <c r="H48" s="76">
        <f t="shared" si="0"/>
        <v>0</v>
      </c>
      <c r="I48" s="77">
        <f t="shared" si="0"/>
        <v>0</v>
      </c>
      <c r="J48" s="78">
        <f t="shared" si="0"/>
        <v>0</v>
      </c>
      <c r="K48" s="75">
        <f t="shared" si="0"/>
        <v>0</v>
      </c>
      <c r="L48" s="76">
        <f t="shared" si="0"/>
        <v>0</v>
      </c>
      <c r="M48" s="77">
        <f t="shared" si="0"/>
        <v>0</v>
      </c>
      <c r="N48" s="78">
        <f t="shared" si="0"/>
        <v>0</v>
      </c>
      <c r="O48" s="631"/>
      <c r="P48" s="75">
        <f t="shared" si="0"/>
        <v>0</v>
      </c>
      <c r="Q48" s="76">
        <f t="shared" si="0"/>
        <v>0</v>
      </c>
      <c r="R48" s="77">
        <f t="shared" si="0"/>
        <v>0</v>
      </c>
      <c r="S48" s="78">
        <f t="shared" si="0"/>
        <v>0</v>
      </c>
      <c r="T48" s="75">
        <f t="shared" si="0"/>
        <v>1</v>
      </c>
      <c r="U48" s="76">
        <f t="shared" si="0"/>
        <v>0</v>
      </c>
      <c r="V48" s="77">
        <f t="shared" si="0"/>
        <v>1</v>
      </c>
      <c r="W48" s="78">
        <f t="shared" si="0"/>
        <v>0</v>
      </c>
      <c r="X48" s="75">
        <f t="shared" si="0"/>
        <v>0</v>
      </c>
      <c r="Y48" s="76">
        <f t="shared" si="0"/>
        <v>0</v>
      </c>
      <c r="Z48" s="77">
        <f t="shared" si="0"/>
        <v>0</v>
      </c>
      <c r="AA48" s="78">
        <f t="shared" si="0"/>
        <v>0</v>
      </c>
      <c r="AB48" s="937" t="s">
        <v>28</v>
      </c>
      <c r="AC48" s="938"/>
      <c r="AD48" s="109">
        <f t="shared" ref="AD48:AD53" si="1">SUM(C48:AA48)+SUM(C60:AA60)</f>
        <v>6</v>
      </c>
      <c r="AE48" s="118">
        <f>IF(AD48=0,0,AE60/AD48)</f>
        <v>0.66666666666666663</v>
      </c>
      <c r="AF48" s="118">
        <f>IF(AD48=0,0,AF60/AD48)</f>
        <v>0.33333333333333331</v>
      </c>
      <c r="AG48" s="118">
        <f>IF(AF60=0,0,AG60/AF60)</f>
        <v>1</v>
      </c>
      <c r="AH48" s="118">
        <f t="shared" ref="AH48:AH54" si="2">IF(AD48=0,0,AH60/AD48)</f>
        <v>1</v>
      </c>
      <c r="AI48" s="170">
        <f>IF(AD48=0,0,AI60/AD48)</f>
        <v>0.33333333333333331</v>
      </c>
      <c r="AJ48" s="170">
        <f>IF(AD48=0,0,AJ60/AD48)</f>
        <v>0.66666666666666663</v>
      </c>
      <c r="AK48" s="893"/>
      <c r="AL48" s="894"/>
      <c r="AM48" s="894"/>
      <c r="AN48" s="895"/>
    </row>
    <row r="49" spans="1:40" ht="54.95" customHeight="1">
      <c r="A49" s="939" t="s">
        <v>11</v>
      </c>
      <c r="B49" s="940"/>
      <c r="C49" s="79">
        <f t="shared" ref="C49:AA49" si="3">SUM(C13:C16)</f>
        <v>2</v>
      </c>
      <c r="D49" s="80">
        <f t="shared" si="3"/>
        <v>2</v>
      </c>
      <c r="E49" s="81">
        <f t="shared" si="3"/>
        <v>1</v>
      </c>
      <c r="F49" s="82">
        <f t="shared" si="3"/>
        <v>0</v>
      </c>
      <c r="G49" s="79">
        <f t="shared" si="3"/>
        <v>0</v>
      </c>
      <c r="H49" s="80">
        <f t="shared" si="3"/>
        <v>0</v>
      </c>
      <c r="I49" s="81">
        <f t="shared" si="3"/>
        <v>0</v>
      </c>
      <c r="J49" s="82">
        <f t="shared" si="3"/>
        <v>0</v>
      </c>
      <c r="K49" s="79">
        <f t="shared" si="3"/>
        <v>0</v>
      </c>
      <c r="L49" s="80">
        <f t="shared" si="3"/>
        <v>0</v>
      </c>
      <c r="M49" s="81">
        <f t="shared" si="3"/>
        <v>0</v>
      </c>
      <c r="N49" s="82">
        <f t="shared" si="3"/>
        <v>0</v>
      </c>
      <c r="O49" s="632"/>
      <c r="P49" s="79">
        <f t="shared" si="3"/>
        <v>0</v>
      </c>
      <c r="Q49" s="80">
        <f t="shared" si="3"/>
        <v>0</v>
      </c>
      <c r="R49" s="81">
        <f t="shared" si="3"/>
        <v>0</v>
      </c>
      <c r="S49" s="82">
        <f t="shared" si="3"/>
        <v>0</v>
      </c>
      <c r="T49" s="79">
        <f t="shared" si="3"/>
        <v>2</v>
      </c>
      <c r="U49" s="80">
        <f t="shared" si="3"/>
        <v>1</v>
      </c>
      <c r="V49" s="81">
        <f t="shared" si="3"/>
        <v>2</v>
      </c>
      <c r="W49" s="82">
        <f t="shared" si="3"/>
        <v>0</v>
      </c>
      <c r="X49" s="79">
        <f t="shared" si="3"/>
        <v>0</v>
      </c>
      <c r="Y49" s="80">
        <f t="shared" si="3"/>
        <v>0</v>
      </c>
      <c r="Z49" s="81">
        <f t="shared" si="3"/>
        <v>0</v>
      </c>
      <c r="AA49" s="82">
        <f t="shared" si="3"/>
        <v>0</v>
      </c>
      <c r="AB49" s="941" t="s">
        <v>11</v>
      </c>
      <c r="AC49" s="942"/>
      <c r="AD49" s="110">
        <f t="shared" si="1"/>
        <v>10</v>
      </c>
      <c r="AE49" s="120">
        <f t="shared" ref="AE49:AE54" si="4">IF(AD49=0,0,AE61/AD49)</f>
        <v>0.7</v>
      </c>
      <c r="AF49" s="120">
        <f t="shared" ref="AF49:AF54" si="5">IF(AD49=0,0,AF61/AD49)</f>
        <v>0.3</v>
      </c>
      <c r="AG49" s="120">
        <f t="shared" ref="AG49:AG54" si="6">IF(AF61=0,0,AG61/AF61)</f>
        <v>1</v>
      </c>
      <c r="AH49" s="120">
        <f t="shared" si="2"/>
        <v>1</v>
      </c>
      <c r="AI49" s="172">
        <f t="shared" ref="AI49:AI54" si="7">IF(AD49=0,0,AI61/AD49)</f>
        <v>0.5</v>
      </c>
      <c r="AJ49" s="172">
        <f t="shared" ref="AJ49:AJ54" si="8">IF(AD49=0,0,AJ61/AD49)</f>
        <v>0.5</v>
      </c>
      <c r="AK49" s="896"/>
      <c r="AL49" s="897"/>
      <c r="AM49" s="897"/>
      <c r="AN49" s="898"/>
    </row>
    <row r="50" spans="1:40" ht="54.95" customHeight="1">
      <c r="A50" s="939" t="s">
        <v>17</v>
      </c>
      <c r="B50" s="940"/>
      <c r="C50" s="79">
        <f t="shared" ref="C50:AA50" si="9">SUM(C15:C18)</f>
        <v>1</v>
      </c>
      <c r="D50" s="80">
        <f t="shared" si="9"/>
        <v>1</v>
      </c>
      <c r="E50" s="81">
        <f t="shared" si="9"/>
        <v>0</v>
      </c>
      <c r="F50" s="82">
        <f t="shared" si="9"/>
        <v>0</v>
      </c>
      <c r="G50" s="79">
        <f t="shared" si="9"/>
        <v>0</v>
      </c>
      <c r="H50" s="80">
        <f t="shared" si="9"/>
        <v>0</v>
      </c>
      <c r="I50" s="81">
        <f t="shared" si="9"/>
        <v>0</v>
      </c>
      <c r="J50" s="82">
        <f t="shared" si="9"/>
        <v>0</v>
      </c>
      <c r="K50" s="79">
        <f t="shared" si="9"/>
        <v>0</v>
      </c>
      <c r="L50" s="80">
        <f t="shared" si="9"/>
        <v>0</v>
      </c>
      <c r="M50" s="81">
        <f t="shared" si="9"/>
        <v>0</v>
      </c>
      <c r="N50" s="82">
        <f t="shared" si="9"/>
        <v>0</v>
      </c>
      <c r="O50" s="632"/>
      <c r="P50" s="79">
        <f t="shared" si="9"/>
        <v>0</v>
      </c>
      <c r="Q50" s="80">
        <f t="shared" si="9"/>
        <v>0</v>
      </c>
      <c r="R50" s="81">
        <f t="shared" si="9"/>
        <v>0</v>
      </c>
      <c r="S50" s="82">
        <f t="shared" si="9"/>
        <v>0</v>
      </c>
      <c r="T50" s="79">
        <f t="shared" si="9"/>
        <v>2</v>
      </c>
      <c r="U50" s="80">
        <f t="shared" si="9"/>
        <v>1</v>
      </c>
      <c r="V50" s="81">
        <f t="shared" si="9"/>
        <v>2</v>
      </c>
      <c r="W50" s="82">
        <f t="shared" si="9"/>
        <v>0</v>
      </c>
      <c r="X50" s="79">
        <f t="shared" si="9"/>
        <v>0</v>
      </c>
      <c r="Y50" s="80">
        <f t="shared" si="9"/>
        <v>1</v>
      </c>
      <c r="Z50" s="81">
        <f t="shared" si="9"/>
        <v>0</v>
      </c>
      <c r="AA50" s="82">
        <f t="shared" si="9"/>
        <v>0</v>
      </c>
      <c r="AB50" s="941" t="s">
        <v>17</v>
      </c>
      <c r="AC50" s="942"/>
      <c r="AD50" s="110">
        <f t="shared" si="1"/>
        <v>10</v>
      </c>
      <c r="AE50" s="120">
        <f t="shared" si="4"/>
        <v>0.7</v>
      </c>
      <c r="AF50" s="120">
        <f t="shared" si="5"/>
        <v>0.3</v>
      </c>
      <c r="AG50" s="120">
        <f t="shared" si="6"/>
        <v>1</v>
      </c>
      <c r="AH50" s="120">
        <f t="shared" si="2"/>
        <v>0.7</v>
      </c>
      <c r="AI50" s="172">
        <f t="shared" si="7"/>
        <v>0.6</v>
      </c>
      <c r="AJ50" s="172">
        <f t="shared" si="8"/>
        <v>0.2</v>
      </c>
      <c r="AK50" s="896"/>
      <c r="AL50" s="897"/>
      <c r="AM50" s="897"/>
      <c r="AN50" s="898"/>
    </row>
    <row r="51" spans="1:40" ht="54.95" customHeight="1">
      <c r="A51" s="939" t="s">
        <v>10</v>
      </c>
      <c r="B51" s="940"/>
      <c r="C51" s="79">
        <f t="shared" ref="C51:AA51" si="10">SUM(C17:C20)</f>
        <v>0</v>
      </c>
      <c r="D51" s="80">
        <f t="shared" si="10"/>
        <v>1</v>
      </c>
      <c r="E51" s="81">
        <f t="shared" si="10"/>
        <v>1</v>
      </c>
      <c r="F51" s="82">
        <f t="shared" si="10"/>
        <v>0</v>
      </c>
      <c r="G51" s="79">
        <f t="shared" si="10"/>
        <v>0</v>
      </c>
      <c r="H51" s="80">
        <f t="shared" si="10"/>
        <v>0</v>
      </c>
      <c r="I51" s="81">
        <f t="shared" si="10"/>
        <v>0</v>
      </c>
      <c r="J51" s="82">
        <f t="shared" si="10"/>
        <v>0</v>
      </c>
      <c r="K51" s="79">
        <f t="shared" si="10"/>
        <v>0</v>
      </c>
      <c r="L51" s="80">
        <f t="shared" si="10"/>
        <v>0</v>
      </c>
      <c r="M51" s="81">
        <f t="shared" si="10"/>
        <v>0</v>
      </c>
      <c r="N51" s="82">
        <f t="shared" si="10"/>
        <v>0</v>
      </c>
      <c r="O51" s="632"/>
      <c r="P51" s="79">
        <f t="shared" si="10"/>
        <v>0</v>
      </c>
      <c r="Q51" s="80">
        <f t="shared" si="10"/>
        <v>0</v>
      </c>
      <c r="R51" s="81">
        <f t="shared" si="10"/>
        <v>0</v>
      </c>
      <c r="S51" s="82">
        <f t="shared" si="10"/>
        <v>0</v>
      </c>
      <c r="T51" s="79">
        <f t="shared" si="10"/>
        <v>1</v>
      </c>
      <c r="U51" s="80">
        <f t="shared" si="10"/>
        <v>1</v>
      </c>
      <c r="V51" s="81">
        <f t="shared" si="10"/>
        <v>1</v>
      </c>
      <c r="W51" s="82">
        <f t="shared" si="10"/>
        <v>1</v>
      </c>
      <c r="X51" s="79">
        <f t="shared" si="10"/>
        <v>0</v>
      </c>
      <c r="Y51" s="80">
        <f t="shared" si="10"/>
        <v>1</v>
      </c>
      <c r="Z51" s="81">
        <f t="shared" si="10"/>
        <v>0</v>
      </c>
      <c r="AA51" s="82">
        <f t="shared" si="10"/>
        <v>0</v>
      </c>
      <c r="AB51" s="941" t="s">
        <v>10</v>
      </c>
      <c r="AC51" s="942"/>
      <c r="AD51" s="110">
        <f t="shared" si="1"/>
        <v>11</v>
      </c>
      <c r="AE51" s="120">
        <f t="shared" si="4"/>
        <v>0.45454545454545453</v>
      </c>
      <c r="AF51" s="120">
        <f t="shared" si="5"/>
        <v>0.36363636363636365</v>
      </c>
      <c r="AG51" s="120">
        <f t="shared" si="6"/>
        <v>0.75</v>
      </c>
      <c r="AH51" s="120">
        <f t="shared" si="2"/>
        <v>0.54545454545454541</v>
      </c>
      <c r="AI51" s="172">
        <f t="shared" si="7"/>
        <v>0.45454545454545453</v>
      </c>
      <c r="AJ51" s="172">
        <f t="shared" si="8"/>
        <v>0.18181818181818182</v>
      </c>
      <c r="AK51" s="896"/>
      <c r="AL51" s="897"/>
      <c r="AM51" s="897"/>
      <c r="AN51" s="898"/>
    </row>
    <row r="52" spans="1:40" ht="54.95" customHeight="1">
      <c r="A52" s="959" t="s">
        <v>29</v>
      </c>
      <c r="B52" s="960"/>
      <c r="C52" s="83">
        <f t="shared" ref="C52:AA52" si="11">SUM(C19:C22)</f>
        <v>0</v>
      </c>
      <c r="D52" s="84">
        <f t="shared" si="11"/>
        <v>0</v>
      </c>
      <c r="E52" s="85">
        <f t="shared" si="11"/>
        <v>1</v>
      </c>
      <c r="F52" s="86">
        <f t="shared" si="11"/>
        <v>0</v>
      </c>
      <c r="G52" s="83">
        <f t="shared" si="11"/>
        <v>0</v>
      </c>
      <c r="H52" s="84">
        <f t="shared" si="11"/>
        <v>0</v>
      </c>
      <c r="I52" s="85">
        <f t="shared" si="11"/>
        <v>0</v>
      </c>
      <c r="J52" s="86">
        <f t="shared" si="11"/>
        <v>0</v>
      </c>
      <c r="K52" s="83">
        <f t="shared" si="11"/>
        <v>0</v>
      </c>
      <c r="L52" s="84">
        <f t="shared" si="11"/>
        <v>0</v>
      </c>
      <c r="M52" s="85">
        <f t="shared" si="11"/>
        <v>0</v>
      </c>
      <c r="N52" s="86">
        <f t="shared" si="11"/>
        <v>0</v>
      </c>
      <c r="O52" s="633"/>
      <c r="P52" s="83">
        <f t="shared" si="11"/>
        <v>0</v>
      </c>
      <c r="Q52" s="84">
        <f t="shared" si="11"/>
        <v>0</v>
      </c>
      <c r="R52" s="85">
        <f t="shared" si="11"/>
        <v>0</v>
      </c>
      <c r="S52" s="86">
        <f t="shared" si="11"/>
        <v>0</v>
      </c>
      <c r="T52" s="83">
        <f t="shared" si="11"/>
        <v>0</v>
      </c>
      <c r="U52" s="84">
        <f t="shared" si="11"/>
        <v>1</v>
      </c>
      <c r="V52" s="85">
        <f t="shared" si="11"/>
        <v>0</v>
      </c>
      <c r="W52" s="86">
        <f t="shared" si="11"/>
        <v>1</v>
      </c>
      <c r="X52" s="83">
        <f t="shared" si="11"/>
        <v>0</v>
      </c>
      <c r="Y52" s="84">
        <f t="shared" si="11"/>
        <v>0</v>
      </c>
      <c r="Z52" s="85">
        <f t="shared" si="11"/>
        <v>0</v>
      </c>
      <c r="AA52" s="86">
        <f t="shared" si="11"/>
        <v>0</v>
      </c>
      <c r="AB52" s="961" t="s">
        <v>29</v>
      </c>
      <c r="AC52" s="962"/>
      <c r="AD52" s="111">
        <f t="shared" si="1"/>
        <v>5</v>
      </c>
      <c r="AE52" s="122">
        <f t="shared" si="4"/>
        <v>0.2</v>
      </c>
      <c r="AF52" s="122">
        <f t="shared" si="5"/>
        <v>0.4</v>
      </c>
      <c r="AG52" s="122">
        <f t="shared" si="6"/>
        <v>0.5</v>
      </c>
      <c r="AH52" s="122">
        <f t="shared" si="2"/>
        <v>0.6</v>
      </c>
      <c r="AI52" s="174">
        <f t="shared" si="7"/>
        <v>0.4</v>
      </c>
      <c r="AJ52" s="174">
        <f t="shared" si="8"/>
        <v>0.2</v>
      </c>
      <c r="AK52" s="899"/>
      <c r="AL52" s="900"/>
      <c r="AM52" s="900"/>
      <c r="AN52" s="901"/>
    </row>
    <row r="53" spans="1:40" ht="54.95" customHeight="1">
      <c r="A53" s="950" t="s">
        <v>12</v>
      </c>
      <c r="B53" s="951"/>
      <c r="C53" s="87">
        <f t="shared" ref="C53:AA53" si="12">SUM(C11:C22)</f>
        <v>2</v>
      </c>
      <c r="D53" s="88">
        <f t="shared" si="12"/>
        <v>3</v>
      </c>
      <c r="E53" s="89">
        <f t="shared" si="12"/>
        <v>2</v>
      </c>
      <c r="F53" s="90">
        <f t="shared" si="12"/>
        <v>0</v>
      </c>
      <c r="G53" s="87">
        <f t="shared" si="12"/>
        <v>0</v>
      </c>
      <c r="H53" s="88">
        <f t="shared" si="12"/>
        <v>0</v>
      </c>
      <c r="I53" s="89">
        <f t="shared" si="12"/>
        <v>0</v>
      </c>
      <c r="J53" s="90">
        <f t="shared" si="12"/>
        <v>0</v>
      </c>
      <c r="K53" s="87">
        <f t="shared" si="12"/>
        <v>0</v>
      </c>
      <c r="L53" s="88">
        <f t="shared" si="12"/>
        <v>0</v>
      </c>
      <c r="M53" s="89">
        <f t="shared" si="12"/>
        <v>0</v>
      </c>
      <c r="N53" s="90">
        <f t="shared" si="12"/>
        <v>0</v>
      </c>
      <c r="O53" s="634"/>
      <c r="P53" s="87">
        <f t="shared" si="12"/>
        <v>0</v>
      </c>
      <c r="Q53" s="88">
        <f t="shared" si="12"/>
        <v>0</v>
      </c>
      <c r="R53" s="89">
        <f t="shared" si="12"/>
        <v>0</v>
      </c>
      <c r="S53" s="90">
        <f t="shared" si="12"/>
        <v>0</v>
      </c>
      <c r="T53" s="87">
        <f t="shared" si="12"/>
        <v>3</v>
      </c>
      <c r="U53" s="88">
        <f t="shared" si="12"/>
        <v>2</v>
      </c>
      <c r="V53" s="89">
        <f t="shared" si="12"/>
        <v>3</v>
      </c>
      <c r="W53" s="90">
        <f t="shared" si="12"/>
        <v>1</v>
      </c>
      <c r="X53" s="87">
        <f t="shared" si="12"/>
        <v>0</v>
      </c>
      <c r="Y53" s="88">
        <f t="shared" si="12"/>
        <v>1</v>
      </c>
      <c r="Z53" s="89">
        <f t="shared" si="12"/>
        <v>0</v>
      </c>
      <c r="AA53" s="90">
        <f t="shared" si="12"/>
        <v>0</v>
      </c>
      <c r="AB53" s="952" t="s">
        <v>12</v>
      </c>
      <c r="AC53" s="953"/>
      <c r="AD53" s="112">
        <f t="shared" si="1"/>
        <v>21</v>
      </c>
      <c r="AE53" s="193">
        <f t="shared" si="4"/>
        <v>0.5714285714285714</v>
      </c>
      <c r="AF53" s="193">
        <f t="shared" si="5"/>
        <v>0.33333333333333331</v>
      </c>
      <c r="AG53" s="193">
        <f t="shared" si="6"/>
        <v>0.8571428571428571</v>
      </c>
      <c r="AH53" s="193">
        <f t="shared" si="2"/>
        <v>0.76190476190476186</v>
      </c>
      <c r="AI53" s="215">
        <f t="shared" si="7"/>
        <v>0.47619047619047616</v>
      </c>
      <c r="AJ53" s="215">
        <f t="shared" si="8"/>
        <v>0.33333333333333331</v>
      </c>
      <c r="AK53" s="902"/>
      <c r="AL53" s="903"/>
      <c r="AM53" s="903"/>
      <c r="AN53" s="904"/>
    </row>
    <row r="54" spans="1:40" ht="54.95" customHeight="1" thickBot="1">
      <c r="A54" s="954" t="str">
        <f>IF($AD$48=MAX($AD$48:$AD$52),A48,IF($AD$49=MAX($AD$48:$AD$52),A49,IF($AD$50=MAX($AD$48:$AD$52),A50,IF($AD$51=MAX($AD$48:$AD$52),A51,A52))))</f>
        <v>de 8:00 à 9:00</v>
      </c>
      <c r="B54" s="955"/>
      <c r="C54" s="93">
        <f t="shared" ref="C54:N54" si="13">IF($AD$48=MAX($AD$48:$AD$52),C48,IF($AD$49=MAX($AD$48:$AD$52),C49,IF($AD$50=MAX($AD$48:$AD$52),C50,IF($AD$51=MAX($AD$48:$AD$52),(C51),C52))))</f>
        <v>0</v>
      </c>
      <c r="D54" s="94">
        <f t="shared" si="13"/>
        <v>1</v>
      </c>
      <c r="E54" s="95">
        <f t="shared" si="13"/>
        <v>1</v>
      </c>
      <c r="F54" s="96">
        <f t="shared" si="13"/>
        <v>0</v>
      </c>
      <c r="G54" s="93">
        <f t="shared" si="13"/>
        <v>0</v>
      </c>
      <c r="H54" s="94">
        <f t="shared" si="13"/>
        <v>0</v>
      </c>
      <c r="I54" s="95">
        <f t="shared" si="13"/>
        <v>0</v>
      </c>
      <c r="J54" s="96">
        <f t="shared" si="13"/>
        <v>0</v>
      </c>
      <c r="K54" s="93">
        <f t="shared" si="13"/>
        <v>0</v>
      </c>
      <c r="L54" s="94">
        <f t="shared" si="13"/>
        <v>0</v>
      </c>
      <c r="M54" s="95">
        <f t="shared" si="13"/>
        <v>0</v>
      </c>
      <c r="N54" s="96">
        <f t="shared" si="13"/>
        <v>0</v>
      </c>
      <c r="O54" s="635"/>
      <c r="P54" s="93">
        <f t="shared" ref="P54:AA54" si="14">IF($AD$48=MAX($AD$48:$AD$52),P48,IF($AD$49=MAX($AD$48:$AD$52),P49,IF($AD$50=MAX($AD$48:$AD$52),P50,IF($AD$51=MAX($AD$48:$AD$52),(P51),P52))))</f>
        <v>0</v>
      </c>
      <c r="Q54" s="94">
        <f t="shared" si="14"/>
        <v>0</v>
      </c>
      <c r="R54" s="95">
        <f t="shared" si="14"/>
        <v>0</v>
      </c>
      <c r="S54" s="96">
        <f t="shared" si="14"/>
        <v>0</v>
      </c>
      <c r="T54" s="93">
        <f t="shared" si="14"/>
        <v>1</v>
      </c>
      <c r="U54" s="94">
        <f t="shared" si="14"/>
        <v>1</v>
      </c>
      <c r="V54" s="95">
        <f t="shared" si="14"/>
        <v>1</v>
      </c>
      <c r="W54" s="96">
        <f t="shared" si="14"/>
        <v>1</v>
      </c>
      <c r="X54" s="93">
        <f t="shared" si="14"/>
        <v>0</v>
      </c>
      <c r="Y54" s="94">
        <f t="shared" si="14"/>
        <v>1</v>
      </c>
      <c r="Z54" s="95">
        <f t="shared" si="14"/>
        <v>0</v>
      </c>
      <c r="AA54" s="96">
        <f t="shared" si="14"/>
        <v>0</v>
      </c>
      <c r="AB54" s="956" t="str">
        <f>IF($AD$48=MAX($AD$48:$AD$52),A48,IF($AD$49=MAX($AD$48:$AD$52),A49,IF($AD$50=MAX($AD$48:$AD$52),A50,IF($AD$51=MAX($AD$48:$AD$52),A51,A52))))</f>
        <v>de 8:00 à 9:00</v>
      </c>
      <c r="AC54" s="957"/>
      <c r="AD54" s="124">
        <f>IF($AD$48=MAX($AD$48:$AD$52),AD48,IF($AD$49=MAX($AD$48:$AD$52),AD49,IF($AD$50=MAX($AD$48:$AD$52),AD50,IF($AD$51=MAX($AD$48:$AD$52),(AD51),AD52))))</f>
        <v>11</v>
      </c>
      <c r="AE54" s="194">
        <f t="shared" si="4"/>
        <v>0.45454545454545453</v>
      </c>
      <c r="AF54" s="194">
        <f t="shared" si="5"/>
        <v>0.36363636363636365</v>
      </c>
      <c r="AG54" s="194">
        <f t="shared" si="6"/>
        <v>0.75</v>
      </c>
      <c r="AH54" s="194">
        <f t="shared" si="2"/>
        <v>0.54545454545454541</v>
      </c>
      <c r="AI54" s="216">
        <f t="shared" si="7"/>
        <v>0.45454545454545453</v>
      </c>
      <c r="AJ54" s="216">
        <f t="shared" si="8"/>
        <v>0.18181818181818182</v>
      </c>
      <c r="AK54" s="905"/>
      <c r="AL54" s="906"/>
      <c r="AM54" s="906"/>
      <c r="AN54" s="907"/>
    </row>
    <row r="55" spans="1:40" ht="12.75" customHeight="1" thickTop="1" thickBot="1">
      <c r="A55" s="28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9"/>
      <c r="AB55" s="958"/>
      <c r="AC55" s="958"/>
      <c r="AD55" s="102"/>
      <c r="AE55" s="103"/>
      <c r="AF55" s="103"/>
      <c r="AG55" s="103"/>
      <c r="AH55" s="103"/>
      <c r="AI55" s="104"/>
      <c r="AJ55" s="104"/>
      <c r="AK55" s="104"/>
      <c r="AL55" s="105"/>
      <c r="AM55" s="105"/>
      <c r="AN55" s="105"/>
    </row>
    <row r="56" spans="1:40" ht="32.25" customHeight="1" thickTop="1">
      <c r="A56" s="26"/>
      <c r="B56" s="27"/>
      <c r="C56" s="947" t="str">
        <f>C26</f>
        <v>Depuis 'Reignier'</v>
      </c>
      <c r="D56" s="948"/>
      <c r="E56" s="948"/>
      <c r="F56" s="948"/>
      <c r="G56" s="948"/>
      <c r="H56" s="948"/>
      <c r="I56" s="948"/>
      <c r="J56" s="948"/>
      <c r="K56" s="948"/>
      <c r="L56" s="948"/>
      <c r="M56" s="948"/>
      <c r="N56" s="948"/>
      <c r="O56" s="590"/>
      <c r="P56" s="947" t="str">
        <f>P26</f>
        <v>Depuis 'Casino'</v>
      </c>
      <c r="Q56" s="948"/>
      <c r="R56" s="948"/>
      <c r="S56" s="948"/>
      <c r="T56" s="948"/>
      <c r="U56" s="948"/>
      <c r="V56" s="948"/>
      <c r="W56" s="948"/>
      <c r="X56" s="948"/>
      <c r="Y56" s="948"/>
      <c r="Z56" s="948"/>
      <c r="AA56" s="949"/>
      <c r="AB56" s="958"/>
      <c r="AC56" s="958"/>
      <c r="AD56" s="102"/>
      <c r="AE56" s="869" t="s">
        <v>108</v>
      </c>
      <c r="AF56" s="869" t="s">
        <v>109</v>
      </c>
      <c r="AG56" s="869" t="s">
        <v>110</v>
      </c>
      <c r="AH56" s="872" t="s">
        <v>113</v>
      </c>
      <c r="AI56" s="872" t="s">
        <v>112</v>
      </c>
      <c r="AJ56" s="872" t="s">
        <v>78</v>
      </c>
      <c r="AK56" s="104"/>
      <c r="AL56" s="105"/>
      <c r="AM56" s="105"/>
      <c r="AN56" s="105"/>
    </row>
    <row r="57" spans="1:40" ht="22.7" customHeight="1">
      <c r="A57" s="26"/>
      <c r="B57" s="27"/>
      <c r="C57" s="944" t="str">
        <f>C27</f>
        <v>vers 'Casino'</v>
      </c>
      <c r="D57" s="945"/>
      <c r="E57" s="945"/>
      <c r="F57" s="945"/>
      <c r="G57" s="944" t="str">
        <f>G27</f>
        <v>vers 'Pers-Jussy'</v>
      </c>
      <c r="H57" s="945"/>
      <c r="I57" s="945"/>
      <c r="J57" s="945"/>
      <c r="K57" s="944" t="str">
        <f>K27</f>
        <v>vers 'La Roche'</v>
      </c>
      <c r="L57" s="945"/>
      <c r="M57" s="945"/>
      <c r="N57" s="945"/>
      <c r="O57" s="588"/>
      <c r="P57" s="944" t="str">
        <f>P27</f>
        <v>vers 'Pers-Jussy'</v>
      </c>
      <c r="Q57" s="945"/>
      <c r="R57" s="945"/>
      <c r="S57" s="945"/>
      <c r="T57" s="944" t="str">
        <f>T27</f>
        <v>vers 'La Roche'</v>
      </c>
      <c r="U57" s="945"/>
      <c r="V57" s="945"/>
      <c r="W57" s="945"/>
      <c r="X57" s="944" t="str">
        <f>X27</f>
        <v>vers 'Reignier'</v>
      </c>
      <c r="Y57" s="945"/>
      <c r="Z57" s="945"/>
      <c r="AA57" s="946"/>
      <c r="AB57" s="958"/>
      <c r="AC57" s="958"/>
      <c r="AD57" s="102"/>
      <c r="AE57" s="870"/>
      <c r="AF57" s="870"/>
      <c r="AG57" s="870"/>
      <c r="AH57" s="873"/>
      <c r="AI57" s="873"/>
      <c r="AJ57" s="873"/>
      <c r="AK57" s="104"/>
      <c r="AL57" s="105"/>
      <c r="AM57" s="105"/>
      <c r="AN57" s="105"/>
    </row>
    <row r="58" spans="1:40" ht="18.600000000000001" customHeight="1" thickBot="1">
      <c r="A58" s="26"/>
      <c r="B58" s="27"/>
      <c r="C58" s="926" t="s">
        <v>4</v>
      </c>
      <c r="D58" s="943"/>
      <c r="E58" s="927" t="s">
        <v>5</v>
      </c>
      <c r="F58" s="925"/>
      <c r="G58" s="925" t="s">
        <v>4</v>
      </c>
      <c r="H58" s="926"/>
      <c r="I58" s="927" t="s">
        <v>5</v>
      </c>
      <c r="J58" s="925"/>
      <c r="K58" s="925" t="s">
        <v>4</v>
      </c>
      <c r="L58" s="926"/>
      <c r="M58" s="927" t="s">
        <v>5</v>
      </c>
      <c r="N58" s="925"/>
      <c r="O58" s="580"/>
      <c r="P58" s="925" t="s">
        <v>4</v>
      </c>
      <c r="Q58" s="926"/>
      <c r="R58" s="927" t="s">
        <v>5</v>
      </c>
      <c r="S58" s="925"/>
      <c r="T58" s="925" t="s">
        <v>4</v>
      </c>
      <c r="U58" s="926"/>
      <c r="V58" s="927" t="s">
        <v>5</v>
      </c>
      <c r="W58" s="925"/>
      <c r="X58" s="925" t="s">
        <v>4</v>
      </c>
      <c r="Y58" s="926"/>
      <c r="Z58" s="943" t="s">
        <v>5</v>
      </c>
      <c r="AA58" s="927"/>
      <c r="AB58" s="958"/>
      <c r="AC58" s="958"/>
      <c r="AD58" s="102"/>
      <c r="AE58" s="870"/>
      <c r="AF58" s="870"/>
      <c r="AG58" s="870"/>
      <c r="AH58" s="873"/>
      <c r="AI58" s="873"/>
      <c r="AJ58" s="873"/>
      <c r="AK58" s="104"/>
      <c r="AL58" s="105"/>
      <c r="AM58" s="105"/>
      <c r="AN58" s="105"/>
    </row>
    <row r="59" spans="1:40" ht="21.75" customHeight="1" thickTop="1">
      <c r="A59" s="931" t="s">
        <v>13</v>
      </c>
      <c r="B59" s="932"/>
      <c r="C59" s="114" t="s">
        <v>8</v>
      </c>
      <c r="D59" s="115" t="s">
        <v>9</v>
      </c>
      <c r="E59" s="116" t="s">
        <v>8</v>
      </c>
      <c r="F59" s="117" t="s">
        <v>9</v>
      </c>
      <c r="G59" s="114" t="s">
        <v>8</v>
      </c>
      <c r="H59" s="115" t="s">
        <v>9</v>
      </c>
      <c r="I59" s="116" t="s">
        <v>8</v>
      </c>
      <c r="J59" s="117" t="s">
        <v>9</v>
      </c>
      <c r="K59" s="114" t="s">
        <v>8</v>
      </c>
      <c r="L59" s="115" t="s">
        <v>9</v>
      </c>
      <c r="M59" s="116" t="s">
        <v>8</v>
      </c>
      <c r="N59" s="117" t="s">
        <v>9</v>
      </c>
      <c r="O59" s="630"/>
      <c r="P59" s="114" t="s">
        <v>8</v>
      </c>
      <c r="Q59" s="115" t="s">
        <v>9</v>
      </c>
      <c r="R59" s="116" t="s">
        <v>8</v>
      </c>
      <c r="S59" s="117" t="s">
        <v>9</v>
      </c>
      <c r="T59" s="114" t="s">
        <v>8</v>
      </c>
      <c r="U59" s="115" t="s">
        <v>9</v>
      </c>
      <c r="V59" s="116" t="s">
        <v>8</v>
      </c>
      <c r="W59" s="117" t="s">
        <v>9</v>
      </c>
      <c r="X59" s="114" t="s">
        <v>8</v>
      </c>
      <c r="Y59" s="115" t="s">
        <v>9</v>
      </c>
      <c r="Z59" s="116" t="s">
        <v>8</v>
      </c>
      <c r="AA59" s="117" t="s">
        <v>9</v>
      </c>
      <c r="AB59" s="958"/>
      <c r="AC59" s="958"/>
      <c r="AD59" s="102"/>
      <c r="AE59" s="871"/>
      <c r="AF59" s="871"/>
      <c r="AG59" s="871"/>
      <c r="AH59" s="874"/>
      <c r="AI59" s="874"/>
      <c r="AJ59" s="874"/>
      <c r="AK59" s="104"/>
      <c r="AL59" s="105"/>
      <c r="AM59" s="105"/>
      <c r="AN59" s="105"/>
    </row>
    <row r="60" spans="1:40" ht="54.95" customHeight="1">
      <c r="A60" s="935" t="s">
        <v>28</v>
      </c>
      <c r="B60" s="936"/>
      <c r="C60" s="75">
        <f t="shared" ref="C60:AA60" si="15">SUM(C30:C33)</f>
        <v>0</v>
      </c>
      <c r="D60" s="76">
        <f t="shared" si="15"/>
        <v>0</v>
      </c>
      <c r="E60" s="77">
        <f t="shared" si="15"/>
        <v>0</v>
      </c>
      <c r="F60" s="78">
        <f t="shared" si="15"/>
        <v>0</v>
      </c>
      <c r="G60" s="75">
        <f t="shared" si="15"/>
        <v>0</v>
      </c>
      <c r="H60" s="76">
        <f t="shared" si="15"/>
        <v>0</v>
      </c>
      <c r="I60" s="77">
        <f t="shared" si="15"/>
        <v>0</v>
      </c>
      <c r="J60" s="78">
        <f t="shared" si="15"/>
        <v>0</v>
      </c>
      <c r="K60" s="75">
        <f t="shared" si="15"/>
        <v>0</v>
      </c>
      <c r="L60" s="76">
        <f t="shared" si="15"/>
        <v>0</v>
      </c>
      <c r="M60" s="77">
        <f t="shared" si="15"/>
        <v>0</v>
      </c>
      <c r="N60" s="78">
        <f t="shared" si="15"/>
        <v>0</v>
      </c>
      <c r="O60" s="631"/>
      <c r="P60" s="75">
        <f t="shared" si="15"/>
        <v>0</v>
      </c>
      <c r="Q60" s="76">
        <f t="shared" si="15"/>
        <v>0</v>
      </c>
      <c r="R60" s="77">
        <f t="shared" si="15"/>
        <v>0</v>
      </c>
      <c r="S60" s="78">
        <f t="shared" si="15"/>
        <v>0</v>
      </c>
      <c r="T60" s="75">
        <f t="shared" si="15"/>
        <v>0</v>
      </c>
      <c r="U60" s="76">
        <f t="shared" si="15"/>
        <v>0</v>
      </c>
      <c r="V60" s="77">
        <f t="shared" si="15"/>
        <v>0</v>
      </c>
      <c r="W60" s="78">
        <f t="shared" si="15"/>
        <v>0</v>
      </c>
      <c r="X60" s="75">
        <f t="shared" si="15"/>
        <v>0</v>
      </c>
      <c r="Y60" s="76">
        <f t="shared" si="15"/>
        <v>0</v>
      </c>
      <c r="Z60" s="77">
        <f t="shared" si="15"/>
        <v>0</v>
      </c>
      <c r="AA60" s="78">
        <f t="shared" si="15"/>
        <v>0</v>
      </c>
      <c r="AB60" s="958"/>
      <c r="AC60" s="958"/>
      <c r="AD60" s="102"/>
      <c r="AE60" s="180">
        <f>(C48+E48+G48+I48+K48+M48+P48+R48+T48+V48+X48+Z48+C60+E60+G60+I60+K60+M60+P60+R60+T60+V60+X60+Z60)</f>
        <v>4</v>
      </c>
      <c r="AF60" s="180">
        <f>(E48+F48+I48+J48+M48+N48+R48+S48+V48+W48+Z48+AA48+E60+F60+I60+J60+M60+N60+R60+S60+V60+W60+Z60+AA60)</f>
        <v>2</v>
      </c>
      <c r="AG60" s="180">
        <f>(E48+I48+M48+R48+V48+Z48+E60+I60+M60+R60+V60+Z60)</f>
        <v>2</v>
      </c>
      <c r="AH60" s="171">
        <f t="shared" ref="AH60:AH66" si="16">SUM(C48:F48,T48:W48,X60:AA60)</f>
        <v>6</v>
      </c>
      <c r="AI60" s="171">
        <f>SUM(P48:AA48)</f>
        <v>2</v>
      </c>
      <c r="AJ60" s="171">
        <f>SUM(C48:N48)</f>
        <v>4</v>
      </c>
      <c r="AK60" s="104"/>
      <c r="AL60" s="105"/>
      <c r="AM60" s="105"/>
      <c r="AN60" s="105"/>
    </row>
    <row r="61" spans="1:40" ht="54.95" customHeight="1">
      <c r="A61" s="939" t="s">
        <v>11</v>
      </c>
      <c r="B61" s="940"/>
      <c r="C61" s="79">
        <f t="shared" ref="C61:AA61" si="17">SUM(C32:C35)</f>
        <v>0</v>
      </c>
      <c r="D61" s="80">
        <f t="shared" si="17"/>
        <v>0</v>
      </c>
      <c r="E61" s="81">
        <f t="shared" si="17"/>
        <v>0</v>
      </c>
      <c r="F61" s="82">
        <f t="shared" si="17"/>
        <v>0</v>
      </c>
      <c r="G61" s="79">
        <f t="shared" si="17"/>
        <v>0</v>
      </c>
      <c r="H61" s="80">
        <f t="shared" si="17"/>
        <v>0</v>
      </c>
      <c r="I61" s="81">
        <f t="shared" si="17"/>
        <v>0</v>
      </c>
      <c r="J61" s="82">
        <f t="shared" si="17"/>
        <v>0</v>
      </c>
      <c r="K61" s="79">
        <f t="shared" si="17"/>
        <v>0</v>
      </c>
      <c r="L61" s="80">
        <f t="shared" si="17"/>
        <v>0</v>
      </c>
      <c r="M61" s="81">
        <f t="shared" si="17"/>
        <v>0</v>
      </c>
      <c r="N61" s="82">
        <f t="shared" si="17"/>
        <v>0</v>
      </c>
      <c r="O61" s="632"/>
      <c r="P61" s="79">
        <f t="shared" si="17"/>
        <v>0</v>
      </c>
      <c r="Q61" s="80">
        <f t="shared" si="17"/>
        <v>0</v>
      </c>
      <c r="R61" s="81">
        <f t="shared" si="17"/>
        <v>0</v>
      </c>
      <c r="S61" s="82">
        <f t="shared" si="17"/>
        <v>0</v>
      </c>
      <c r="T61" s="79">
        <f t="shared" si="17"/>
        <v>0</v>
      </c>
      <c r="U61" s="80">
        <f t="shared" si="17"/>
        <v>0</v>
      </c>
      <c r="V61" s="81">
        <f t="shared" si="17"/>
        <v>0</v>
      </c>
      <c r="W61" s="82">
        <f t="shared" si="17"/>
        <v>0</v>
      </c>
      <c r="X61" s="79">
        <f t="shared" si="17"/>
        <v>0</v>
      </c>
      <c r="Y61" s="80">
        <f t="shared" si="17"/>
        <v>0</v>
      </c>
      <c r="Z61" s="81">
        <f t="shared" si="17"/>
        <v>0</v>
      </c>
      <c r="AA61" s="82">
        <f t="shared" si="17"/>
        <v>0</v>
      </c>
      <c r="AB61" s="958"/>
      <c r="AC61" s="958"/>
      <c r="AD61" s="102"/>
      <c r="AE61" s="181">
        <f t="shared" ref="AE61:AE66" si="18">(C49+E49+G49+I49+K49+M49+P49+R49+T49+V49+X49+Z49+C61+E61+G61+I61+K61+M61+P61+R61+T61+V61+X61+Z61)</f>
        <v>7</v>
      </c>
      <c r="AF61" s="181">
        <f t="shared" ref="AF61:AF66" si="19">(E49+F49+I49+J49+M49+N49+R49+S49+V49+W49+Z49+AA49+E61+F61+I61+J61+M61+N61+R61+S61+V61+W61+Z61+AA61)</f>
        <v>3</v>
      </c>
      <c r="AG61" s="181">
        <f t="shared" ref="AG61:AG66" si="20">(E49+I49+M49+R49+V49+Z49+E61+I61+M61+R61+V61+Z61)</f>
        <v>3</v>
      </c>
      <c r="AH61" s="173">
        <f t="shared" si="16"/>
        <v>10</v>
      </c>
      <c r="AI61" s="173">
        <f t="shared" ref="AI61:AI66" si="21">SUM(P49:AA49)</f>
        <v>5</v>
      </c>
      <c r="AJ61" s="173">
        <f t="shared" ref="AJ61:AJ66" si="22">SUM(C49:N49)</f>
        <v>5</v>
      </c>
      <c r="AK61" s="104"/>
      <c r="AL61" s="105"/>
      <c r="AM61" s="105"/>
      <c r="AN61" s="105"/>
    </row>
    <row r="62" spans="1:40" ht="54.95" customHeight="1">
      <c r="A62" s="939" t="s">
        <v>17</v>
      </c>
      <c r="B62" s="940"/>
      <c r="C62" s="79">
        <f t="shared" ref="C62:AA62" si="23">SUM(C34:C37)</f>
        <v>0</v>
      </c>
      <c r="D62" s="80">
        <f t="shared" si="23"/>
        <v>0</v>
      </c>
      <c r="E62" s="81">
        <f t="shared" si="23"/>
        <v>0</v>
      </c>
      <c r="F62" s="82">
        <f t="shared" si="23"/>
        <v>0</v>
      </c>
      <c r="G62" s="79">
        <f t="shared" si="23"/>
        <v>0</v>
      </c>
      <c r="H62" s="80">
        <f t="shared" si="23"/>
        <v>0</v>
      </c>
      <c r="I62" s="81">
        <f t="shared" si="23"/>
        <v>1</v>
      </c>
      <c r="J62" s="82">
        <f t="shared" si="23"/>
        <v>0</v>
      </c>
      <c r="K62" s="79">
        <f t="shared" si="23"/>
        <v>0</v>
      </c>
      <c r="L62" s="80">
        <f t="shared" si="23"/>
        <v>0</v>
      </c>
      <c r="M62" s="81">
        <f t="shared" si="23"/>
        <v>0</v>
      </c>
      <c r="N62" s="82">
        <f t="shared" si="23"/>
        <v>0</v>
      </c>
      <c r="O62" s="632"/>
      <c r="P62" s="79">
        <f t="shared" si="23"/>
        <v>1</v>
      </c>
      <c r="Q62" s="80">
        <f t="shared" si="23"/>
        <v>0</v>
      </c>
      <c r="R62" s="81">
        <f t="shared" si="23"/>
        <v>0</v>
      </c>
      <c r="S62" s="82">
        <f t="shared" si="23"/>
        <v>0</v>
      </c>
      <c r="T62" s="79">
        <f t="shared" si="23"/>
        <v>0</v>
      </c>
      <c r="U62" s="80">
        <f t="shared" si="23"/>
        <v>0</v>
      </c>
      <c r="V62" s="81">
        <f t="shared" si="23"/>
        <v>0</v>
      </c>
      <c r="W62" s="82">
        <f t="shared" si="23"/>
        <v>0</v>
      </c>
      <c r="X62" s="79">
        <f t="shared" si="23"/>
        <v>0</v>
      </c>
      <c r="Y62" s="80">
        <f t="shared" si="23"/>
        <v>0</v>
      </c>
      <c r="Z62" s="81">
        <f t="shared" si="23"/>
        <v>0</v>
      </c>
      <c r="AA62" s="82">
        <f t="shared" si="23"/>
        <v>0</v>
      </c>
      <c r="AB62" s="958"/>
      <c r="AC62" s="958"/>
      <c r="AD62" s="102"/>
      <c r="AE62" s="181">
        <f t="shared" si="18"/>
        <v>7</v>
      </c>
      <c r="AF62" s="181">
        <f t="shared" si="19"/>
        <v>3</v>
      </c>
      <c r="AG62" s="181">
        <f t="shared" si="20"/>
        <v>3</v>
      </c>
      <c r="AH62" s="173">
        <f t="shared" si="16"/>
        <v>7</v>
      </c>
      <c r="AI62" s="173">
        <f t="shared" si="21"/>
        <v>6</v>
      </c>
      <c r="AJ62" s="173">
        <f t="shared" si="22"/>
        <v>2</v>
      </c>
      <c r="AK62" s="104"/>
      <c r="AL62" s="105"/>
      <c r="AM62" s="105"/>
      <c r="AN62" s="105"/>
    </row>
    <row r="63" spans="1:40" ht="54.95" customHeight="1">
      <c r="A63" s="939" t="s">
        <v>10</v>
      </c>
      <c r="B63" s="940"/>
      <c r="C63" s="79">
        <f t="shared" ref="C63:AA63" si="24">SUM(C36:C39)</f>
        <v>0</v>
      </c>
      <c r="D63" s="80">
        <f t="shared" si="24"/>
        <v>1</v>
      </c>
      <c r="E63" s="81">
        <f t="shared" si="24"/>
        <v>0</v>
      </c>
      <c r="F63" s="82">
        <f t="shared" si="24"/>
        <v>0</v>
      </c>
      <c r="G63" s="79">
        <f t="shared" si="24"/>
        <v>0</v>
      </c>
      <c r="H63" s="80">
        <f t="shared" si="24"/>
        <v>0</v>
      </c>
      <c r="I63" s="81">
        <f t="shared" si="24"/>
        <v>1</v>
      </c>
      <c r="J63" s="82">
        <f t="shared" si="24"/>
        <v>0</v>
      </c>
      <c r="K63" s="79">
        <f t="shared" si="24"/>
        <v>0</v>
      </c>
      <c r="L63" s="80">
        <f t="shared" si="24"/>
        <v>1</v>
      </c>
      <c r="M63" s="81">
        <f t="shared" si="24"/>
        <v>0</v>
      </c>
      <c r="N63" s="82">
        <f t="shared" si="24"/>
        <v>0</v>
      </c>
      <c r="O63" s="632"/>
      <c r="P63" s="79">
        <f t="shared" si="24"/>
        <v>1</v>
      </c>
      <c r="Q63" s="80">
        <f t="shared" si="24"/>
        <v>0</v>
      </c>
      <c r="R63" s="81">
        <f t="shared" si="24"/>
        <v>0</v>
      </c>
      <c r="S63" s="82">
        <f t="shared" si="24"/>
        <v>0</v>
      </c>
      <c r="T63" s="79">
        <f t="shared" si="24"/>
        <v>0</v>
      </c>
      <c r="U63" s="80">
        <f t="shared" si="24"/>
        <v>0</v>
      </c>
      <c r="V63" s="81">
        <f t="shared" si="24"/>
        <v>0</v>
      </c>
      <c r="W63" s="82">
        <f t="shared" si="24"/>
        <v>0</v>
      </c>
      <c r="X63" s="79">
        <f t="shared" si="24"/>
        <v>0</v>
      </c>
      <c r="Y63" s="80">
        <f t="shared" si="24"/>
        <v>0</v>
      </c>
      <c r="Z63" s="81">
        <f t="shared" si="24"/>
        <v>0</v>
      </c>
      <c r="AA63" s="82">
        <f t="shared" si="24"/>
        <v>0</v>
      </c>
      <c r="AB63" s="958"/>
      <c r="AC63" s="958"/>
      <c r="AD63" s="102"/>
      <c r="AE63" s="181">
        <f t="shared" si="18"/>
        <v>5</v>
      </c>
      <c r="AF63" s="181">
        <f t="shared" si="19"/>
        <v>4</v>
      </c>
      <c r="AG63" s="181">
        <f t="shared" si="20"/>
        <v>3</v>
      </c>
      <c r="AH63" s="173">
        <f t="shared" si="16"/>
        <v>6</v>
      </c>
      <c r="AI63" s="173">
        <f t="shared" si="21"/>
        <v>5</v>
      </c>
      <c r="AJ63" s="173">
        <f t="shared" si="22"/>
        <v>2</v>
      </c>
      <c r="AK63" s="104"/>
      <c r="AL63" s="105"/>
      <c r="AM63" s="105"/>
      <c r="AN63" s="105"/>
    </row>
    <row r="64" spans="1:40" ht="54.95" customHeight="1">
      <c r="A64" s="959" t="s">
        <v>29</v>
      </c>
      <c r="B64" s="960"/>
      <c r="C64" s="83">
        <f t="shared" ref="C64:AA64" si="25">SUM(C38:C41)</f>
        <v>0</v>
      </c>
      <c r="D64" s="84">
        <f t="shared" si="25"/>
        <v>1</v>
      </c>
      <c r="E64" s="85">
        <f t="shared" si="25"/>
        <v>0</v>
      </c>
      <c r="F64" s="86">
        <f t="shared" si="25"/>
        <v>0</v>
      </c>
      <c r="G64" s="83">
        <f t="shared" si="25"/>
        <v>0</v>
      </c>
      <c r="H64" s="84">
        <f t="shared" si="25"/>
        <v>0</v>
      </c>
      <c r="I64" s="85">
        <f t="shared" si="25"/>
        <v>0</v>
      </c>
      <c r="J64" s="86">
        <f t="shared" si="25"/>
        <v>0</v>
      </c>
      <c r="K64" s="83">
        <f t="shared" si="25"/>
        <v>0</v>
      </c>
      <c r="L64" s="84">
        <f t="shared" si="25"/>
        <v>1</v>
      </c>
      <c r="M64" s="85">
        <f t="shared" si="25"/>
        <v>0</v>
      </c>
      <c r="N64" s="86">
        <f t="shared" si="25"/>
        <v>0</v>
      </c>
      <c r="O64" s="633"/>
      <c r="P64" s="83">
        <f t="shared" si="25"/>
        <v>0</v>
      </c>
      <c r="Q64" s="84">
        <f t="shared" si="25"/>
        <v>0</v>
      </c>
      <c r="R64" s="85">
        <f t="shared" si="25"/>
        <v>0</v>
      </c>
      <c r="S64" s="86">
        <f t="shared" si="25"/>
        <v>0</v>
      </c>
      <c r="T64" s="83">
        <f t="shared" si="25"/>
        <v>0</v>
      </c>
      <c r="U64" s="84">
        <f t="shared" si="25"/>
        <v>0</v>
      </c>
      <c r="V64" s="85">
        <f t="shared" si="25"/>
        <v>0</v>
      </c>
      <c r="W64" s="86">
        <f t="shared" si="25"/>
        <v>0</v>
      </c>
      <c r="X64" s="83">
        <f t="shared" si="25"/>
        <v>0</v>
      </c>
      <c r="Y64" s="84">
        <f t="shared" si="25"/>
        <v>0</v>
      </c>
      <c r="Z64" s="85">
        <f t="shared" si="25"/>
        <v>0</v>
      </c>
      <c r="AA64" s="86">
        <f t="shared" si="25"/>
        <v>0</v>
      </c>
      <c r="AB64" s="958"/>
      <c r="AC64" s="958"/>
      <c r="AD64" s="102"/>
      <c r="AE64" s="182">
        <f t="shared" si="18"/>
        <v>1</v>
      </c>
      <c r="AF64" s="182">
        <f t="shared" si="19"/>
        <v>2</v>
      </c>
      <c r="AG64" s="182">
        <f t="shared" si="20"/>
        <v>1</v>
      </c>
      <c r="AH64" s="175">
        <f t="shared" si="16"/>
        <v>3</v>
      </c>
      <c r="AI64" s="175">
        <f t="shared" si="21"/>
        <v>2</v>
      </c>
      <c r="AJ64" s="175">
        <f t="shared" si="22"/>
        <v>1</v>
      </c>
      <c r="AK64" s="104"/>
      <c r="AL64" s="105"/>
      <c r="AM64" s="105"/>
      <c r="AN64" s="105"/>
    </row>
    <row r="65" spans="1:44" ht="54.95" customHeight="1">
      <c r="A65" s="950" t="s">
        <v>12</v>
      </c>
      <c r="B65" s="951"/>
      <c r="C65" s="87">
        <f t="shared" ref="C65:AA65" si="26">SUM(C30:C41)</f>
        <v>0</v>
      </c>
      <c r="D65" s="88">
        <f t="shared" si="26"/>
        <v>1</v>
      </c>
      <c r="E65" s="89">
        <f t="shared" si="26"/>
        <v>0</v>
      </c>
      <c r="F65" s="90">
        <f t="shared" si="26"/>
        <v>0</v>
      </c>
      <c r="G65" s="87">
        <f t="shared" si="26"/>
        <v>0</v>
      </c>
      <c r="H65" s="88">
        <f t="shared" si="26"/>
        <v>0</v>
      </c>
      <c r="I65" s="89">
        <f t="shared" si="26"/>
        <v>1</v>
      </c>
      <c r="J65" s="90">
        <f t="shared" si="26"/>
        <v>0</v>
      </c>
      <c r="K65" s="87">
        <f t="shared" si="26"/>
        <v>0</v>
      </c>
      <c r="L65" s="88">
        <f t="shared" si="26"/>
        <v>1</v>
      </c>
      <c r="M65" s="89">
        <f t="shared" si="26"/>
        <v>0</v>
      </c>
      <c r="N65" s="90">
        <f t="shared" si="26"/>
        <v>0</v>
      </c>
      <c r="O65" s="634"/>
      <c r="P65" s="87">
        <f t="shared" si="26"/>
        <v>1</v>
      </c>
      <c r="Q65" s="88">
        <f t="shared" si="26"/>
        <v>0</v>
      </c>
      <c r="R65" s="89">
        <f t="shared" si="26"/>
        <v>0</v>
      </c>
      <c r="S65" s="90">
        <f t="shared" si="26"/>
        <v>0</v>
      </c>
      <c r="T65" s="87">
        <f t="shared" si="26"/>
        <v>0</v>
      </c>
      <c r="U65" s="88">
        <f t="shared" si="26"/>
        <v>0</v>
      </c>
      <c r="V65" s="89">
        <f t="shared" si="26"/>
        <v>0</v>
      </c>
      <c r="W65" s="90">
        <f t="shared" si="26"/>
        <v>0</v>
      </c>
      <c r="X65" s="87">
        <f t="shared" si="26"/>
        <v>0</v>
      </c>
      <c r="Y65" s="88">
        <f t="shared" si="26"/>
        <v>0</v>
      </c>
      <c r="Z65" s="89">
        <f t="shared" si="26"/>
        <v>0</v>
      </c>
      <c r="AA65" s="90">
        <f t="shared" si="26"/>
        <v>0</v>
      </c>
      <c r="AB65" s="105"/>
      <c r="AC65" s="105"/>
      <c r="AD65" s="105"/>
      <c r="AE65" s="223">
        <f t="shared" si="18"/>
        <v>12</v>
      </c>
      <c r="AF65" s="223">
        <f t="shared" si="19"/>
        <v>7</v>
      </c>
      <c r="AG65" s="223">
        <f t="shared" si="20"/>
        <v>6</v>
      </c>
      <c r="AH65" s="224">
        <f t="shared" si="16"/>
        <v>16</v>
      </c>
      <c r="AI65" s="224">
        <f t="shared" si="21"/>
        <v>10</v>
      </c>
      <c r="AJ65" s="224">
        <f t="shared" si="22"/>
        <v>7</v>
      </c>
      <c r="AK65" s="105"/>
      <c r="AL65" s="105"/>
      <c r="AM65" s="105"/>
      <c r="AN65" s="105"/>
    </row>
    <row r="66" spans="1:44" ht="54.95" customHeight="1" thickBot="1">
      <c r="A66" s="954" t="str">
        <f>IF($AD$48=MAX($AD$48:$AD$52),A60,IF($AD$49=MAX($AD$48:$AD$52),A61,IF($AD$50=MAX($AD$48:$AD$52),A62,IF($AD$51=MAX($AD$48:$AD$52),A63,A64))))</f>
        <v>de 8:00 à 9:00</v>
      </c>
      <c r="B66" s="955"/>
      <c r="C66" s="93">
        <f t="shared" ref="C66:AA66" si="27">IF($AD$48=MAX($AD$48:$AD$52),C60,IF($AD$49=MAX($AD$48:$AD$52),C61,IF($AD$50=MAX($AD$48:$AD$52),C62,IF($AD$51=MAX($AD$48:$AD$52),C63,C64))))</f>
        <v>0</v>
      </c>
      <c r="D66" s="94">
        <f t="shared" si="27"/>
        <v>1</v>
      </c>
      <c r="E66" s="95">
        <f t="shared" si="27"/>
        <v>0</v>
      </c>
      <c r="F66" s="96">
        <f t="shared" si="27"/>
        <v>0</v>
      </c>
      <c r="G66" s="93">
        <f t="shared" si="27"/>
        <v>0</v>
      </c>
      <c r="H66" s="94">
        <f t="shared" si="27"/>
        <v>0</v>
      </c>
      <c r="I66" s="95">
        <f t="shared" si="27"/>
        <v>1</v>
      </c>
      <c r="J66" s="96">
        <f t="shared" si="27"/>
        <v>0</v>
      </c>
      <c r="K66" s="93">
        <f t="shared" si="27"/>
        <v>0</v>
      </c>
      <c r="L66" s="94">
        <f t="shared" si="27"/>
        <v>1</v>
      </c>
      <c r="M66" s="95">
        <f t="shared" si="27"/>
        <v>0</v>
      </c>
      <c r="N66" s="96">
        <f t="shared" si="27"/>
        <v>0</v>
      </c>
      <c r="O66" s="635"/>
      <c r="P66" s="93">
        <f t="shared" si="27"/>
        <v>1</v>
      </c>
      <c r="Q66" s="94">
        <f t="shared" si="27"/>
        <v>0</v>
      </c>
      <c r="R66" s="95">
        <f t="shared" si="27"/>
        <v>0</v>
      </c>
      <c r="S66" s="96">
        <f t="shared" si="27"/>
        <v>0</v>
      </c>
      <c r="T66" s="93">
        <f t="shared" si="27"/>
        <v>0</v>
      </c>
      <c r="U66" s="94">
        <f t="shared" si="27"/>
        <v>0</v>
      </c>
      <c r="V66" s="95">
        <f t="shared" si="27"/>
        <v>0</v>
      </c>
      <c r="W66" s="96">
        <f t="shared" si="27"/>
        <v>0</v>
      </c>
      <c r="X66" s="93">
        <f t="shared" si="27"/>
        <v>0</v>
      </c>
      <c r="Y66" s="94">
        <f t="shared" si="27"/>
        <v>0</v>
      </c>
      <c r="Z66" s="95">
        <f t="shared" si="27"/>
        <v>0</v>
      </c>
      <c r="AA66" s="96">
        <f t="shared" si="27"/>
        <v>0</v>
      </c>
      <c r="AB66" s="105"/>
      <c r="AC66" s="105"/>
      <c r="AD66" s="105"/>
      <c r="AE66" s="225">
        <f t="shared" si="18"/>
        <v>5</v>
      </c>
      <c r="AF66" s="225">
        <f t="shared" si="19"/>
        <v>4</v>
      </c>
      <c r="AG66" s="225">
        <f t="shared" si="20"/>
        <v>3</v>
      </c>
      <c r="AH66" s="226">
        <f t="shared" si="16"/>
        <v>6</v>
      </c>
      <c r="AI66" s="226">
        <f t="shared" si="21"/>
        <v>5</v>
      </c>
      <c r="AJ66" s="226">
        <f t="shared" si="22"/>
        <v>2</v>
      </c>
      <c r="AK66" s="105"/>
      <c r="AL66" s="105"/>
      <c r="AM66" s="105"/>
      <c r="AN66" s="105"/>
    </row>
    <row r="67" spans="1:44" ht="9" customHeight="1" thickTop="1">
      <c r="A67" s="106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106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106"/>
      <c r="AN67" s="61"/>
      <c r="AO67" s="7"/>
      <c r="AP67" s="7"/>
      <c r="AQ67" s="7"/>
      <c r="AR67" s="7"/>
    </row>
  </sheetData>
  <mergeCells count="142">
    <mergeCell ref="A32:A35"/>
    <mergeCell ref="A36:A39"/>
    <mergeCell ref="A17:A20"/>
    <mergeCell ref="A13:A16"/>
    <mergeCell ref="X58:Y58"/>
    <mergeCell ref="Z58:AA58"/>
    <mergeCell ref="AB58:AC58"/>
    <mergeCell ref="A59:B59"/>
    <mergeCell ref="AB59:AC59"/>
    <mergeCell ref="AB57:AC57"/>
    <mergeCell ref="C58:D58"/>
    <mergeCell ref="E58:F58"/>
    <mergeCell ref="G58:H58"/>
    <mergeCell ref="I58:J58"/>
    <mergeCell ref="K58:L58"/>
    <mergeCell ref="M58:N58"/>
    <mergeCell ref="P58:Q58"/>
    <mergeCell ref="R58:S58"/>
    <mergeCell ref="T58:U58"/>
    <mergeCell ref="C57:F57"/>
    <mergeCell ref="G57:J57"/>
    <mergeCell ref="K57:N57"/>
    <mergeCell ref="P57:S57"/>
    <mergeCell ref="T57:W57"/>
    <mergeCell ref="V58:W58"/>
    <mergeCell ref="X57:AA57"/>
    <mergeCell ref="A63:B63"/>
    <mergeCell ref="AB63:AC63"/>
    <mergeCell ref="A64:B64"/>
    <mergeCell ref="AB64:AC64"/>
    <mergeCell ref="A65:B65"/>
    <mergeCell ref="A66:B66"/>
    <mergeCell ref="A60:B60"/>
    <mergeCell ref="AB60:AC60"/>
    <mergeCell ref="A61:B61"/>
    <mergeCell ref="AB61:AC61"/>
    <mergeCell ref="A62:B62"/>
    <mergeCell ref="AB62:AC62"/>
    <mergeCell ref="A53:B53"/>
    <mergeCell ref="AB53:AC53"/>
    <mergeCell ref="A54:B54"/>
    <mergeCell ref="AB54:AC54"/>
    <mergeCell ref="AB55:AC55"/>
    <mergeCell ref="C56:N56"/>
    <mergeCell ref="P56:AA56"/>
    <mergeCell ref="AB56:AC56"/>
    <mergeCell ref="A50:B50"/>
    <mergeCell ref="AB50:AC50"/>
    <mergeCell ref="A51:B51"/>
    <mergeCell ref="AB51:AC51"/>
    <mergeCell ref="A52:B52"/>
    <mergeCell ref="AB52:AC52"/>
    <mergeCell ref="A47:B47"/>
    <mergeCell ref="AB47:AC47"/>
    <mergeCell ref="A48:B48"/>
    <mergeCell ref="AB48:AC48"/>
    <mergeCell ref="A49:B49"/>
    <mergeCell ref="AB49:AC49"/>
    <mergeCell ref="AG44:AG47"/>
    <mergeCell ref="E46:F46"/>
    <mergeCell ref="G46:H46"/>
    <mergeCell ref="I46:J46"/>
    <mergeCell ref="K46:L46"/>
    <mergeCell ref="Z46:AA46"/>
    <mergeCell ref="C45:F45"/>
    <mergeCell ref="G45:J45"/>
    <mergeCell ref="K45:N45"/>
    <mergeCell ref="P45:S45"/>
    <mergeCell ref="T45:W45"/>
    <mergeCell ref="X45:AA45"/>
    <mergeCell ref="C46:D46"/>
    <mergeCell ref="C44:N44"/>
    <mergeCell ref="P44:AA44"/>
    <mergeCell ref="M46:N46"/>
    <mergeCell ref="P46:Q46"/>
    <mergeCell ref="R46:S46"/>
    <mergeCell ref="T46:U46"/>
    <mergeCell ref="V46:W46"/>
    <mergeCell ref="X46:Y46"/>
    <mergeCell ref="AD44:AD47"/>
    <mergeCell ref="AE44:AE47"/>
    <mergeCell ref="AF44:AF47"/>
    <mergeCell ref="V28:W28"/>
    <mergeCell ref="X28:Y28"/>
    <mergeCell ref="Z28:AA28"/>
    <mergeCell ref="C28:D28"/>
    <mergeCell ref="E28:F28"/>
    <mergeCell ref="G28:H28"/>
    <mergeCell ref="I28:J28"/>
    <mergeCell ref="K28:L28"/>
    <mergeCell ref="M28:N28"/>
    <mergeCell ref="C9:D9"/>
    <mergeCell ref="E9:F9"/>
    <mergeCell ref="G9:H9"/>
    <mergeCell ref="I9:J9"/>
    <mergeCell ref="K9:L9"/>
    <mergeCell ref="M9:N9"/>
    <mergeCell ref="P28:Q28"/>
    <mergeCell ref="R28:S28"/>
    <mergeCell ref="T28:U28"/>
    <mergeCell ref="P27:S27"/>
    <mergeCell ref="T27:W27"/>
    <mergeCell ref="X27:AA27"/>
    <mergeCell ref="P9:Q9"/>
    <mergeCell ref="R9:S9"/>
    <mergeCell ref="T9:U9"/>
    <mergeCell ref="V9:W9"/>
    <mergeCell ref="X9:Y9"/>
    <mergeCell ref="Z9:AA9"/>
    <mergeCell ref="AK44:AN47"/>
    <mergeCell ref="AK48:AN48"/>
    <mergeCell ref="AK49:AN49"/>
    <mergeCell ref="AK50:AN50"/>
    <mergeCell ref="AK51:AN51"/>
    <mergeCell ref="AK52:AN52"/>
    <mergeCell ref="AK53:AN53"/>
    <mergeCell ref="AK54:AN54"/>
    <mergeCell ref="AJ56:AJ59"/>
    <mergeCell ref="C5:N5"/>
    <mergeCell ref="C24:N24"/>
    <mergeCell ref="R5:AA5"/>
    <mergeCell ref="AE56:AE59"/>
    <mergeCell ref="AF56:AF59"/>
    <mergeCell ref="AG56:AG59"/>
    <mergeCell ref="AI56:AI59"/>
    <mergeCell ref="AI44:AI47"/>
    <mergeCell ref="AJ44:AJ47"/>
    <mergeCell ref="AH44:AH47"/>
    <mergeCell ref="AH56:AH59"/>
    <mergeCell ref="C7:N7"/>
    <mergeCell ref="P7:AA7"/>
    <mergeCell ref="C8:F8"/>
    <mergeCell ref="G8:J8"/>
    <mergeCell ref="K8:N8"/>
    <mergeCell ref="P8:S8"/>
    <mergeCell ref="T8:W8"/>
    <mergeCell ref="X8:AA8"/>
    <mergeCell ref="C26:N26"/>
    <mergeCell ref="P26:AA26"/>
    <mergeCell ref="C27:F27"/>
    <mergeCell ref="G27:J27"/>
    <mergeCell ref="K27:N27"/>
  </mergeCells>
  <pageMargins left="0.19685039370078741" right="0.19685039370078741" top="0.39370078740157483" bottom="0.39370078740157483" header="0.59055118110236227" footer="0.59055118110236227"/>
  <pageSetup paperSize="9" scale="38" pageOrder="overThenDown" orientation="landscape" useFirstPageNumber="1" r:id="rId1"/>
  <headerFooter alignWithMargins="0"/>
  <rowBreaks count="2" manualBreakCount="2">
    <brk id="39" max="26" man="1"/>
    <brk id="67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N48"/>
  <sheetViews>
    <sheetView view="pageBreakPreview" zoomScale="55" zoomScaleNormal="40" zoomScaleSheetLayoutView="55" workbookViewId="0">
      <selection activeCell="AB13" sqref="AB13"/>
    </sheetView>
  </sheetViews>
  <sheetFormatPr baseColWidth="10" defaultRowHeight="14.25" outlineLevelRow="1"/>
  <cols>
    <col min="1" max="1" width="9.125" style="8" customWidth="1"/>
    <col min="2" max="2" width="13.75" style="8" customWidth="1"/>
    <col min="3" max="10" width="12.875" style="8" customWidth="1"/>
    <col min="11" max="11" width="2.625" style="8" customWidth="1"/>
    <col min="12" max="19" width="12.875" style="8" customWidth="1"/>
    <col min="20" max="20" width="2.625" style="8" customWidth="1"/>
    <col min="21" max="28" width="12.875" style="8" customWidth="1"/>
    <col min="29" max="29" width="9.125" style="8" customWidth="1"/>
    <col min="30" max="30" width="13.75" style="8" customWidth="1"/>
    <col min="31" max="38" width="21.125" style="8" customWidth="1"/>
    <col min="39" max="39" width="82.625" style="8" customWidth="1"/>
    <col min="40" max="40" width="21.125" style="8" customWidth="1"/>
    <col min="41" max="45" width="10.625" style="8" customWidth="1"/>
    <col min="46" max="16384" width="11" style="8"/>
  </cols>
  <sheetData>
    <row r="1" spans="1:38" ht="52.5" customHeight="1" thickBot="1">
      <c r="A1" s="283" t="s">
        <v>89</v>
      </c>
      <c r="B1" s="757" t="s">
        <v>126</v>
      </c>
      <c r="C1" s="758"/>
      <c r="D1" s="758"/>
      <c r="E1" s="758"/>
      <c r="F1" s="286"/>
      <c r="G1" s="286"/>
      <c r="H1" s="758"/>
      <c r="I1" s="758"/>
      <c r="J1" s="286"/>
      <c r="K1" s="286"/>
      <c r="L1" s="286"/>
      <c r="M1" s="240" t="s">
        <v>30</v>
      </c>
      <c r="N1" s="241" t="s">
        <v>139</v>
      </c>
      <c r="O1" s="241"/>
      <c r="P1" s="758"/>
      <c r="Q1" s="758"/>
      <c r="R1" s="758"/>
      <c r="S1" s="758"/>
      <c r="T1" s="758"/>
      <c r="U1" s="758"/>
      <c r="V1" s="758"/>
      <c r="W1" s="758"/>
      <c r="X1" s="770"/>
      <c r="Y1" s="289"/>
      <c r="Z1" s="289"/>
      <c r="AA1" s="289"/>
      <c r="AB1" s="290"/>
    </row>
    <row r="2" spans="1:38" ht="52.5" customHeight="1" thickBot="1">
      <c r="A2" s="227" t="s">
        <v>2</v>
      </c>
      <c r="B2" s="228"/>
      <c r="C2" s="228"/>
      <c r="D2" s="228"/>
      <c r="E2" s="228"/>
      <c r="F2" s="228"/>
      <c r="G2" s="757" t="s">
        <v>147</v>
      </c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70"/>
      <c r="Y2" s="228"/>
      <c r="Z2" s="228"/>
      <c r="AA2" s="228"/>
      <c r="AB2" s="228"/>
    </row>
    <row r="3" spans="1:38" ht="52.5" customHeight="1" thickBot="1">
      <c r="A3" s="227" t="s">
        <v>3</v>
      </c>
      <c r="B3" s="228"/>
      <c r="C3" s="757" t="s">
        <v>151</v>
      </c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70"/>
      <c r="Y3" s="228"/>
      <c r="Z3" s="228"/>
      <c r="AA3" s="228"/>
      <c r="AB3" s="245"/>
    </row>
    <row r="4" spans="1:38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45"/>
    </row>
    <row r="5" spans="1:38" s="642" customFormat="1" ht="75" customHeight="1">
      <c r="A5" s="639" t="s">
        <v>27</v>
      </c>
      <c r="B5" s="640"/>
      <c r="C5" s="866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755"/>
      <c r="AC5" s="755"/>
    </row>
    <row r="6" spans="1:38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597"/>
      <c r="L6" s="228"/>
      <c r="M6" s="228"/>
      <c r="N6" s="228"/>
      <c r="O6" s="228"/>
      <c r="P6" s="228"/>
      <c r="Q6" s="228"/>
      <c r="R6" s="228"/>
      <c r="S6" s="245"/>
      <c r="T6" s="598"/>
      <c r="U6" s="228"/>
      <c r="V6" s="228"/>
      <c r="W6" s="228"/>
      <c r="X6" s="228"/>
      <c r="Y6" s="228"/>
      <c r="Z6" s="228"/>
      <c r="AA6" s="228"/>
      <c r="AB6" s="245"/>
    </row>
    <row r="7" spans="1:38" ht="32.25" customHeight="1" thickTop="1">
      <c r="A7" s="227"/>
      <c r="B7" s="228"/>
      <c r="C7" s="875" t="s">
        <v>85</v>
      </c>
      <c r="D7" s="876"/>
      <c r="E7" s="876"/>
      <c r="F7" s="876"/>
      <c r="G7" s="876"/>
      <c r="H7" s="876"/>
      <c r="I7" s="876"/>
      <c r="J7" s="876"/>
      <c r="K7" s="664"/>
      <c r="L7" s="876" t="s">
        <v>59</v>
      </c>
      <c r="M7" s="876"/>
      <c r="N7" s="876"/>
      <c r="O7" s="876"/>
      <c r="P7" s="876"/>
      <c r="Q7" s="876"/>
      <c r="R7" s="876"/>
      <c r="S7" s="877"/>
      <c r="T7" s="665"/>
      <c r="U7" s="876" t="s">
        <v>127</v>
      </c>
      <c r="V7" s="876"/>
      <c r="W7" s="876"/>
      <c r="X7" s="876"/>
      <c r="Y7" s="876"/>
      <c r="Z7" s="876"/>
      <c r="AA7" s="876"/>
      <c r="AB7" s="877"/>
      <c r="AC7" s="765"/>
      <c r="AD7" s="765"/>
      <c r="AF7" s="9"/>
      <c r="AG7" s="9"/>
      <c r="AH7" s="9"/>
      <c r="AI7" s="9"/>
      <c r="AJ7" s="9"/>
      <c r="AK7" s="9"/>
      <c r="AL7" s="9"/>
    </row>
    <row r="8" spans="1:38" ht="22.7" customHeight="1">
      <c r="A8" s="227"/>
      <c r="B8" s="228"/>
      <c r="C8" s="878" t="s">
        <v>37</v>
      </c>
      <c r="D8" s="879"/>
      <c r="E8" s="879"/>
      <c r="F8" s="879"/>
      <c r="G8" s="1006" t="s">
        <v>128</v>
      </c>
      <c r="H8" s="1006"/>
      <c r="I8" s="1006"/>
      <c r="J8" s="1006"/>
      <c r="K8" s="756"/>
      <c r="L8" s="879" t="s">
        <v>86</v>
      </c>
      <c r="M8" s="879"/>
      <c r="N8" s="879"/>
      <c r="O8" s="879"/>
      <c r="P8" s="1006" t="s">
        <v>128</v>
      </c>
      <c r="Q8" s="1006"/>
      <c r="R8" s="1006"/>
      <c r="S8" s="1007"/>
      <c r="T8" s="656"/>
      <c r="U8" s="879" t="s">
        <v>53</v>
      </c>
      <c r="V8" s="879"/>
      <c r="W8" s="879"/>
      <c r="X8" s="879"/>
      <c r="Y8" s="1006" t="s">
        <v>86</v>
      </c>
      <c r="Z8" s="1006"/>
      <c r="AA8" s="1006"/>
      <c r="AB8" s="1007"/>
      <c r="AC8" s="765"/>
      <c r="AD8" s="765"/>
    </row>
    <row r="9" spans="1:38" ht="18.600000000000001" customHeight="1" thickBot="1">
      <c r="A9" s="227"/>
      <c r="B9" s="228"/>
      <c r="C9" s="913" t="s">
        <v>4</v>
      </c>
      <c r="D9" s="919"/>
      <c r="E9" s="920" t="s">
        <v>5</v>
      </c>
      <c r="F9" s="916"/>
      <c r="G9" s="917" t="s">
        <v>4</v>
      </c>
      <c r="H9" s="919"/>
      <c r="I9" s="920" t="s">
        <v>5</v>
      </c>
      <c r="J9" s="916"/>
      <c r="K9" s="624"/>
      <c r="L9" s="917" t="s">
        <v>4</v>
      </c>
      <c r="M9" s="919"/>
      <c r="N9" s="920" t="s">
        <v>5</v>
      </c>
      <c r="O9" s="916"/>
      <c r="P9" s="917" t="s">
        <v>4</v>
      </c>
      <c r="Q9" s="919"/>
      <c r="R9" s="920" t="s">
        <v>5</v>
      </c>
      <c r="S9" s="921"/>
      <c r="T9" s="624"/>
      <c r="U9" s="917" t="s">
        <v>4</v>
      </c>
      <c r="V9" s="919"/>
      <c r="W9" s="920" t="s">
        <v>5</v>
      </c>
      <c r="X9" s="916"/>
      <c r="Y9" s="917" t="s">
        <v>4</v>
      </c>
      <c r="Z9" s="919"/>
      <c r="AA9" s="920" t="s">
        <v>5</v>
      </c>
      <c r="AB9" s="921"/>
      <c r="AC9" s="765"/>
      <c r="AD9" s="765"/>
    </row>
    <row r="10" spans="1:38" ht="21" thickTop="1">
      <c r="A10" s="763" t="s">
        <v>6</v>
      </c>
      <c r="B10" s="764" t="s">
        <v>7</v>
      </c>
      <c r="C10" s="787" t="s">
        <v>8</v>
      </c>
      <c r="D10" s="829" t="s">
        <v>9</v>
      </c>
      <c r="E10" s="831" t="s">
        <v>8</v>
      </c>
      <c r="F10" s="804" t="s">
        <v>9</v>
      </c>
      <c r="G10" s="819" t="s">
        <v>8</v>
      </c>
      <c r="H10" s="829" t="s">
        <v>9</v>
      </c>
      <c r="I10" s="831" t="s">
        <v>8</v>
      </c>
      <c r="J10" s="804" t="s">
        <v>9</v>
      </c>
      <c r="K10" s="637"/>
      <c r="L10" s="819" t="s">
        <v>8</v>
      </c>
      <c r="M10" s="829" t="s">
        <v>9</v>
      </c>
      <c r="N10" s="831" t="s">
        <v>8</v>
      </c>
      <c r="O10" s="804" t="s">
        <v>9</v>
      </c>
      <c r="P10" s="819" t="s">
        <v>8</v>
      </c>
      <c r="Q10" s="829" t="s">
        <v>9</v>
      </c>
      <c r="R10" s="831" t="s">
        <v>8</v>
      </c>
      <c r="S10" s="833" t="s">
        <v>9</v>
      </c>
      <c r="T10" s="637"/>
      <c r="U10" s="819" t="s">
        <v>8</v>
      </c>
      <c r="V10" s="829" t="s">
        <v>9</v>
      </c>
      <c r="W10" s="831" t="s">
        <v>8</v>
      </c>
      <c r="X10" s="804" t="s">
        <v>9</v>
      </c>
      <c r="Y10" s="819" t="s">
        <v>8</v>
      </c>
      <c r="Z10" s="829" t="s">
        <v>9</v>
      </c>
      <c r="AA10" s="831" t="s">
        <v>8</v>
      </c>
      <c r="AB10" s="833" t="s">
        <v>9</v>
      </c>
      <c r="AC10" s="765"/>
      <c r="AD10" s="765"/>
      <c r="AE10" s="10"/>
    </row>
    <row r="11" spans="1:38" ht="54.95" hidden="1" customHeight="1" outlineLevel="1">
      <c r="A11" s="761">
        <v>6</v>
      </c>
      <c r="B11" s="762" t="s">
        <v>25</v>
      </c>
      <c r="C11" s="840"/>
      <c r="D11" s="841"/>
      <c r="E11" s="843"/>
      <c r="F11" s="844"/>
      <c r="G11" s="842"/>
      <c r="H11" s="841"/>
      <c r="I11" s="843"/>
      <c r="J11" s="844"/>
      <c r="K11" s="638"/>
      <c r="L11" s="842"/>
      <c r="M11" s="841"/>
      <c r="N11" s="843"/>
      <c r="O11" s="844"/>
      <c r="P11" s="842"/>
      <c r="Q11" s="841"/>
      <c r="R11" s="843"/>
      <c r="S11" s="845"/>
      <c r="T11" s="638"/>
      <c r="U11" s="842"/>
      <c r="V11" s="841"/>
      <c r="W11" s="843"/>
      <c r="X11" s="844"/>
      <c r="Y11" s="842"/>
      <c r="Z11" s="841"/>
      <c r="AA11" s="843"/>
      <c r="AB11" s="845"/>
      <c r="AC11" s="765"/>
      <c r="AD11" s="765"/>
      <c r="AE11" s="2"/>
      <c r="AF11" s="2"/>
      <c r="AG11" s="2"/>
      <c r="AH11" s="2"/>
      <c r="AI11" s="2"/>
      <c r="AJ11" s="2"/>
      <c r="AK11" s="2"/>
      <c r="AL11" s="2"/>
    </row>
    <row r="12" spans="1:38" ht="54.95" hidden="1" customHeight="1" outlineLevel="1">
      <c r="A12" s="761"/>
      <c r="B12" s="762" t="s">
        <v>26</v>
      </c>
      <c r="C12" s="840"/>
      <c r="D12" s="841"/>
      <c r="E12" s="843"/>
      <c r="F12" s="844"/>
      <c r="G12" s="842"/>
      <c r="H12" s="841"/>
      <c r="I12" s="843"/>
      <c r="J12" s="844"/>
      <c r="K12" s="638"/>
      <c r="L12" s="842"/>
      <c r="M12" s="841"/>
      <c r="N12" s="843"/>
      <c r="O12" s="844"/>
      <c r="P12" s="842"/>
      <c r="Q12" s="841"/>
      <c r="R12" s="843"/>
      <c r="S12" s="845"/>
      <c r="T12" s="638"/>
      <c r="U12" s="842"/>
      <c r="V12" s="841"/>
      <c r="W12" s="843"/>
      <c r="X12" s="844"/>
      <c r="Y12" s="842"/>
      <c r="Z12" s="841"/>
      <c r="AA12" s="843"/>
      <c r="AB12" s="845"/>
      <c r="AC12" s="765"/>
      <c r="AD12" s="765"/>
      <c r="AE12" s="2"/>
      <c r="AF12" s="2"/>
      <c r="AG12" s="2"/>
      <c r="AH12" s="2"/>
      <c r="AI12" s="2"/>
      <c r="AJ12" s="2"/>
      <c r="AK12" s="2"/>
      <c r="AL12" s="2"/>
    </row>
    <row r="13" spans="1:38" ht="54.95" customHeight="1" collapsed="1">
      <c r="A13" s="1008">
        <v>7</v>
      </c>
      <c r="B13" s="772" t="s">
        <v>140</v>
      </c>
      <c r="C13" s="791"/>
      <c r="D13" s="792">
        <v>2</v>
      </c>
      <c r="E13" s="807"/>
      <c r="F13" s="808"/>
      <c r="G13" s="823"/>
      <c r="H13" s="792"/>
      <c r="I13" s="807">
        <v>1</v>
      </c>
      <c r="J13" s="808"/>
      <c r="K13" s="638"/>
      <c r="L13" s="791"/>
      <c r="M13" s="792"/>
      <c r="N13" s="807"/>
      <c r="O13" s="808"/>
      <c r="P13" s="823"/>
      <c r="Q13" s="792">
        <v>1</v>
      </c>
      <c r="R13" s="807">
        <v>1</v>
      </c>
      <c r="S13" s="808"/>
      <c r="T13" s="638"/>
      <c r="U13" s="791"/>
      <c r="V13" s="792"/>
      <c r="W13" s="807"/>
      <c r="X13" s="808"/>
      <c r="Y13" s="823"/>
      <c r="Z13" s="792"/>
      <c r="AA13" s="807"/>
      <c r="AB13" s="808"/>
      <c r="AC13" s="765"/>
      <c r="AD13" s="765"/>
      <c r="AE13" s="2"/>
      <c r="AF13" s="2"/>
      <c r="AG13" s="2"/>
      <c r="AH13" s="2"/>
      <c r="AI13" s="2"/>
      <c r="AJ13" s="2"/>
      <c r="AK13" s="2"/>
      <c r="AL13" s="2"/>
    </row>
    <row r="14" spans="1:38" ht="54.95" customHeight="1">
      <c r="A14" s="1009"/>
      <c r="B14" s="773" t="s">
        <v>141</v>
      </c>
      <c r="C14" s="793">
        <v>2</v>
      </c>
      <c r="D14" s="794"/>
      <c r="E14" s="809"/>
      <c r="F14" s="810"/>
      <c r="G14" s="824"/>
      <c r="H14" s="794"/>
      <c r="I14" s="809"/>
      <c r="J14" s="810"/>
      <c r="K14" s="638"/>
      <c r="L14" s="793"/>
      <c r="M14" s="794"/>
      <c r="N14" s="809"/>
      <c r="O14" s="810"/>
      <c r="P14" s="824"/>
      <c r="Q14" s="794">
        <v>2</v>
      </c>
      <c r="R14" s="809">
        <v>1</v>
      </c>
      <c r="S14" s="810"/>
      <c r="T14" s="638"/>
      <c r="U14" s="793"/>
      <c r="V14" s="794"/>
      <c r="W14" s="809"/>
      <c r="X14" s="810"/>
      <c r="Y14" s="824"/>
      <c r="Z14" s="794"/>
      <c r="AA14" s="809"/>
      <c r="AB14" s="810"/>
      <c r="AC14" s="765"/>
      <c r="AD14" s="765"/>
      <c r="AE14" s="2"/>
      <c r="AF14" s="2"/>
      <c r="AG14" s="2"/>
      <c r="AH14" s="2"/>
      <c r="AI14" s="2"/>
      <c r="AJ14" s="2"/>
      <c r="AK14" s="2"/>
      <c r="AL14" s="2"/>
    </row>
    <row r="15" spans="1:38" ht="54.95" customHeight="1">
      <c r="A15" s="1009"/>
      <c r="B15" s="773" t="s">
        <v>142</v>
      </c>
      <c r="C15" s="795"/>
      <c r="D15" s="796">
        <v>1</v>
      </c>
      <c r="E15" s="811"/>
      <c r="F15" s="812"/>
      <c r="G15" s="825"/>
      <c r="H15" s="796"/>
      <c r="I15" s="811">
        <v>1</v>
      </c>
      <c r="J15" s="812"/>
      <c r="K15" s="638"/>
      <c r="L15" s="795"/>
      <c r="M15" s="796"/>
      <c r="N15" s="811"/>
      <c r="O15" s="812"/>
      <c r="P15" s="825">
        <v>2</v>
      </c>
      <c r="Q15" s="796"/>
      <c r="R15" s="811"/>
      <c r="S15" s="812">
        <v>1</v>
      </c>
      <c r="T15" s="638"/>
      <c r="U15" s="795"/>
      <c r="V15" s="796">
        <v>1</v>
      </c>
      <c r="W15" s="811"/>
      <c r="X15" s="812">
        <v>1</v>
      </c>
      <c r="Y15" s="825"/>
      <c r="Z15" s="796"/>
      <c r="AA15" s="811"/>
      <c r="AB15" s="812"/>
      <c r="AC15" s="765"/>
      <c r="AD15" s="765"/>
      <c r="AE15" s="2"/>
      <c r="AF15" s="2"/>
      <c r="AG15" s="2"/>
      <c r="AH15" s="2"/>
      <c r="AI15" s="2"/>
      <c r="AJ15" s="2"/>
      <c r="AK15" s="2"/>
      <c r="AL15" s="2"/>
    </row>
    <row r="16" spans="1:38" ht="54.95" customHeight="1" thickBot="1">
      <c r="A16" s="1010"/>
      <c r="B16" s="774" t="s">
        <v>143</v>
      </c>
      <c r="C16" s="797"/>
      <c r="D16" s="798">
        <v>1</v>
      </c>
      <c r="E16" s="813">
        <v>1</v>
      </c>
      <c r="F16" s="814">
        <v>1</v>
      </c>
      <c r="G16" s="826"/>
      <c r="H16" s="798"/>
      <c r="I16" s="813"/>
      <c r="J16" s="814"/>
      <c r="K16" s="638"/>
      <c r="L16" s="797"/>
      <c r="M16" s="798"/>
      <c r="N16" s="813"/>
      <c r="O16" s="814"/>
      <c r="P16" s="826"/>
      <c r="Q16" s="798"/>
      <c r="R16" s="813"/>
      <c r="S16" s="814"/>
      <c r="T16" s="638"/>
      <c r="U16" s="797"/>
      <c r="V16" s="798"/>
      <c r="W16" s="813"/>
      <c r="X16" s="814"/>
      <c r="Y16" s="826"/>
      <c r="Z16" s="798"/>
      <c r="AA16" s="813"/>
      <c r="AB16" s="814"/>
      <c r="AC16" s="765"/>
      <c r="AD16" s="765"/>
      <c r="AE16" s="2"/>
      <c r="AF16" s="2"/>
      <c r="AG16" s="2"/>
      <c r="AH16" s="2"/>
      <c r="AI16" s="2"/>
      <c r="AJ16" s="2"/>
      <c r="AK16" s="2"/>
      <c r="AL16" s="2"/>
    </row>
    <row r="17" spans="1:40" ht="54.95" customHeight="1">
      <c r="A17" s="1011">
        <v>8</v>
      </c>
      <c r="B17" s="775" t="s">
        <v>140</v>
      </c>
      <c r="C17" s="799"/>
      <c r="D17" s="800">
        <v>1</v>
      </c>
      <c r="E17" s="815"/>
      <c r="F17" s="816"/>
      <c r="G17" s="827"/>
      <c r="H17" s="800"/>
      <c r="I17" s="815"/>
      <c r="J17" s="816"/>
      <c r="K17" s="638"/>
      <c r="L17" s="799"/>
      <c r="M17" s="800"/>
      <c r="N17" s="815"/>
      <c r="O17" s="816"/>
      <c r="P17" s="827"/>
      <c r="Q17" s="800"/>
      <c r="R17" s="815"/>
      <c r="S17" s="816"/>
      <c r="T17" s="638"/>
      <c r="U17" s="799"/>
      <c r="V17" s="800"/>
      <c r="W17" s="815"/>
      <c r="X17" s="816"/>
      <c r="Y17" s="827"/>
      <c r="Z17" s="800"/>
      <c r="AA17" s="815"/>
      <c r="AB17" s="816"/>
      <c r="AC17" s="765"/>
      <c r="AD17" s="765"/>
      <c r="AE17" s="2"/>
      <c r="AF17" s="2"/>
      <c r="AG17" s="2"/>
      <c r="AH17" s="2"/>
      <c r="AI17" s="2"/>
      <c r="AJ17" s="2"/>
      <c r="AK17" s="2"/>
      <c r="AL17" s="2"/>
    </row>
    <row r="18" spans="1:40" ht="54.95" customHeight="1">
      <c r="A18" s="1009"/>
      <c r="B18" s="773" t="s">
        <v>141</v>
      </c>
      <c r="C18" s="793"/>
      <c r="D18" s="794">
        <v>1</v>
      </c>
      <c r="E18" s="809"/>
      <c r="F18" s="810"/>
      <c r="G18" s="824"/>
      <c r="H18" s="794"/>
      <c r="I18" s="809"/>
      <c r="J18" s="810"/>
      <c r="K18" s="638"/>
      <c r="L18" s="793"/>
      <c r="M18" s="794"/>
      <c r="N18" s="809">
        <v>1</v>
      </c>
      <c r="O18" s="810"/>
      <c r="P18" s="824"/>
      <c r="Q18" s="794"/>
      <c r="R18" s="809">
        <v>1</v>
      </c>
      <c r="S18" s="810"/>
      <c r="T18" s="638"/>
      <c r="U18" s="793"/>
      <c r="V18" s="794"/>
      <c r="W18" s="809"/>
      <c r="X18" s="810"/>
      <c r="Y18" s="824"/>
      <c r="Z18" s="794"/>
      <c r="AA18" s="809"/>
      <c r="AB18" s="810"/>
      <c r="AC18" s="765"/>
      <c r="AD18" s="765"/>
      <c r="AE18" s="2"/>
      <c r="AF18" s="2"/>
      <c r="AG18" s="2"/>
      <c r="AH18" s="2"/>
      <c r="AI18" s="2"/>
      <c r="AJ18" s="2"/>
      <c r="AK18" s="2"/>
      <c r="AL18" s="2"/>
    </row>
    <row r="19" spans="1:40" ht="54.95" customHeight="1">
      <c r="A19" s="1009"/>
      <c r="B19" s="773" t="s">
        <v>142</v>
      </c>
      <c r="C19" s="795"/>
      <c r="D19" s="796"/>
      <c r="E19" s="811"/>
      <c r="F19" s="812"/>
      <c r="G19" s="825"/>
      <c r="H19" s="796">
        <v>1</v>
      </c>
      <c r="I19" s="811"/>
      <c r="J19" s="812"/>
      <c r="K19" s="638"/>
      <c r="L19" s="795"/>
      <c r="M19" s="796"/>
      <c r="N19" s="811"/>
      <c r="O19" s="812"/>
      <c r="P19" s="825"/>
      <c r="Q19" s="796"/>
      <c r="R19" s="811"/>
      <c r="S19" s="812"/>
      <c r="T19" s="638"/>
      <c r="U19" s="795"/>
      <c r="V19" s="796">
        <v>1</v>
      </c>
      <c r="W19" s="811"/>
      <c r="X19" s="812"/>
      <c r="Y19" s="825"/>
      <c r="Z19" s="796"/>
      <c r="AA19" s="811"/>
      <c r="AB19" s="812"/>
      <c r="AC19" s="765"/>
      <c r="AD19" s="765"/>
      <c r="AE19" s="2"/>
      <c r="AF19" s="2"/>
      <c r="AG19" s="2"/>
      <c r="AH19" s="2"/>
      <c r="AI19" s="2"/>
      <c r="AJ19" s="2"/>
      <c r="AK19" s="2"/>
      <c r="AL19" s="2"/>
    </row>
    <row r="20" spans="1:40" ht="54.95" customHeight="1" thickBot="1">
      <c r="A20" s="1012"/>
      <c r="B20" s="776" t="s">
        <v>143</v>
      </c>
      <c r="C20" s="801"/>
      <c r="D20" s="802"/>
      <c r="E20" s="817"/>
      <c r="F20" s="818"/>
      <c r="G20" s="828"/>
      <c r="H20" s="802"/>
      <c r="I20" s="817"/>
      <c r="J20" s="818"/>
      <c r="K20" s="638"/>
      <c r="L20" s="801"/>
      <c r="M20" s="802"/>
      <c r="N20" s="817"/>
      <c r="O20" s="818"/>
      <c r="P20" s="828"/>
      <c r="Q20" s="802"/>
      <c r="R20" s="817"/>
      <c r="S20" s="818"/>
      <c r="T20" s="638"/>
      <c r="U20" s="801"/>
      <c r="V20" s="802"/>
      <c r="W20" s="817"/>
      <c r="X20" s="818"/>
      <c r="Y20" s="828"/>
      <c r="Z20" s="802"/>
      <c r="AA20" s="817"/>
      <c r="AB20" s="818"/>
      <c r="AC20" s="765"/>
      <c r="AD20" s="765"/>
      <c r="AE20" s="2"/>
      <c r="AF20" s="2"/>
      <c r="AG20" s="2"/>
      <c r="AH20" s="2"/>
      <c r="AI20" s="2"/>
      <c r="AJ20" s="2"/>
      <c r="AK20" s="2"/>
      <c r="AL20" s="2"/>
    </row>
    <row r="21" spans="1:40" ht="54.95" hidden="1" customHeight="1" outlineLevel="1">
      <c r="A21" s="297">
        <v>9</v>
      </c>
      <c r="B21" s="298" t="s">
        <v>23</v>
      </c>
      <c r="C21" s="356"/>
      <c r="D21" s="357"/>
      <c r="E21" s="358"/>
      <c r="F21" s="359"/>
      <c r="G21" s="360"/>
      <c r="H21" s="357"/>
      <c r="I21" s="358"/>
      <c r="J21" s="359"/>
      <c r="K21" s="638"/>
      <c r="L21" s="360"/>
      <c r="M21" s="357"/>
      <c r="N21" s="358"/>
      <c r="O21" s="359"/>
      <c r="P21" s="360"/>
      <c r="Q21" s="357"/>
      <c r="R21" s="358"/>
      <c r="S21" s="361"/>
      <c r="T21" s="638"/>
      <c r="U21" s="360"/>
      <c r="V21" s="357"/>
      <c r="W21" s="358"/>
      <c r="X21" s="359"/>
      <c r="Y21" s="360"/>
      <c r="Z21" s="357"/>
      <c r="AA21" s="358"/>
      <c r="AB21" s="361"/>
      <c r="AC21" s="765"/>
      <c r="AD21" s="765"/>
      <c r="AE21" s="2"/>
      <c r="AF21" s="2"/>
      <c r="AG21" s="2"/>
      <c r="AH21" s="2"/>
      <c r="AI21" s="2"/>
      <c r="AJ21" s="2"/>
      <c r="AK21" s="2"/>
      <c r="AL21" s="2"/>
    </row>
    <row r="22" spans="1:40" ht="54.95" hidden="1" customHeight="1" outlineLevel="1" thickBot="1">
      <c r="A22" s="300"/>
      <c r="B22" s="301" t="s">
        <v>24</v>
      </c>
      <c r="C22" s="362"/>
      <c r="D22" s="363"/>
      <c r="E22" s="364"/>
      <c r="F22" s="365"/>
      <c r="G22" s="366"/>
      <c r="H22" s="363"/>
      <c r="I22" s="364"/>
      <c r="J22" s="365"/>
      <c r="K22" s="638"/>
      <c r="L22" s="366"/>
      <c r="M22" s="363"/>
      <c r="N22" s="364"/>
      <c r="O22" s="365"/>
      <c r="P22" s="366"/>
      <c r="Q22" s="363"/>
      <c r="R22" s="364"/>
      <c r="S22" s="367"/>
      <c r="T22" s="638"/>
      <c r="U22" s="366"/>
      <c r="V22" s="363"/>
      <c r="W22" s="364"/>
      <c r="X22" s="365"/>
      <c r="Y22" s="366"/>
      <c r="Z22" s="363"/>
      <c r="AA22" s="364"/>
      <c r="AB22" s="367"/>
      <c r="AC22" s="765"/>
      <c r="AD22" s="765"/>
      <c r="AE22" s="2"/>
      <c r="AF22" s="2"/>
      <c r="AG22" s="2"/>
      <c r="AH22" s="2"/>
      <c r="AI22" s="2"/>
      <c r="AJ22" s="2"/>
      <c r="AK22" s="2"/>
      <c r="AL22" s="2"/>
    </row>
    <row r="23" spans="1:40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638"/>
      <c r="L23" s="596"/>
      <c r="M23" s="596"/>
      <c r="N23" s="596"/>
      <c r="O23" s="596"/>
      <c r="P23" s="596"/>
      <c r="Q23" s="596"/>
      <c r="R23" s="596"/>
      <c r="S23" s="596"/>
      <c r="T23" s="638"/>
      <c r="U23" s="596"/>
      <c r="V23" s="596"/>
      <c r="W23" s="596"/>
      <c r="X23" s="596"/>
      <c r="Y23" s="596"/>
      <c r="Z23" s="596"/>
      <c r="AA23" s="596"/>
      <c r="AB23" s="596"/>
      <c r="AC23" s="2"/>
      <c r="AD23" s="2"/>
      <c r="AE23" s="2"/>
      <c r="AF23" s="2"/>
      <c r="AG23" s="2"/>
      <c r="AH23" s="2"/>
    </row>
    <row r="24" spans="1:40" ht="75" customHeight="1" outlineLevel="1" thickBot="1">
      <c r="A24" s="639"/>
      <c r="B24" s="640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986"/>
      <c r="P24" s="594"/>
      <c r="Q24" s="594"/>
      <c r="R24" s="594"/>
      <c r="S24" s="594"/>
      <c r="T24" s="594"/>
      <c r="U24" s="594"/>
      <c r="V24" s="594"/>
      <c r="W24" s="594"/>
      <c r="X24" s="594"/>
      <c r="Y24" s="594"/>
      <c r="Z24" s="594"/>
      <c r="AA24" s="594"/>
      <c r="AB24" s="595"/>
    </row>
    <row r="25" spans="1:40" ht="32.25" customHeight="1" thickTop="1">
      <c r="A25" s="26"/>
      <c r="B25" s="27"/>
      <c r="C25" s="947" t="str">
        <f>C7</f>
        <v>Depuis 'Pers-Jussy'</v>
      </c>
      <c r="D25" s="948"/>
      <c r="E25" s="948"/>
      <c r="F25" s="948"/>
      <c r="G25" s="948"/>
      <c r="H25" s="948"/>
      <c r="I25" s="948"/>
      <c r="J25" s="948"/>
      <c r="K25" s="754"/>
      <c r="L25" s="948" t="str">
        <f>L7</f>
        <v>Depuis 'Reignier-centre'</v>
      </c>
      <c r="M25" s="948"/>
      <c r="N25" s="948"/>
      <c r="O25" s="948"/>
      <c r="P25" s="948"/>
      <c r="Q25" s="948"/>
      <c r="R25" s="948"/>
      <c r="S25" s="949"/>
      <c r="T25" s="657"/>
      <c r="U25" s="948" t="str">
        <f>U7</f>
        <v>Depuis 'Gare'</v>
      </c>
      <c r="V25" s="948"/>
      <c r="W25" s="948"/>
      <c r="X25" s="948"/>
      <c r="Y25" s="948"/>
      <c r="Z25" s="948"/>
      <c r="AA25" s="948"/>
      <c r="AB25" s="949"/>
      <c r="AC25" s="26"/>
      <c r="AD25" s="27"/>
      <c r="AE25" s="928" t="s">
        <v>12</v>
      </c>
      <c r="AF25" s="869" t="s">
        <v>14</v>
      </c>
      <c r="AG25" s="869" t="s">
        <v>15</v>
      </c>
      <c r="AH25" s="869" t="s">
        <v>18</v>
      </c>
      <c r="AI25" s="869" t="s">
        <v>16</v>
      </c>
      <c r="AJ25" s="1003" t="s">
        <v>79</v>
      </c>
      <c r="AK25" s="995" t="s">
        <v>111</v>
      </c>
      <c r="AL25" s="1013" t="s">
        <v>31</v>
      </c>
      <c r="AM25" s="1014"/>
      <c r="AN25" s="1015"/>
    </row>
    <row r="26" spans="1:40" ht="22.7" customHeight="1">
      <c r="A26" s="26"/>
      <c r="B26" s="27"/>
      <c r="C26" s="944" t="str">
        <f>C8</f>
        <v>vers 'Reignier'</v>
      </c>
      <c r="D26" s="945"/>
      <c r="E26" s="945"/>
      <c r="F26" s="945"/>
      <c r="G26" s="944" t="str">
        <f>G8</f>
        <v>vers 'Gare'</v>
      </c>
      <c r="H26" s="945"/>
      <c r="I26" s="945"/>
      <c r="J26" s="945"/>
      <c r="K26" s="766"/>
      <c r="L26" s="944" t="str">
        <f>L8</f>
        <v>vers 'Pers-Jussy'</v>
      </c>
      <c r="M26" s="945"/>
      <c r="N26" s="945"/>
      <c r="O26" s="945"/>
      <c r="P26" s="944" t="str">
        <f>P8</f>
        <v>vers 'Gare'</v>
      </c>
      <c r="Q26" s="945"/>
      <c r="R26" s="945"/>
      <c r="S26" s="945"/>
      <c r="T26" s="766"/>
      <c r="U26" s="944" t="str">
        <f>U8</f>
        <v>vers 'Reignier-centre'</v>
      </c>
      <c r="V26" s="945"/>
      <c r="W26" s="945"/>
      <c r="X26" s="945"/>
      <c r="Y26" s="944" t="str">
        <f>Y8</f>
        <v>vers 'Pers-Jussy'</v>
      </c>
      <c r="Z26" s="945"/>
      <c r="AA26" s="945"/>
      <c r="AB26" s="946"/>
      <c r="AC26" s="26"/>
      <c r="AD26" s="27"/>
      <c r="AE26" s="929"/>
      <c r="AF26" s="870"/>
      <c r="AG26" s="870"/>
      <c r="AH26" s="870"/>
      <c r="AI26" s="870"/>
      <c r="AJ26" s="1004"/>
      <c r="AK26" s="996"/>
      <c r="AL26" s="1016"/>
      <c r="AM26" s="1017"/>
      <c r="AN26" s="1018"/>
    </row>
    <row r="27" spans="1:40" ht="18.600000000000001" customHeight="1" thickBot="1">
      <c r="A27" s="26"/>
      <c r="B27" s="27"/>
      <c r="C27" s="1024" t="s">
        <v>4</v>
      </c>
      <c r="D27" s="973"/>
      <c r="E27" s="976" t="s">
        <v>5</v>
      </c>
      <c r="F27" s="977"/>
      <c r="G27" s="972" t="s">
        <v>4</v>
      </c>
      <c r="H27" s="973"/>
      <c r="I27" s="976" t="s">
        <v>5</v>
      </c>
      <c r="J27" s="977"/>
      <c r="K27" s="658"/>
      <c r="L27" s="972" t="s">
        <v>4</v>
      </c>
      <c r="M27" s="973"/>
      <c r="N27" s="976" t="s">
        <v>5</v>
      </c>
      <c r="O27" s="977"/>
      <c r="P27" s="972" t="s">
        <v>4</v>
      </c>
      <c r="Q27" s="973"/>
      <c r="R27" s="976" t="s">
        <v>5</v>
      </c>
      <c r="S27" s="978"/>
      <c r="T27" s="658"/>
      <c r="U27" s="972" t="s">
        <v>4</v>
      </c>
      <c r="V27" s="973"/>
      <c r="W27" s="976" t="s">
        <v>5</v>
      </c>
      <c r="X27" s="977"/>
      <c r="Y27" s="972" t="s">
        <v>4</v>
      </c>
      <c r="Z27" s="973"/>
      <c r="AA27" s="974" t="s">
        <v>5</v>
      </c>
      <c r="AB27" s="975"/>
      <c r="AC27" s="26"/>
      <c r="AD27" s="27"/>
      <c r="AE27" s="929"/>
      <c r="AF27" s="870"/>
      <c r="AG27" s="870"/>
      <c r="AH27" s="870"/>
      <c r="AI27" s="870"/>
      <c r="AJ27" s="1004"/>
      <c r="AK27" s="996"/>
      <c r="AL27" s="1016"/>
      <c r="AM27" s="1017"/>
      <c r="AN27" s="1018"/>
    </row>
    <row r="28" spans="1:40" ht="21" thickTop="1">
      <c r="A28" s="931" t="s">
        <v>13</v>
      </c>
      <c r="B28" s="932"/>
      <c r="C28" s="15" t="s">
        <v>8</v>
      </c>
      <c r="D28" s="4" t="s">
        <v>9</v>
      </c>
      <c r="E28" s="5" t="s">
        <v>8</v>
      </c>
      <c r="F28" s="6" t="s">
        <v>9</v>
      </c>
      <c r="G28" s="3" t="s">
        <v>8</v>
      </c>
      <c r="H28" s="4" t="s">
        <v>9</v>
      </c>
      <c r="I28" s="5" t="s">
        <v>8</v>
      </c>
      <c r="J28" s="6" t="s">
        <v>9</v>
      </c>
      <c r="K28" s="630"/>
      <c r="L28" s="3" t="s">
        <v>8</v>
      </c>
      <c r="M28" s="4" t="s">
        <v>9</v>
      </c>
      <c r="N28" s="5" t="s">
        <v>8</v>
      </c>
      <c r="O28" s="6" t="s">
        <v>9</v>
      </c>
      <c r="P28" s="3" t="s">
        <v>8</v>
      </c>
      <c r="Q28" s="4" t="s">
        <v>9</v>
      </c>
      <c r="R28" s="5" t="s">
        <v>8</v>
      </c>
      <c r="S28" s="16" t="s">
        <v>9</v>
      </c>
      <c r="T28" s="630"/>
      <c r="U28" s="3" t="s">
        <v>8</v>
      </c>
      <c r="V28" s="4" t="s">
        <v>9</v>
      </c>
      <c r="W28" s="5" t="s">
        <v>8</v>
      </c>
      <c r="X28" s="6" t="s">
        <v>9</v>
      </c>
      <c r="Y28" s="3" t="s">
        <v>8</v>
      </c>
      <c r="Z28" s="4" t="s">
        <v>9</v>
      </c>
      <c r="AA28" s="5" t="s">
        <v>8</v>
      </c>
      <c r="AB28" s="16" t="s">
        <v>9</v>
      </c>
      <c r="AC28" s="933" t="s">
        <v>13</v>
      </c>
      <c r="AD28" s="934"/>
      <c r="AE28" s="929"/>
      <c r="AF28" s="871"/>
      <c r="AG28" s="871"/>
      <c r="AH28" s="871"/>
      <c r="AI28" s="871"/>
      <c r="AJ28" s="1005"/>
      <c r="AK28" s="997"/>
      <c r="AL28" s="1019"/>
      <c r="AM28" s="1020"/>
      <c r="AN28" s="1021"/>
    </row>
    <row r="29" spans="1:40" ht="54.95" customHeight="1">
      <c r="A29" s="935" t="s">
        <v>28</v>
      </c>
      <c r="B29" s="936"/>
      <c r="C29" s="31">
        <f t="shared" ref="C29:AB29" si="0">SUM(C11:C14)</f>
        <v>2</v>
      </c>
      <c r="D29" s="32">
        <f t="shared" si="0"/>
        <v>2</v>
      </c>
      <c r="E29" s="33">
        <f t="shared" si="0"/>
        <v>0</v>
      </c>
      <c r="F29" s="34">
        <f t="shared" si="0"/>
        <v>0</v>
      </c>
      <c r="G29" s="35">
        <f t="shared" si="0"/>
        <v>0</v>
      </c>
      <c r="H29" s="32">
        <f t="shared" si="0"/>
        <v>0</v>
      </c>
      <c r="I29" s="33">
        <f t="shared" si="0"/>
        <v>1</v>
      </c>
      <c r="J29" s="34">
        <f t="shared" si="0"/>
        <v>0</v>
      </c>
      <c r="K29" s="659"/>
      <c r="L29" s="35">
        <f t="shared" si="0"/>
        <v>0</v>
      </c>
      <c r="M29" s="32">
        <f t="shared" si="0"/>
        <v>0</v>
      </c>
      <c r="N29" s="33">
        <f t="shared" si="0"/>
        <v>0</v>
      </c>
      <c r="O29" s="34">
        <f t="shared" si="0"/>
        <v>0</v>
      </c>
      <c r="P29" s="35">
        <f t="shared" si="0"/>
        <v>0</v>
      </c>
      <c r="Q29" s="32">
        <f t="shared" si="0"/>
        <v>3</v>
      </c>
      <c r="R29" s="33">
        <f t="shared" si="0"/>
        <v>2</v>
      </c>
      <c r="S29" s="36">
        <f t="shared" si="0"/>
        <v>0</v>
      </c>
      <c r="T29" s="659"/>
      <c r="U29" s="35">
        <f t="shared" si="0"/>
        <v>0</v>
      </c>
      <c r="V29" s="32">
        <f t="shared" si="0"/>
        <v>0</v>
      </c>
      <c r="W29" s="33">
        <f t="shared" si="0"/>
        <v>0</v>
      </c>
      <c r="X29" s="34">
        <f t="shared" si="0"/>
        <v>0</v>
      </c>
      <c r="Y29" s="35">
        <f t="shared" si="0"/>
        <v>0</v>
      </c>
      <c r="Z29" s="32">
        <f t="shared" si="0"/>
        <v>0</v>
      </c>
      <c r="AA29" s="33">
        <f t="shared" si="0"/>
        <v>0</v>
      </c>
      <c r="AB29" s="36">
        <f t="shared" si="0"/>
        <v>0</v>
      </c>
      <c r="AC29" s="987" t="s">
        <v>28</v>
      </c>
      <c r="AD29" s="988"/>
      <c r="AE29" s="62">
        <f t="shared" ref="AE29:AE35" si="1">SUM(C29:AB29)</f>
        <v>10</v>
      </c>
      <c r="AF29" s="118">
        <f>IF(AE29=0,0,AF41/AE29)</f>
        <v>0.5</v>
      </c>
      <c r="AG29" s="118">
        <f>IF(AE29=0,0,AG41/AE29)</f>
        <v>0.3</v>
      </c>
      <c r="AH29" s="118">
        <f>IF(AG41=0,0,AH41/AG41)</f>
        <v>1</v>
      </c>
      <c r="AI29" s="118">
        <f t="shared" ref="AI29:AI35" si="2">IF(AE29=0,0,AI41/AE29)</f>
        <v>0.6</v>
      </c>
      <c r="AJ29" s="63">
        <f>IF(AE29=0,0,AJ41/AE29)</f>
        <v>0.5</v>
      </c>
      <c r="AK29" s="63">
        <f>IF(AE29=0,0,AK41/AE29)</f>
        <v>0.5</v>
      </c>
      <c r="AL29" s="64"/>
      <c r="AM29" s="1022"/>
      <c r="AN29" s="1023"/>
    </row>
    <row r="30" spans="1:40" ht="54.95" customHeight="1">
      <c r="A30" s="939" t="s">
        <v>11</v>
      </c>
      <c r="B30" s="940"/>
      <c r="C30" s="37">
        <f t="shared" ref="C30:AB30" si="3">SUM(C13:C16)</f>
        <v>2</v>
      </c>
      <c r="D30" s="38">
        <f t="shared" si="3"/>
        <v>4</v>
      </c>
      <c r="E30" s="39">
        <f t="shared" si="3"/>
        <v>1</v>
      </c>
      <c r="F30" s="40">
        <f t="shared" si="3"/>
        <v>1</v>
      </c>
      <c r="G30" s="41">
        <f t="shared" si="3"/>
        <v>0</v>
      </c>
      <c r="H30" s="38">
        <f t="shared" si="3"/>
        <v>0</v>
      </c>
      <c r="I30" s="39">
        <f t="shared" si="3"/>
        <v>2</v>
      </c>
      <c r="J30" s="40">
        <f t="shared" si="3"/>
        <v>0</v>
      </c>
      <c r="K30" s="660"/>
      <c r="L30" s="41">
        <f t="shared" si="3"/>
        <v>0</v>
      </c>
      <c r="M30" s="38">
        <f t="shared" si="3"/>
        <v>0</v>
      </c>
      <c r="N30" s="39">
        <f t="shared" si="3"/>
        <v>0</v>
      </c>
      <c r="O30" s="40">
        <f t="shared" si="3"/>
        <v>0</v>
      </c>
      <c r="P30" s="41">
        <f t="shared" si="3"/>
        <v>2</v>
      </c>
      <c r="Q30" s="38">
        <f t="shared" si="3"/>
        <v>3</v>
      </c>
      <c r="R30" s="39">
        <f t="shared" si="3"/>
        <v>2</v>
      </c>
      <c r="S30" s="42">
        <f t="shared" si="3"/>
        <v>1</v>
      </c>
      <c r="T30" s="660"/>
      <c r="U30" s="41">
        <f t="shared" si="3"/>
        <v>0</v>
      </c>
      <c r="V30" s="38">
        <f t="shared" si="3"/>
        <v>1</v>
      </c>
      <c r="W30" s="39">
        <f t="shared" si="3"/>
        <v>0</v>
      </c>
      <c r="X30" s="40">
        <f t="shared" si="3"/>
        <v>1</v>
      </c>
      <c r="Y30" s="41">
        <f t="shared" si="3"/>
        <v>0</v>
      </c>
      <c r="Z30" s="38">
        <f t="shared" si="3"/>
        <v>0</v>
      </c>
      <c r="AA30" s="39">
        <f t="shared" si="3"/>
        <v>0</v>
      </c>
      <c r="AB30" s="42">
        <f t="shared" si="3"/>
        <v>0</v>
      </c>
      <c r="AC30" s="970" t="s">
        <v>11</v>
      </c>
      <c r="AD30" s="971"/>
      <c r="AE30" s="65">
        <f t="shared" si="1"/>
        <v>20</v>
      </c>
      <c r="AF30" s="120">
        <f t="shared" ref="AF30:AF35" si="4">IF(AE30=0,0,AF42/AE30)</f>
        <v>0.45</v>
      </c>
      <c r="AG30" s="120">
        <f t="shared" ref="AG30:AG35" si="5">IF(AE30=0,0,AG42/AE30)</f>
        <v>0.4</v>
      </c>
      <c r="AH30" s="120">
        <f t="shared" ref="AH30:AH35" si="6">IF(AG42=0,0,AH42/AG42)</f>
        <v>0.625</v>
      </c>
      <c r="AI30" s="120">
        <f t="shared" si="2"/>
        <v>0.5</v>
      </c>
      <c r="AJ30" s="66">
        <f t="shared" ref="AJ30:AJ35" si="7">IF(AE30=0,0,AJ42/AE30)</f>
        <v>0.4</v>
      </c>
      <c r="AK30" s="66">
        <f t="shared" ref="AK30:AK35" si="8">IF(AE30=0,0,AK42/AE30)</f>
        <v>0.5</v>
      </c>
      <c r="AL30" s="67"/>
      <c r="AM30" s="989"/>
      <c r="AN30" s="990"/>
    </row>
    <row r="31" spans="1:40" ht="54.95" customHeight="1">
      <c r="A31" s="939" t="s">
        <v>17</v>
      </c>
      <c r="B31" s="940"/>
      <c r="C31" s="37">
        <f t="shared" ref="C31:AB31" si="9">SUM(C15:C18)</f>
        <v>0</v>
      </c>
      <c r="D31" s="38">
        <f t="shared" si="9"/>
        <v>4</v>
      </c>
      <c r="E31" s="39">
        <f t="shared" si="9"/>
        <v>1</v>
      </c>
      <c r="F31" s="40">
        <f t="shared" si="9"/>
        <v>1</v>
      </c>
      <c r="G31" s="41">
        <f t="shared" si="9"/>
        <v>0</v>
      </c>
      <c r="H31" s="38">
        <f t="shared" si="9"/>
        <v>0</v>
      </c>
      <c r="I31" s="39">
        <f t="shared" si="9"/>
        <v>1</v>
      </c>
      <c r="J31" s="40">
        <f t="shared" si="9"/>
        <v>0</v>
      </c>
      <c r="K31" s="660"/>
      <c r="L31" s="41">
        <f t="shared" si="9"/>
        <v>0</v>
      </c>
      <c r="M31" s="38">
        <f t="shared" si="9"/>
        <v>0</v>
      </c>
      <c r="N31" s="39">
        <f t="shared" si="9"/>
        <v>1</v>
      </c>
      <c r="O31" s="40">
        <f t="shared" si="9"/>
        <v>0</v>
      </c>
      <c r="P31" s="41">
        <f t="shared" si="9"/>
        <v>2</v>
      </c>
      <c r="Q31" s="38">
        <f t="shared" si="9"/>
        <v>0</v>
      </c>
      <c r="R31" s="39">
        <f t="shared" si="9"/>
        <v>1</v>
      </c>
      <c r="S31" s="42">
        <f t="shared" si="9"/>
        <v>1</v>
      </c>
      <c r="T31" s="660"/>
      <c r="U31" s="41">
        <f t="shared" si="9"/>
        <v>0</v>
      </c>
      <c r="V31" s="38">
        <f t="shared" si="9"/>
        <v>1</v>
      </c>
      <c r="W31" s="39">
        <f t="shared" si="9"/>
        <v>0</v>
      </c>
      <c r="X31" s="40">
        <f t="shared" si="9"/>
        <v>1</v>
      </c>
      <c r="Y31" s="41">
        <f t="shared" si="9"/>
        <v>0</v>
      </c>
      <c r="Z31" s="38">
        <f t="shared" si="9"/>
        <v>0</v>
      </c>
      <c r="AA31" s="39">
        <f t="shared" si="9"/>
        <v>0</v>
      </c>
      <c r="AB31" s="42">
        <f t="shared" si="9"/>
        <v>0</v>
      </c>
      <c r="AC31" s="970" t="s">
        <v>17</v>
      </c>
      <c r="AD31" s="971"/>
      <c r="AE31" s="65">
        <f t="shared" si="1"/>
        <v>14</v>
      </c>
      <c r="AF31" s="120">
        <f t="shared" si="4"/>
        <v>0.42857142857142855</v>
      </c>
      <c r="AG31" s="120">
        <f t="shared" si="5"/>
        <v>0.5</v>
      </c>
      <c r="AH31" s="120">
        <f t="shared" si="6"/>
        <v>0.5714285714285714</v>
      </c>
      <c r="AI31" s="120">
        <f t="shared" si="2"/>
        <v>0.35714285714285715</v>
      </c>
      <c r="AJ31" s="66">
        <f t="shared" si="7"/>
        <v>0.35714285714285715</v>
      </c>
      <c r="AK31" s="66">
        <f t="shared" si="8"/>
        <v>0.5</v>
      </c>
      <c r="AL31" s="67"/>
      <c r="AM31" s="989"/>
      <c r="AN31" s="990"/>
    </row>
    <row r="32" spans="1:40" ht="54.95" customHeight="1">
      <c r="A32" s="939" t="s">
        <v>10</v>
      </c>
      <c r="B32" s="940"/>
      <c r="C32" s="37">
        <f t="shared" ref="C32:AB32" si="10">SUM(C17:C20)</f>
        <v>0</v>
      </c>
      <c r="D32" s="38">
        <f t="shared" si="10"/>
        <v>2</v>
      </c>
      <c r="E32" s="39">
        <f t="shared" si="10"/>
        <v>0</v>
      </c>
      <c r="F32" s="40">
        <f t="shared" si="10"/>
        <v>0</v>
      </c>
      <c r="G32" s="41">
        <f t="shared" si="10"/>
        <v>0</v>
      </c>
      <c r="H32" s="38">
        <f t="shared" si="10"/>
        <v>1</v>
      </c>
      <c r="I32" s="39">
        <f t="shared" si="10"/>
        <v>0</v>
      </c>
      <c r="J32" s="40">
        <f t="shared" si="10"/>
        <v>0</v>
      </c>
      <c r="K32" s="660"/>
      <c r="L32" s="41">
        <f t="shared" si="10"/>
        <v>0</v>
      </c>
      <c r="M32" s="38">
        <f t="shared" si="10"/>
        <v>0</v>
      </c>
      <c r="N32" s="39">
        <f t="shared" si="10"/>
        <v>1</v>
      </c>
      <c r="O32" s="40">
        <f t="shared" si="10"/>
        <v>0</v>
      </c>
      <c r="P32" s="41">
        <f t="shared" si="10"/>
        <v>0</v>
      </c>
      <c r="Q32" s="38">
        <f t="shared" si="10"/>
        <v>0</v>
      </c>
      <c r="R32" s="39">
        <f t="shared" si="10"/>
        <v>1</v>
      </c>
      <c r="S32" s="42">
        <f t="shared" si="10"/>
        <v>0</v>
      </c>
      <c r="T32" s="660"/>
      <c r="U32" s="41">
        <f t="shared" si="10"/>
        <v>0</v>
      </c>
      <c r="V32" s="38">
        <f t="shared" si="10"/>
        <v>1</v>
      </c>
      <c r="W32" s="39">
        <f t="shared" si="10"/>
        <v>0</v>
      </c>
      <c r="X32" s="40">
        <f t="shared" si="10"/>
        <v>0</v>
      </c>
      <c r="Y32" s="41">
        <f t="shared" si="10"/>
        <v>0</v>
      </c>
      <c r="Z32" s="38">
        <f t="shared" si="10"/>
        <v>0</v>
      </c>
      <c r="AA32" s="39">
        <f t="shared" si="10"/>
        <v>0</v>
      </c>
      <c r="AB32" s="42">
        <f t="shared" si="10"/>
        <v>0</v>
      </c>
      <c r="AC32" s="970" t="s">
        <v>10</v>
      </c>
      <c r="AD32" s="971"/>
      <c r="AE32" s="65">
        <f t="shared" si="1"/>
        <v>6</v>
      </c>
      <c r="AF32" s="120">
        <f t="shared" si="4"/>
        <v>0.33333333333333331</v>
      </c>
      <c r="AG32" s="120">
        <f t="shared" si="5"/>
        <v>0.33333333333333331</v>
      </c>
      <c r="AH32" s="120">
        <f t="shared" si="6"/>
        <v>1</v>
      </c>
      <c r="AI32" s="120">
        <f t="shared" si="2"/>
        <v>0.33333333333333331</v>
      </c>
      <c r="AJ32" s="66">
        <f t="shared" si="7"/>
        <v>0.33333333333333331</v>
      </c>
      <c r="AK32" s="66">
        <f t="shared" si="8"/>
        <v>0.5</v>
      </c>
      <c r="AL32" s="67"/>
      <c r="AM32" s="989"/>
      <c r="AN32" s="990"/>
    </row>
    <row r="33" spans="1:40" ht="54.95" customHeight="1">
      <c r="A33" s="959" t="s">
        <v>29</v>
      </c>
      <c r="B33" s="960"/>
      <c r="C33" s="43">
        <f t="shared" ref="C33:AB33" si="11">SUM(C19:C22)</f>
        <v>0</v>
      </c>
      <c r="D33" s="44">
        <f t="shared" si="11"/>
        <v>0</v>
      </c>
      <c r="E33" s="45">
        <f t="shared" si="11"/>
        <v>0</v>
      </c>
      <c r="F33" s="46">
        <f t="shared" si="11"/>
        <v>0</v>
      </c>
      <c r="G33" s="47">
        <f t="shared" si="11"/>
        <v>0</v>
      </c>
      <c r="H33" s="44">
        <f t="shared" si="11"/>
        <v>1</v>
      </c>
      <c r="I33" s="45">
        <f t="shared" si="11"/>
        <v>0</v>
      </c>
      <c r="J33" s="46">
        <f t="shared" si="11"/>
        <v>0</v>
      </c>
      <c r="K33" s="661"/>
      <c r="L33" s="47">
        <f t="shared" si="11"/>
        <v>0</v>
      </c>
      <c r="M33" s="44">
        <f t="shared" si="11"/>
        <v>0</v>
      </c>
      <c r="N33" s="45">
        <f t="shared" si="11"/>
        <v>0</v>
      </c>
      <c r="O33" s="46">
        <f t="shared" si="11"/>
        <v>0</v>
      </c>
      <c r="P33" s="47">
        <f t="shared" si="11"/>
        <v>0</v>
      </c>
      <c r="Q33" s="44">
        <f t="shared" si="11"/>
        <v>0</v>
      </c>
      <c r="R33" s="45">
        <f t="shared" si="11"/>
        <v>0</v>
      </c>
      <c r="S33" s="48">
        <f t="shared" si="11"/>
        <v>0</v>
      </c>
      <c r="T33" s="661"/>
      <c r="U33" s="47">
        <f t="shared" si="11"/>
        <v>0</v>
      </c>
      <c r="V33" s="44">
        <f t="shared" si="11"/>
        <v>1</v>
      </c>
      <c r="W33" s="45">
        <f t="shared" si="11"/>
        <v>0</v>
      </c>
      <c r="X33" s="46">
        <f t="shared" si="11"/>
        <v>0</v>
      </c>
      <c r="Y33" s="47">
        <f t="shared" si="11"/>
        <v>0</v>
      </c>
      <c r="Z33" s="44">
        <f t="shared" si="11"/>
        <v>0</v>
      </c>
      <c r="AA33" s="45">
        <f t="shared" si="11"/>
        <v>0</v>
      </c>
      <c r="AB33" s="48">
        <f t="shared" si="11"/>
        <v>0</v>
      </c>
      <c r="AC33" s="993" t="s">
        <v>29</v>
      </c>
      <c r="AD33" s="994"/>
      <c r="AE33" s="68">
        <f t="shared" si="1"/>
        <v>2</v>
      </c>
      <c r="AF33" s="122">
        <f t="shared" si="4"/>
        <v>0</v>
      </c>
      <c r="AG33" s="122">
        <f t="shared" si="5"/>
        <v>0</v>
      </c>
      <c r="AH33" s="122">
        <f t="shared" si="6"/>
        <v>0</v>
      </c>
      <c r="AI33" s="122">
        <f t="shared" si="2"/>
        <v>0.5</v>
      </c>
      <c r="AJ33" s="69">
        <f t="shared" si="7"/>
        <v>0</v>
      </c>
      <c r="AK33" s="69">
        <f t="shared" si="8"/>
        <v>0.5</v>
      </c>
      <c r="AL33" s="70"/>
      <c r="AM33" s="991"/>
      <c r="AN33" s="992"/>
    </row>
    <row r="34" spans="1:40" ht="54.95" customHeight="1">
      <c r="A34" s="950" t="s">
        <v>12</v>
      </c>
      <c r="B34" s="951"/>
      <c r="C34" s="49">
        <f t="shared" ref="C34:AB34" si="12">SUM(C11:C22)</f>
        <v>2</v>
      </c>
      <c r="D34" s="50">
        <f t="shared" si="12"/>
        <v>6</v>
      </c>
      <c r="E34" s="51">
        <f t="shared" si="12"/>
        <v>1</v>
      </c>
      <c r="F34" s="52">
        <f t="shared" si="12"/>
        <v>1</v>
      </c>
      <c r="G34" s="53">
        <f t="shared" si="12"/>
        <v>0</v>
      </c>
      <c r="H34" s="50">
        <f t="shared" si="12"/>
        <v>1</v>
      </c>
      <c r="I34" s="51">
        <f t="shared" si="12"/>
        <v>2</v>
      </c>
      <c r="J34" s="52">
        <f t="shared" si="12"/>
        <v>0</v>
      </c>
      <c r="K34" s="662"/>
      <c r="L34" s="53">
        <f t="shared" si="12"/>
        <v>0</v>
      </c>
      <c r="M34" s="50">
        <f t="shared" si="12"/>
        <v>0</v>
      </c>
      <c r="N34" s="51">
        <f t="shared" si="12"/>
        <v>1</v>
      </c>
      <c r="O34" s="52">
        <f t="shared" si="12"/>
        <v>0</v>
      </c>
      <c r="P34" s="53">
        <f t="shared" si="12"/>
        <v>2</v>
      </c>
      <c r="Q34" s="50">
        <f t="shared" si="12"/>
        <v>3</v>
      </c>
      <c r="R34" s="51">
        <f t="shared" si="12"/>
        <v>3</v>
      </c>
      <c r="S34" s="54">
        <f t="shared" si="12"/>
        <v>1</v>
      </c>
      <c r="T34" s="662"/>
      <c r="U34" s="53">
        <f t="shared" si="12"/>
        <v>0</v>
      </c>
      <c r="V34" s="50">
        <f t="shared" si="12"/>
        <v>2</v>
      </c>
      <c r="W34" s="51">
        <f t="shared" si="12"/>
        <v>0</v>
      </c>
      <c r="X34" s="52">
        <f t="shared" si="12"/>
        <v>1</v>
      </c>
      <c r="Y34" s="53">
        <f t="shared" si="12"/>
        <v>0</v>
      </c>
      <c r="Z34" s="50">
        <f t="shared" si="12"/>
        <v>0</v>
      </c>
      <c r="AA34" s="51">
        <f t="shared" si="12"/>
        <v>0</v>
      </c>
      <c r="AB34" s="54">
        <f t="shared" si="12"/>
        <v>0</v>
      </c>
      <c r="AC34" s="968" t="s">
        <v>12</v>
      </c>
      <c r="AD34" s="969"/>
      <c r="AE34" s="20">
        <f t="shared" si="1"/>
        <v>26</v>
      </c>
      <c r="AF34" s="193">
        <f t="shared" si="4"/>
        <v>0.42307692307692307</v>
      </c>
      <c r="AG34" s="193">
        <f t="shared" si="5"/>
        <v>0.38461538461538464</v>
      </c>
      <c r="AH34" s="193">
        <f t="shared" si="6"/>
        <v>0.7</v>
      </c>
      <c r="AI34" s="193">
        <f t="shared" si="2"/>
        <v>0.46153846153846156</v>
      </c>
      <c r="AJ34" s="22">
        <f t="shared" si="7"/>
        <v>0.38461538461538464</v>
      </c>
      <c r="AK34" s="22">
        <f t="shared" si="8"/>
        <v>0.5</v>
      </c>
      <c r="AL34" s="24"/>
      <c r="AM34" s="982"/>
      <c r="AN34" s="983"/>
    </row>
    <row r="35" spans="1:40" ht="54.95" customHeight="1" thickBot="1">
      <c r="A35" s="954" t="str">
        <f>IF($AE$29=MAX($AE$29:$AE$33),A29,IF($AE$30=MAX($AE$29:$AE$33),A30,IF($AE$31=MAX($AE$29:$AE$33),A31,IF($AE$32=MAX($AE$29:$AE$33),A32,A33))))</f>
        <v>de 7:00 à 8:00</v>
      </c>
      <c r="B35" s="955"/>
      <c r="C35" s="55">
        <f t="shared" ref="C35:J35" si="13">IF($AE$29=MAX($AE$29:$AE$33),C29,IF($AE$30=MAX($AE$29:$AE$33),C30,IF($AE$31=MAX($AE$29:$AE$33),C31,IF($AE$32=MAX($AE$29:$AE$33),C32,C33))))</f>
        <v>2</v>
      </c>
      <c r="D35" s="56">
        <f t="shared" si="13"/>
        <v>4</v>
      </c>
      <c r="E35" s="57">
        <f t="shared" si="13"/>
        <v>1</v>
      </c>
      <c r="F35" s="58">
        <f t="shared" si="13"/>
        <v>1</v>
      </c>
      <c r="G35" s="59">
        <f t="shared" si="13"/>
        <v>0</v>
      </c>
      <c r="H35" s="56">
        <f t="shared" si="13"/>
        <v>0</v>
      </c>
      <c r="I35" s="57">
        <f t="shared" si="13"/>
        <v>2</v>
      </c>
      <c r="J35" s="58">
        <f t="shared" si="13"/>
        <v>0</v>
      </c>
      <c r="K35" s="663"/>
      <c r="L35" s="59">
        <f t="shared" ref="L35:S35" si="14">IF($AE$29=MAX($AE$29:$AE$33),L29,IF($AE$30=MAX($AE$29:$AE$33),L30,IF($AE$31=MAX($AE$29:$AE$33),L31,IF($AE$32=MAX($AE$29:$AE$33),L32,L33))))</f>
        <v>0</v>
      </c>
      <c r="M35" s="56">
        <f t="shared" si="14"/>
        <v>0</v>
      </c>
      <c r="N35" s="57">
        <f t="shared" si="14"/>
        <v>0</v>
      </c>
      <c r="O35" s="58">
        <f t="shared" si="14"/>
        <v>0</v>
      </c>
      <c r="P35" s="59">
        <f t="shared" si="14"/>
        <v>2</v>
      </c>
      <c r="Q35" s="56">
        <f t="shared" si="14"/>
        <v>3</v>
      </c>
      <c r="R35" s="57">
        <f t="shared" si="14"/>
        <v>2</v>
      </c>
      <c r="S35" s="60">
        <f t="shared" si="14"/>
        <v>1</v>
      </c>
      <c r="T35" s="663"/>
      <c r="U35" s="59">
        <f t="shared" ref="U35:AB35" si="15">IF($AE$29=MAX($AE$29:$AE$33),U29,IF($AE$30=MAX($AE$29:$AE$33),U30,IF($AE$31=MAX($AE$29:$AE$33),U31,IF($AE$32=MAX($AE$29:$AE$33),U32,U33))))</f>
        <v>0</v>
      </c>
      <c r="V35" s="56">
        <f t="shared" si="15"/>
        <v>1</v>
      </c>
      <c r="W35" s="57">
        <f t="shared" si="15"/>
        <v>0</v>
      </c>
      <c r="X35" s="58">
        <f t="shared" si="15"/>
        <v>1</v>
      </c>
      <c r="Y35" s="59">
        <f t="shared" si="15"/>
        <v>0</v>
      </c>
      <c r="Z35" s="56">
        <f t="shared" si="15"/>
        <v>0</v>
      </c>
      <c r="AA35" s="57">
        <f t="shared" si="15"/>
        <v>0</v>
      </c>
      <c r="AB35" s="60">
        <f t="shared" si="15"/>
        <v>0</v>
      </c>
      <c r="AC35" s="998" t="str">
        <f>A35</f>
        <v>de 7:00 à 8:00</v>
      </c>
      <c r="AD35" s="999"/>
      <c r="AE35" s="21">
        <f t="shared" si="1"/>
        <v>20</v>
      </c>
      <c r="AF35" s="194">
        <f t="shared" si="4"/>
        <v>0.45</v>
      </c>
      <c r="AG35" s="194">
        <f t="shared" si="5"/>
        <v>0.4</v>
      </c>
      <c r="AH35" s="194">
        <f t="shared" si="6"/>
        <v>0.625</v>
      </c>
      <c r="AI35" s="194">
        <f t="shared" si="2"/>
        <v>0.5</v>
      </c>
      <c r="AJ35" s="23">
        <f t="shared" si="7"/>
        <v>0.4</v>
      </c>
      <c r="AK35" s="23">
        <f t="shared" si="8"/>
        <v>0.5</v>
      </c>
      <c r="AL35" s="25"/>
      <c r="AM35" s="984"/>
      <c r="AN35" s="985"/>
    </row>
    <row r="36" spans="1:40" ht="12.75" customHeight="1" thickTop="1" thickBot="1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0"/>
      <c r="V36" s="101"/>
      <c r="W36" s="101"/>
      <c r="X36" s="101"/>
      <c r="Y36" s="101"/>
      <c r="Z36" s="101"/>
      <c r="AA36" s="101"/>
      <c r="AB36" s="101"/>
      <c r="AC36" s="61"/>
      <c r="AD36" s="61"/>
      <c r="AE36" s="101"/>
      <c r="AF36" s="101"/>
      <c r="AG36" s="100"/>
      <c r="AH36" s="101"/>
      <c r="AI36" s="101"/>
      <c r="AJ36" s="101"/>
      <c r="AK36" s="101"/>
      <c r="AL36" s="101"/>
      <c r="AM36" s="61"/>
      <c r="AN36" s="105"/>
    </row>
    <row r="37" spans="1:40" ht="32.25" customHeight="1" thickTop="1">
      <c r="A37" s="106"/>
      <c r="B37" s="61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106"/>
      <c r="AD37" s="61"/>
      <c r="AE37" s="205"/>
      <c r="AF37" s="1000" t="s">
        <v>108</v>
      </c>
      <c r="AG37" s="1000" t="s">
        <v>109</v>
      </c>
      <c r="AH37" s="1000" t="s">
        <v>110</v>
      </c>
      <c r="AI37" s="979" t="s">
        <v>19</v>
      </c>
      <c r="AJ37" s="208" t="s">
        <v>20</v>
      </c>
      <c r="AK37" s="209" t="s">
        <v>83</v>
      </c>
      <c r="AL37" s="209"/>
      <c r="AM37" s="209"/>
      <c r="AN37" s="209"/>
    </row>
    <row r="38" spans="1:40" ht="22.7" customHeight="1">
      <c r="A38" s="106"/>
      <c r="B38" s="61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106"/>
      <c r="AD38" s="61"/>
      <c r="AE38" s="205"/>
      <c r="AF38" s="1001"/>
      <c r="AG38" s="1001"/>
      <c r="AH38" s="1001"/>
      <c r="AI38" s="980"/>
      <c r="AJ38" s="208"/>
      <c r="AK38" s="209"/>
      <c r="AL38" s="209"/>
      <c r="AM38" s="209"/>
      <c r="AN38" s="209"/>
    </row>
    <row r="39" spans="1:40" ht="18.600000000000001" customHeight="1">
      <c r="A39" s="106"/>
      <c r="B39" s="61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106"/>
      <c r="AD39" s="61"/>
      <c r="AE39" s="205"/>
      <c r="AF39" s="1001"/>
      <c r="AG39" s="1001"/>
      <c r="AH39" s="1001"/>
      <c r="AI39" s="980"/>
      <c r="AJ39" s="208"/>
      <c r="AK39" s="209"/>
      <c r="AL39" s="209"/>
      <c r="AM39" s="209"/>
      <c r="AN39" s="209"/>
    </row>
    <row r="40" spans="1:40" ht="20.25">
      <c r="A40" s="206"/>
      <c r="B40" s="206"/>
      <c r="C40" s="747"/>
      <c r="D40" s="747"/>
      <c r="E40" s="747"/>
      <c r="F40" s="747"/>
      <c r="G40" s="747"/>
      <c r="H40" s="747"/>
      <c r="I40" s="747"/>
      <c r="J40" s="747"/>
      <c r="K40" s="747"/>
      <c r="L40" s="747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  <c r="AA40" s="747"/>
      <c r="AB40" s="747"/>
      <c r="AC40" s="206"/>
      <c r="AD40" s="206"/>
      <c r="AE40" s="205"/>
      <c r="AF40" s="1002"/>
      <c r="AG40" s="1002"/>
      <c r="AH40" s="1002"/>
      <c r="AI40" s="981"/>
      <c r="AJ40" s="208"/>
      <c r="AK40" s="209"/>
      <c r="AL40" s="209"/>
      <c r="AM40" s="209"/>
      <c r="AN40" s="209"/>
    </row>
    <row r="41" spans="1:40" ht="54.95" customHeight="1">
      <c r="A41" s="206"/>
      <c r="B41" s="206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206"/>
      <c r="AD41" s="206"/>
      <c r="AE41" s="207"/>
      <c r="AF41" s="196">
        <f>(C29+E29+G29+I29+L29+N29+P29+R29+U29+W29+Y29+AA29)</f>
        <v>5</v>
      </c>
      <c r="AG41" s="196">
        <f>(E29+F29+I29+J29+N29+O29+R29+S29+W29+X29+AA29+AB29)</f>
        <v>3</v>
      </c>
      <c r="AH41" s="196">
        <f>(E29+I29+N29+R29+W29+AA29)</f>
        <v>3</v>
      </c>
      <c r="AI41" s="196">
        <f>SUM(G29:J29,P29:S29)</f>
        <v>6</v>
      </c>
      <c r="AJ41" s="210">
        <f>SUM(L29:S29)</f>
        <v>5</v>
      </c>
      <c r="AK41" s="104">
        <f>SUM(C29:J29)</f>
        <v>5</v>
      </c>
      <c r="AL41" s="104"/>
      <c r="AM41" s="211"/>
      <c r="AN41" s="211"/>
    </row>
    <row r="42" spans="1:40" ht="54.95" customHeight="1">
      <c r="A42" s="206"/>
      <c r="B42" s="206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206"/>
      <c r="AD42" s="206"/>
      <c r="AE42" s="207"/>
      <c r="AF42" s="197">
        <f t="shared" ref="AF42:AF47" si="16">(C30+E30+G30+I30+L30+N30+P30+R30+U30+W30+Y30+AA30)</f>
        <v>9</v>
      </c>
      <c r="AG42" s="197">
        <f t="shared" ref="AG42:AG47" si="17">(E30+F30+I30+J30+N30+O30+R30+S30+W30+X30+AA30+AB30)</f>
        <v>8</v>
      </c>
      <c r="AH42" s="197">
        <f t="shared" ref="AH42:AH47" si="18">(E30+I30+N30+R30+W30+AA30)</f>
        <v>5</v>
      </c>
      <c r="AI42" s="197">
        <f t="shared" ref="AI42:AI47" si="19">SUM(G30:J30,P30:S30)</f>
        <v>10</v>
      </c>
      <c r="AJ42" s="210">
        <f t="shared" ref="AJ42:AJ47" si="20">SUM(L30:S30)</f>
        <v>8</v>
      </c>
      <c r="AK42" s="104">
        <f t="shared" ref="AK42:AK47" si="21">SUM(C30:J30)</f>
        <v>10</v>
      </c>
      <c r="AL42" s="104"/>
      <c r="AM42" s="211"/>
      <c r="AN42" s="211"/>
    </row>
    <row r="43" spans="1:40" ht="54.95" customHeight="1">
      <c r="A43" s="206"/>
      <c r="B43" s="206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206"/>
      <c r="AD43" s="206"/>
      <c r="AE43" s="207"/>
      <c r="AF43" s="197">
        <f t="shared" si="16"/>
        <v>6</v>
      </c>
      <c r="AG43" s="197">
        <f t="shared" si="17"/>
        <v>7</v>
      </c>
      <c r="AH43" s="197">
        <f t="shared" si="18"/>
        <v>4</v>
      </c>
      <c r="AI43" s="197">
        <f t="shared" si="19"/>
        <v>5</v>
      </c>
      <c r="AJ43" s="210">
        <f t="shared" si="20"/>
        <v>5</v>
      </c>
      <c r="AK43" s="104">
        <f t="shared" si="21"/>
        <v>7</v>
      </c>
      <c r="AL43" s="104"/>
      <c r="AM43" s="211"/>
      <c r="AN43" s="211"/>
    </row>
    <row r="44" spans="1:40" ht="54.95" customHeight="1">
      <c r="A44" s="206"/>
      <c r="B44" s="206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206"/>
      <c r="AD44" s="206"/>
      <c r="AE44" s="207"/>
      <c r="AF44" s="197">
        <f t="shared" si="16"/>
        <v>2</v>
      </c>
      <c r="AG44" s="197">
        <f t="shared" si="17"/>
        <v>2</v>
      </c>
      <c r="AH44" s="197">
        <f t="shared" si="18"/>
        <v>2</v>
      </c>
      <c r="AI44" s="197">
        <f t="shared" si="19"/>
        <v>2</v>
      </c>
      <c r="AJ44" s="210">
        <f t="shared" si="20"/>
        <v>2</v>
      </c>
      <c r="AK44" s="104">
        <f t="shared" si="21"/>
        <v>3</v>
      </c>
      <c r="AL44" s="104"/>
      <c r="AM44" s="211"/>
      <c r="AN44" s="211"/>
    </row>
    <row r="45" spans="1:40" ht="54.95" customHeight="1">
      <c r="A45" s="206"/>
      <c r="B45" s="206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206"/>
      <c r="AD45" s="206"/>
      <c r="AE45" s="207"/>
      <c r="AF45" s="198">
        <f t="shared" si="16"/>
        <v>0</v>
      </c>
      <c r="AG45" s="198">
        <f t="shared" si="17"/>
        <v>0</v>
      </c>
      <c r="AH45" s="198">
        <f t="shared" si="18"/>
        <v>0</v>
      </c>
      <c r="AI45" s="198">
        <f t="shared" si="19"/>
        <v>1</v>
      </c>
      <c r="AJ45" s="210">
        <f t="shared" si="20"/>
        <v>0</v>
      </c>
      <c r="AK45" s="104">
        <f t="shared" si="21"/>
        <v>1</v>
      </c>
      <c r="AL45" s="104"/>
      <c r="AM45" s="211"/>
      <c r="AN45" s="211"/>
    </row>
    <row r="46" spans="1:40" ht="54.95" customHeight="1">
      <c r="A46" s="206"/>
      <c r="B46" s="206"/>
      <c r="C46" s="747"/>
      <c r="D46" s="747"/>
      <c r="E46" s="747"/>
      <c r="F46" s="747"/>
      <c r="G46" s="747"/>
      <c r="H46" s="747"/>
      <c r="I46" s="747"/>
      <c r="J46" s="747"/>
      <c r="K46" s="747"/>
      <c r="L46" s="747"/>
      <c r="M46" s="747"/>
      <c r="N46" s="747"/>
      <c r="O46" s="747"/>
      <c r="P46" s="747"/>
      <c r="Q46" s="747"/>
      <c r="R46" s="747"/>
      <c r="S46" s="747"/>
      <c r="T46" s="747"/>
      <c r="U46" s="747"/>
      <c r="V46" s="747"/>
      <c r="W46" s="747"/>
      <c r="X46" s="747"/>
      <c r="Y46" s="747"/>
      <c r="Z46" s="747"/>
      <c r="AA46" s="747"/>
      <c r="AB46" s="747"/>
      <c r="AC46" s="206"/>
      <c r="AD46" s="206"/>
      <c r="AE46" s="207"/>
      <c r="AF46" s="199">
        <f t="shared" si="16"/>
        <v>11</v>
      </c>
      <c r="AG46" s="199">
        <f t="shared" si="17"/>
        <v>10</v>
      </c>
      <c r="AH46" s="199">
        <f t="shared" si="18"/>
        <v>7</v>
      </c>
      <c r="AI46" s="199">
        <f t="shared" si="19"/>
        <v>12</v>
      </c>
      <c r="AJ46" s="210">
        <f t="shared" si="20"/>
        <v>10</v>
      </c>
      <c r="AK46" s="104">
        <f t="shared" si="21"/>
        <v>13</v>
      </c>
      <c r="AL46" s="104"/>
      <c r="AM46" s="211"/>
      <c r="AN46" s="211"/>
    </row>
    <row r="47" spans="1:40" ht="54.95" customHeight="1" thickBot="1">
      <c r="A47" s="206"/>
      <c r="B47" s="206"/>
      <c r="C47" s="747"/>
      <c r="D47" s="747"/>
      <c r="E47" s="747"/>
      <c r="F47" s="747"/>
      <c r="G47" s="747"/>
      <c r="H47" s="747"/>
      <c r="I47" s="747"/>
      <c r="J47" s="747"/>
      <c r="K47" s="747"/>
      <c r="L47" s="747"/>
      <c r="M47" s="747"/>
      <c r="N47" s="747"/>
      <c r="O47" s="747"/>
      <c r="P47" s="747"/>
      <c r="Q47" s="747"/>
      <c r="R47" s="747"/>
      <c r="S47" s="747"/>
      <c r="T47" s="747"/>
      <c r="U47" s="747"/>
      <c r="V47" s="747"/>
      <c r="W47" s="747"/>
      <c r="X47" s="747"/>
      <c r="Y47" s="747"/>
      <c r="Z47" s="747"/>
      <c r="AA47" s="747"/>
      <c r="AB47" s="747"/>
      <c r="AC47" s="206"/>
      <c r="AD47" s="206"/>
      <c r="AE47" s="207"/>
      <c r="AF47" s="200">
        <f t="shared" si="16"/>
        <v>9</v>
      </c>
      <c r="AG47" s="200">
        <f t="shared" si="17"/>
        <v>8</v>
      </c>
      <c r="AH47" s="200">
        <f t="shared" si="18"/>
        <v>5</v>
      </c>
      <c r="AI47" s="200">
        <f t="shared" si="19"/>
        <v>10</v>
      </c>
      <c r="AJ47" s="210">
        <f t="shared" si="20"/>
        <v>8</v>
      </c>
      <c r="AK47" s="104">
        <f t="shared" si="21"/>
        <v>10</v>
      </c>
      <c r="AL47" s="104"/>
      <c r="AM47" s="211"/>
      <c r="AN47" s="211"/>
    </row>
    <row r="48" spans="1:40" ht="25.5" customHeight="1" thickTop="1">
      <c r="A48" s="20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U48" s="7"/>
      <c r="V48" s="7"/>
      <c r="W48" s="7"/>
      <c r="X48" s="7"/>
      <c r="Y48" s="7"/>
      <c r="Z48" s="7"/>
      <c r="AA48" s="7"/>
    </row>
  </sheetData>
  <mergeCells count="82">
    <mergeCell ref="AL25:AN28"/>
    <mergeCell ref="AM29:AN29"/>
    <mergeCell ref="AM30:AN30"/>
    <mergeCell ref="AG25:AG28"/>
    <mergeCell ref="Y26:AB26"/>
    <mergeCell ref="U25:AB25"/>
    <mergeCell ref="AE25:AE28"/>
    <mergeCell ref="AF25:AF28"/>
    <mergeCell ref="C5:O5"/>
    <mergeCell ref="Y8:AB8"/>
    <mergeCell ref="C8:F8"/>
    <mergeCell ref="G8:J8"/>
    <mergeCell ref="L8:O8"/>
    <mergeCell ref="P8:S8"/>
    <mergeCell ref="U8:X8"/>
    <mergeCell ref="C7:J7"/>
    <mergeCell ref="L7:S7"/>
    <mergeCell ref="U7:AB7"/>
    <mergeCell ref="P9:Q9"/>
    <mergeCell ref="R9:S9"/>
    <mergeCell ref="A31:B31"/>
    <mergeCell ref="AC31:AD31"/>
    <mergeCell ref="AH25:AH28"/>
    <mergeCell ref="U9:V9"/>
    <mergeCell ref="W9:X9"/>
    <mergeCell ref="Y9:Z9"/>
    <mergeCell ref="I9:J9"/>
    <mergeCell ref="L9:M9"/>
    <mergeCell ref="N9:O9"/>
    <mergeCell ref="A13:A16"/>
    <mergeCell ref="A17:A20"/>
    <mergeCell ref="C27:D27"/>
    <mergeCell ref="E27:F27"/>
    <mergeCell ref="G27:H27"/>
    <mergeCell ref="AI25:AI28"/>
    <mergeCell ref="AJ25:AJ28"/>
    <mergeCell ref="W27:X27"/>
    <mergeCell ref="G26:J26"/>
    <mergeCell ref="L26:O26"/>
    <mergeCell ref="P26:S26"/>
    <mergeCell ref="U26:X26"/>
    <mergeCell ref="U27:V27"/>
    <mergeCell ref="C25:J25"/>
    <mergeCell ref="L25:S25"/>
    <mergeCell ref="C26:F26"/>
    <mergeCell ref="A35:B35"/>
    <mergeCell ref="AC35:AD35"/>
    <mergeCell ref="AF37:AF40"/>
    <mergeCell ref="AG37:AG40"/>
    <mergeCell ref="AH37:AH40"/>
    <mergeCell ref="AI37:AI40"/>
    <mergeCell ref="AM34:AN34"/>
    <mergeCell ref="AM35:AN35"/>
    <mergeCell ref="C24:O24"/>
    <mergeCell ref="R5:AA5"/>
    <mergeCell ref="AC29:AD29"/>
    <mergeCell ref="AM31:AN31"/>
    <mergeCell ref="AM32:AN32"/>
    <mergeCell ref="AM33:AN33"/>
    <mergeCell ref="AC33:AD33"/>
    <mergeCell ref="AC30:AD30"/>
    <mergeCell ref="AK25:AK28"/>
    <mergeCell ref="AA9:AB9"/>
    <mergeCell ref="C9:D9"/>
    <mergeCell ref="E9:F9"/>
    <mergeCell ref="G9:H9"/>
    <mergeCell ref="A34:B34"/>
    <mergeCell ref="AC34:AD34"/>
    <mergeCell ref="A32:B32"/>
    <mergeCell ref="AC32:AD32"/>
    <mergeCell ref="Y27:Z27"/>
    <mergeCell ref="AA27:AB27"/>
    <mergeCell ref="A28:B28"/>
    <mergeCell ref="AC28:AD28"/>
    <mergeCell ref="I27:J27"/>
    <mergeCell ref="L27:M27"/>
    <mergeCell ref="N27:O27"/>
    <mergeCell ref="P27:Q27"/>
    <mergeCell ref="R27:S27"/>
    <mergeCell ref="A29:B29"/>
    <mergeCell ref="A33:B33"/>
    <mergeCell ref="A30:B30"/>
  </mergeCells>
  <pageMargins left="0.19685039370078741" right="0.19685039370078741" top="0.39370078740157483" bottom="0.39370078740157483" header="0.59055118110236227" footer="0.59055118110236227"/>
  <pageSetup paperSize="9" scale="39" fitToHeight="0" pageOrder="overThenDown" orientation="landscape" useFirstPageNumber="1" r:id="rId1"/>
  <headerFooter alignWithMargins="0"/>
  <colBreaks count="1" manualBreakCount="1">
    <brk id="28" max="2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R67"/>
  <sheetViews>
    <sheetView view="pageBreakPreview" zoomScale="40" zoomScaleNormal="55" zoomScaleSheetLayoutView="40" workbookViewId="0">
      <pane xSplit="2" ySplit="11" topLeftCell="C12" activePane="bottomRight" state="frozen"/>
      <selection activeCell="N3" sqref="N3"/>
      <selection pane="topRight" activeCell="N3" sqref="N3"/>
      <selection pane="bottomLeft" activeCell="N3" sqref="N3"/>
      <selection pane="bottomRight" activeCell="AE17" sqref="AE17"/>
    </sheetView>
  </sheetViews>
  <sheetFormatPr baseColWidth="10" defaultRowHeight="14.25" outlineLevelRow="1"/>
  <cols>
    <col min="1" max="1" width="9.125" style="8" customWidth="1"/>
    <col min="2" max="2" width="13.75" style="8" customWidth="1"/>
    <col min="3" max="14" width="12.875" style="8" customWidth="1"/>
    <col min="15" max="15" width="2.625" style="8" customWidth="1"/>
    <col min="16" max="27" width="12.875" style="8" customWidth="1"/>
    <col min="28" max="28" width="9.125" style="8" customWidth="1"/>
    <col min="29" max="29" width="13.75" style="8" customWidth="1"/>
    <col min="30" max="35" width="21.125" style="8" customWidth="1"/>
    <col min="36" max="36" width="123.625" style="8" customWidth="1"/>
    <col min="37" max="37" width="21.125" style="8" customWidth="1"/>
    <col min="38" max="44" width="10.625" style="8" customWidth="1"/>
    <col min="45" max="16384" width="11" style="8"/>
  </cols>
  <sheetData>
    <row r="1" spans="1:33" ht="52.5" customHeight="1" thickBot="1">
      <c r="A1" s="283" t="s">
        <v>89</v>
      </c>
      <c r="B1" s="284" t="s">
        <v>35</v>
      </c>
      <c r="C1" s="285"/>
      <c r="D1" s="285"/>
      <c r="E1" s="285"/>
      <c r="F1" s="286"/>
      <c r="G1" s="286"/>
      <c r="H1" s="285"/>
      <c r="I1" s="285"/>
      <c r="J1" s="286"/>
      <c r="K1" s="286"/>
      <c r="L1" s="287"/>
      <c r="M1" s="240" t="s">
        <v>30</v>
      </c>
      <c r="N1" s="241" t="s">
        <v>139</v>
      </c>
      <c r="O1" s="241"/>
      <c r="P1" s="285"/>
      <c r="Q1" s="285"/>
      <c r="R1" s="285"/>
      <c r="S1" s="285"/>
      <c r="T1" s="285"/>
      <c r="U1" s="285"/>
      <c r="V1" s="285"/>
      <c r="W1" s="758"/>
      <c r="X1" s="770"/>
      <c r="Y1" s="289"/>
      <c r="Z1" s="289"/>
      <c r="AA1" s="290"/>
    </row>
    <row r="2" spans="1:33" ht="52.5" customHeight="1" thickBot="1">
      <c r="A2" s="227" t="s">
        <v>2</v>
      </c>
      <c r="B2" s="228"/>
      <c r="C2" s="228"/>
      <c r="D2" s="228"/>
      <c r="E2" s="228"/>
      <c r="F2" s="228"/>
      <c r="G2" s="735" t="s">
        <v>149</v>
      </c>
      <c r="H2" s="285"/>
      <c r="I2" s="285"/>
      <c r="J2" s="285"/>
      <c r="K2" s="285"/>
      <c r="L2" s="285"/>
      <c r="M2" s="285"/>
      <c r="N2" s="285"/>
      <c r="O2" s="600"/>
      <c r="P2" s="285"/>
      <c r="Q2" s="285"/>
      <c r="R2" s="285"/>
      <c r="S2" s="285"/>
      <c r="T2" s="285"/>
      <c r="U2" s="285"/>
      <c r="V2" s="285"/>
      <c r="W2" s="758"/>
      <c r="X2" s="770"/>
      <c r="Y2" s="228"/>
      <c r="Z2" s="228"/>
      <c r="AA2" s="228"/>
    </row>
    <row r="3" spans="1:33" ht="52.5" customHeight="1" thickBot="1">
      <c r="A3" s="227" t="s">
        <v>3</v>
      </c>
      <c r="B3" s="228"/>
      <c r="C3" s="757" t="s">
        <v>151</v>
      </c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70"/>
      <c r="Y3" s="228"/>
      <c r="Z3" s="228"/>
      <c r="AA3" s="245"/>
    </row>
    <row r="4" spans="1:33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45"/>
    </row>
    <row r="5" spans="1:33" s="642" customFormat="1" ht="75" customHeight="1">
      <c r="A5" s="639" t="s">
        <v>27</v>
      </c>
      <c r="B5" s="640"/>
      <c r="C5" s="866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666"/>
      <c r="P5" s="641" t="s">
        <v>134</v>
      </c>
      <c r="Q5" s="640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</row>
    <row r="6" spans="1:33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597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45"/>
    </row>
    <row r="7" spans="1:33" ht="32.25" customHeight="1" thickTop="1">
      <c r="A7" s="227"/>
      <c r="B7" s="228"/>
      <c r="C7" s="875" t="s">
        <v>52</v>
      </c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O7" s="636"/>
      <c r="P7" s="875" t="s">
        <v>58</v>
      </c>
      <c r="Q7" s="876"/>
      <c r="R7" s="876"/>
      <c r="S7" s="876"/>
      <c r="T7" s="876"/>
      <c r="U7" s="876"/>
      <c r="V7" s="876"/>
      <c r="W7" s="876"/>
      <c r="X7" s="876"/>
      <c r="Y7" s="876"/>
      <c r="Z7" s="876"/>
      <c r="AA7" s="877"/>
      <c r="AC7" s="9"/>
      <c r="AD7" s="9"/>
      <c r="AE7" s="9"/>
      <c r="AF7" s="9"/>
      <c r="AG7" s="9"/>
    </row>
    <row r="8" spans="1:33" ht="22.7" customHeight="1">
      <c r="A8" s="227"/>
      <c r="B8" s="228"/>
      <c r="C8" s="878" t="s">
        <v>53</v>
      </c>
      <c r="D8" s="879"/>
      <c r="E8" s="879"/>
      <c r="F8" s="879"/>
      <c r="G8" s="879" t="s">
        <v>56</v>
      </c>
      <c r="H8" s="879"/>
      <c r="I8" s="879"/>
      <c r="J8" s="879"/>
      <c r="K8" s="879" t="s">
        <v>54</v>
      </c>
      <c r="L8" s="879"/>
      <c r="M8" s="879"/>
      <c r="N8" s="879"/>
      <c r="O8" s="583"/>
      <c r="P8" s="878" t="s">
        <v>53</v>
      </c>
      <c r="Q8" s="879"/>
      <c r="R8" s="879"/>
      <c r="S8" s="879"/>
      <c r="T8" s="879" t="s">
        <v>56</v>
      </c>
      <c r="U8" s="879"/>
      <c r="V8" s="879"/>
      <c r="W8" s="879"/>
      <c r="X8" s="879" t="s">
        <v>55</v>
      </c>
      <c r="Y8" s="879"/>
      <c r="Z8" s="879"/>
      <c r="AA8" s="880"/>
    </row>
    <row r="9" spans="1:33" ht="18.600000000000001" customHeight="1" thickBot="1">
      <c r="A9" s="227"/>
      <c r="B9" s="228"/>
      <c r="C9" s="913" t="s">
        <v>4</v>
      </c>
      <c r="D9" s="914"/>
      <c r="E9" s="915" t="s">
        <v>5</v>
      </c>
      <c r="F9" s="916"/>
      <c r="G9" s="917" t="s">
        <v>4</v>
      </c>
      <c r="H9" s="918"/>
      <c r="I9" s="915" t="s">
        <v>5</v>
      </c>
      <c r="J9" s="916"/>
      <c r="K9" s="917" t="s">
        <v>4</v>
      </c>
      <c r="L9" s="919"/>
      <c r="M9" s="920" t="s">
        <v>5</v>
      </c>
      <c r="N9" s="916"/>
      <c r="O9" s="624"/>
      <c r="P9" s="913" t="s">
        <v>4</v>
      </c>
      <c r="Q9" s="914"/>
      <c r="R9" s="915" t="s">
        <v>5</v>
      </c>
      <c r="S9" s="916"/>
      <c r="T9" s="917" t="s">
        <v>4</v>
      </c>
      <c r="U9" s="918"/>
      <c r="V9" s="915" t="s">
        <v>5</v>
      </c>
      <c r="W9" s="916"/>
      <c r="X9" s="917" t="s">
        <v>4</v>
      </c>
      <c r="Y9" s="919"/>
      <c r="Z9" s="920" t="s">
        <v>5</v>
      </c>
      <c r="AA9" s="921"/>
    </row>
    <row r="10" spans="1:33" ht="21" thickTop="1">
      <c r="A10" s="763" t="s">
        <v>6</v>
      </c>
      <c r="B10" s="764" t="s">
        <v>7</v>
      </c>
      <c r="C10" s="787" t="s">
        <v>8</v>
      </c>
      <c r="D10" s="788" t="s">
        <v>9</v>
      </c>
      <c r="E10" s="803" t="s">
        <v>8</v>
      </c>
      <c r="F10" s="804" t="s">
        <v>9</v>
      </c>
      <c r="G10" s="819" t="s">
        <v>8</v>
      </c>
      <c r="H10" s="820" t="s">
        <v>9</v>
      </c>
      <c r="I10" s="803" t="s">
        <v>8</v>
      </c>
      <c r="J10" s="804" t="s">
        <v>9</v>
      </c>
      <c r="K10" s="819" t="s">
        <v>8</v>
      </c>
      <c r="L10" s="829" t="s">
        <v>9</v>
      </c>
      <c r="M10" s="831" t="s">
        <v>8</v>
      </c>
      <c r="N10" s="804" t="s">
        <v>9</v>
      </c>
      <c r="O10" s="637"/>
      <c r="P10" s="787" t="s">
        <v>8</v>
      </c>
      <c r="Q10" s="788" t="s">
        <v>9</v>
      </c>
      <c r="R10" s="803" t="s">
        <v>8</v>
      </c>
      <c r="S10" s="804" t="s">
        <v>9</v>
      </c>
      <c r="T10" s="819" t="s">
        <v>8</v>
      </c>
      <c r="U10" s="820" t="s">
        <v>9</v>
      </c>
      <c r="V10" s="803" t="s">
        <v>8</v>
      </c>
      <c r="W10" s="804" t="s">
        <v>9</v>
      </c>
      <c r="X10" s="819" t="s">
        <v>8</v>
      </c>
      <c r="Y10" s="829" t="s">
        <v>9</v>
      </c>
      <c r="Z10" s="831" t="s">
        <v>8</v>
      </c>
      <c r="AA10" s="833" t="s">
        <v>9</v>
      </c>
      <c r="AB10" s="10"/>
    </row>
    <row r="11" spans="1:33" ht="54.95" hidden="1" customHeight="1" outlineLevel="1">
      <c r="A11" s="761">
        <v>6</v>
      </c>
      <c r="B11" s="762" t="s">
        <v>25</v>
      </c>
      <c r="C11" s="789"/>
      <c r="D11" s="790"/>
      <c r="E11" s="805"/>
      <c r="F11" s="806"/>
      <c r="G11" s="821"/>
      <c r="H11" s="822"/>
      <c r="I11" s="805"/>
      <c r="J11" s="806"/>
      <c r="K11" s="821"/>
      <c r="L11" s="830"/>
      <c r="M11" s="832"/>
      <c r="N11" s="806"/>
      <c r="O11" s="638"/>
      <c r="P11" s="789"/>
      <c r="Q11" s="790"/>
      <c r="R11" s="805"/>
      <c r="S11" s="806"/>
      <c r="T11" s="821"/>
      <c r="U11" s="822"/>
      <c r="V11" s="805"/>
      <c r="W11" s="806"/>
      <c r="X11" s="821"/>
      <c r="Y11" s="830"/>
      <c r="Z11" s="832"/>
      <c r="AA11" s="834"/>
      <c r="AB11" s="2"/>
      <c r="AC11" s="2"/>
      <c r="AD11" s="2"/>
      <c r="AE11" s="2"/>
      <c r="AF11" s="2"/>
      <c r="AG11" s="2"/>
    </row>
    <row r="12" spans="1:33" ht="54.95" hidden="1" customHeight="1" outlineLevel="1">
      <c r="A12" s="761"/>
      <c r="B12" s="762" t="s">
        <v>26</v>
      </c>
      <c r="C12" s="789"/>
      <c r="D12" s="790"/>
      <c r="E12" s="805"/>
      <c r="F12" s="806"/>
      <c r="G12" s="821"/>
      <c r="H12" s="822"/>
      <c r="I12" s="805"/>
      <c r="J12" s="806"/>
      <c r="K12" s="821"/>
      <c r="L12" s="830"/>
      <c r="M12" s="832"/>
      <c r="N12" s="806"/>
      <c r="O12" s="638"/>
      <c r="P12" s="789"/>
      <c r="Q12" s="790"/>
      <c r="R12" s="805"/>
      <c r="S12" s="806"/>
      <c r="T12" s="821"/>
      <c r="U12" s="822"/>
      <c r="V12" s="805"/>
      <c r="W12" s="806"/>
      <c r="X12" s="821"/>
      <c r="Y12" s="830"/>
      <c r="Z12" s="832"/>
      <c r="AA12" s="834"/>
      <c r="AB12" s="2"/>
      <c r="AC12" s="2"/>
      <c r="AD12" s="2"/>
      <c r="AE12" s="2"/>
      <c r="AF12" s="2"/>
      <c r="AG12" s="2"/>
    </row>
    <row r="13" spans="1:33" ht="54.95" customHeight="1" collapsed="1">
      <c r="A13" s="963">
        <v>7</v>
      </c>
      <c r="B13" s="772" t="s">
        <v>140</v>
      </c>
      <c r="C13" s="791"/>
      <c r="D13" s="792"/>
      <c r="E13" s="807"/>
      <c r="F13" s="808"/>
      <c r="G13" s="823"/>
      <c r="H13" s="792"/>
      <c r="I13" s="807"/>
      <c r="J13" s="808"/>
      <c r="K13" s="791"/>
      <c r="L13" s="792"/>
      <c r="M13" s="807"/>
      <c r="N13" s="808"/>
      <c r="O13" s="638"/>
      <c r="P13" s="823"/>
      <c r="Q13" s="792"/>
      <c r="R13" s="807"/>
      <c r="S13" s="808"/>
      <c r="T13" s="791"/>
      <c r="U13" s="792"/>
      <c r="V13" s="807"/>
      <c r="W13" s="808"/>
      <c r="X13" s="823"/>
      <c r="Y13" s="792"/>
      <c r="Z13" s="807"/>
      <c r="AA13" s="808"/>
      <c r="AB13" s="17">
        <f>SUM(C13:AA13)</f>
        <v>0</v>
      </c>
      <c r="AC13" s="1025">
        <f>SUM(AB13:AB16)</f>
        <v>15</v>
      </c>
      <c r="AD13" s="2"/>
      <c r="AE13" s="2"/>
      <c r="AF13" s="2"/>
      <c r="AG13" s="2"/>
    </row>
    <row r="14" spans="1:33" ht="54.95" customHeight="1">
      <c r="A14" s="964"/>
      <c r="B14" s="773" t="s">
        <v>141</v>
      </c>
      <c r="C14" s="793"/>
      <c r="D14" s="794"/>
      <c r="E14" s="809"/>
      <c r="F14" s="810"/>
      <c r="G14" s="824"/>
      <c r="H14" s="794"/>
      <c r="I14" s="809"/>
      <c r="J14" s="810"/>
      <c r="K14" s="793"/>
      <c r="L14" s="794"/>
      <c r="M14" s="809"/>
      <c r="N14" s="810"/>
      <c r="O14" s="638"/>
      <c r="P14" s="824"/>
      <c r="Q14" s="794"/>
      <c r="R14" s="809"/>
      <c r="S14" s="810"/>
      <c r="T14" s="793"/>
      <c r="U14" s="794"/>
      <c r="V14" s="809">
        <v>1</v>
      </c>
      <c r="W14" s="810"/>
      <c r="X14" s="824"/>
      <c r="Y14" s="794"/>
      <c r="Z14" s="809"/>
      <c r="AA14" s="810"/>
      <c r="AB14" s="17">
        <f t="shared" ref="AB14:AB20" si="0">SUM(C14:AA14)</f>
        <v>1</v>
      </c>
      <c r="AC14" s="1025"/>
      <c r="AD14" s="2"/>
      <c r="AE14" s="2"/>
      <c r="AF14" s="2"/>
      <c r="AG14" s="2"/>
    </row>
    <row r="15" spans="1:33" ht="54.95" customHeight="1">
      <c r="A15" s="964"/>
      <c r="B15" s="773" t="s">
        <v>142</v>
      </c>
      <c r="C15" s="795"/>
      <c r="D15" s="796"/>
      <c r="E15" s="811"/>
      <c r="F15" s="812"/>
      <c r="G15" s="825"/>
      <c r="H15" s="796"/>
      <c r="I15" s="811"/>
      <c r="J15" s="812"/>
      <c r="K15" s="795"/>
      <c r="L15" s="796"/>
      <c r="M15" s="811"/>
      <c r="N15" s="812"/>
      <c r="O15" s="638"/>
      <c r="P15" s="825"/>
      <c r="Q15" s="796">
        <v>1</v>
      </c>
      <c r="R15" s="811"/>
      <c r="S15" s="812"/>
      <c r="T15" s="795"/>
      <c r="U15" s="796"/>
      <c r="V15" s="811"/>
      <c r="W15" s="812"/>
      <c r="X15" s="825">
        <v>1</v>
      </c>
      <c r="Y15" s="796"/>
      <c r="Z15" s="811"/>
      <c r="AA15" s="812"/>
      <c r="AB15" s="17">
        <f t="shared" si="0"/>
        <v>2</v>
      </c>
      <c r="AC15" s="1025"/>
      <c r="AD15" s="2"/>
      <c r="AE15" s="2"/>
      <c r="AF15" s="2"/>
      <c r="AG15" s="2"/>
    </row>
    <row r="16" spans="1:33" ht="54.95" customHeight="1" thickBot="1">
      <c r="A16" s="965"/>
      <c r="B16" s="774" t="s">
        <v>143</v>
      </c>
      <c r="C16" s="797"/>
      <c r="D16" s="798"/>
      <c r="E16" s="813"/>
      <c r="F16" s="814"/>
      <c r="G16" s="826"/>
      <c r="H16" s="798"/>
      <c r="I16" s="813"/>
      <c r="J16" s="814"/>
      <c r="K16" s="797"/>
      <c r="L16" s="798"/>
      <c r="M16" s="813"/>
      <c r="N16" s="814"/>
      <c r="O16" s="638"/>
      <c r="P16" s="826"/>
      <c r="Q16" s="798"/>
      <c r="R16" s="813"/>
      <c r="S16" s="814">
        <v>2</v>
      </c>
      <c r="T16" s="797"/>
      <c r="U16" s="798">
        <v>6</v>
      </c>
      <c r="V16" s="813"/>
      <c r="W16" s="814">
        <v>3</v>
      </c>
      <c r="X16" s="826"/>
      <c r="Y16" s="798">
        <v>1</v>
      </c>
      <c r="Z16" s="813"/>
      <c r="AA16" s="814"/>
      <c r="AB16" s="17">
        <f t="shared" si="0"/>
        <v>12</v>
      </c>
      <c r="AC16" s="1025"/>
      <c r="AD16" s="2"/>
      <c r="AE16" s="2"/>
      <c r="AF16" s="2"/>
      <c r="AG16" s="2"/>
    </row>
    <row r="17" spans="1:33" ht="54.95" customHeight="1">
      <c r="A17" s="966">
        <v>8</v>
      </c>
      <c r="B17" s="775" t="s">
        <v>140</v>
      </c>
      <c r="C17" s="799"/>
      <c r="D17" s="800"/>
      <c r="E17" s="815"/>
      <c r="F17" s="816"/>
      <c r="G17" s="827"/>
      <c r="H17" s="800"/>
      <c r="I17" s="815"/>
      <c r="J17" s="816"/>
      <c r="K17" s="799"/>
      <c r="L17" s="800"/>
      <c r="M17" s="815"/>
      <c r="N17" s="816"/>
      <c r="O17" s="638"/>
      <c r="P17" s="827"/>
      <c r="Q17" s="800"/>
      <c r="R17" s="815"/>
      <c r="S17" s="816"/>
      <c r="T17" s="799"/>
      <c r="U17" s="800"/>
      <c r="V17" s="815"/>
      <c r="W17" s="816">
        <v>2</v>
      </c>
      <c r="X17" s="827"/>
      <c r="Y17" s="800"/>
      <c r="Z17" s="815"/>
      <c r="AA17" s="816"/>
      <c r="AB17" s="17">
        <f t="shared" si="0"/>
        <v>2</v>
      </c>
      <c r="AC17" s="1025">
        <f>SUM(AB17:AB20)</f>
        <v>6</v>
      </c>
      <c r="AD17" s="2"/>
      <c r="AE17" s="2"/>
      <c r="AF17" s="2"/>
      <c r="AG17" s="2"/>
    </row>
    <row r="18" spans="1:33" ht="54.95" customHeight="1">
      <c r="A18" s="964"/>
      <c r="B18" s="773" t="s">
        <v>141</v>
      </c>
      <c r="C18" s="793"/>
      <c r="D18" s="794"/>
      <c r="E18" s="809"/>
      <c r="F18" s="810"/>
      <c r="G18" s="824"/>
      <c r="H18" s="794"/>
      <c r="I18" s="809"/>
      <c r="J18" s="810"/>
      <c r="K18" s="793"/>
      <c r="L18" s="794"/>
      <c r="M18" s="809"/>
      <c r="N18" s="810"/>
      <c r="O18" s="638"/>
      <c r="P18" s="824"/>
      <c r="Q18" s="794"/>
      <c r="R18" s="809"/>
      <c r="S18" s="810"/>
      <c r="T18" s="793"/>
      <c r="U18" s="794"/>
      <c r="V18" s="809"/>
      <c r="W18" s="810"/>
      <c r="X18" s="824">
        <v>1</v>
      </c>
      <c r="Y18" s="794"/>
      <c r="Z18" s="809"/>
      <c r="AA18" s="810"/>
      <c r="AB18" s="17">
        <f t="shared" si="0"/>
        <v>1</v>
      </c>
      <c r="AC18" s="1025"/>
      <c r="AD18" s="2"/>
      <c r="AE18" s="2"/>
      <c r="AF18" s="2"/>
      <c r="AG18" s="2"/>
    </row>
    <row r="19" spans="1:33" ht="54.95" customHeight="1">
      <c r="A19" s="964"/>
      <c r="B19" s="773" t="s">
        <v>142</v>
      </c>
      <c r="C19" s="795"/>
      <c r="D19" s="796"/>
      <c r="E19" s="811"/>
      <c r="F19" s="812"/>
      <c r="G19" s="825"/>
      <c r="H19" s="796"/>
      <c r="I19" s="811"/>
      <c r="J19" s="812"/>
      <c r="K19" s="795"/>
      <c r="L19" s="796">
        <v>1</v>
      </c>
      <c r="M19" s="811"/>
      <c r="N19" s="812"/>
      <c r="O19" s="638"/>
      <c r="P19" s="825">
        <v>1</v>
      </c>
      <c r="Q19" s="796"/>
      <c r="R19" s="811"/>
      <c r="S19" s="812"/>
      <c r="T19" s="795"/>
      <c r="U19" s="796"/>
      <c r="V19" s="811"/>
      <c r="W19" s="812"/>
      <c r="X19" s="825"/>
      <c r="Y19" s="796"/>
      <c r="Z19" s="811"/>
      <c r="AA19" s="812"/>
      <c r="AB19" s="17">
        <f t="shared" si="0"/>
        <v>2</v>
      </c>
      <c r="AC19" s="1025"/>
      <c r="AD19" s="2"/>
      <c r="AE19" s="2"/>
      <c r="AF19" s="2"/>
      <c r="AG19" s="2"/>
    </row>
    <row r="20" spans="1:33" ht="54.95" customHeight="1" thickBot="1">
      <c r="A20" s="967"/>
      <c r="B20" s="776" t="s">
        <v>143</v>
      </c>
      <c r="C20" s="801"/>
      <c r="D20" s="802"/>
      <c r="E20" s="817"/>
      <c r="F20" s="818"/>
      <c r="G20" s="828"/>
      <c r="H20" s="802"/>
      <c r="I20" s="817"/>
      <c r="J20" s="818"/>
      <c r="K20" s="801"/>
      <c r="L20" s="802"/>
      <c r="M20" s="817"/>
      <c r="N20" s="818"/>
      <c r="O20" s="638"/>
      <c r="P20" s="828"/>
      <c r="Q20" s="802"/>
      <c r="R20" s="817"/>
      <c r="S20" s="818"/>
      <c r="T20" s="801"/>
      <c r="U20" s="802"/>
      <c r="V20" s="817"/>
      <c r="W20" s="818"/>
      <c r="X20" s="828">
        <v>1</v>
      </c>
      <c r="Y20" s="802"/>
      <c r="Z20" s="817"/>
      <c r="AA20" s="818"/>
      <c r="AB20" s="17">
        <f t="shared" si="0"/>
        <v>1</v>
      </c>
      <c r="AC20" s="1025"/>
      <c r="AD20" s="2"/>
      <c r="AE20" s="2"/>
      <c r="AF20" s="2"/>
      <c r="AG20" s="2"/>
    </row>
    <row r="21" spans="1:33" ht="54.95" hidden="1" customHeight="1" outlineLevel="1">
      <c r="A21" s="761">
        <v>9</v>
      </c>
      <c r="B21" s="762" t="s">
        <v>23</v>
      </c>
      <c r="C21" s="374"/>
      <c r="D21" s="375"/>
      <c r="E21" s="376"/>
      <c r="F21" s="377"/>
      <c r="G21" s="378"/>
      <c r="H21" s="379"/>
      <c r="I21" s="376"/>
      <c r="J21" s="377"/>
      <c r="K21" s="348"/>
      <c r="L21" s="345"/>
      <c r="M21" s="346"/>
      <c r="N21" s="347"/>
      <c r="O21" s="638"/>
      <c r="P21" s="374"/>
      <c r="Q21" s="375"/>
      <c r="R21" s="376"/>
      <c r="S21" s="377"/>
      <c r="T21" s="378"/>
      <c r="U21" s="379"/>
      <c r="V21" s="376"/>
      <c r="W21" s="377"/>
      <c r="X21" s="348"/>
      <c r="Y21" s="345"/>
      <c r="Z21" s="346"/>
      <c r="AA21" s="349"/>
      <c r="AB21" s="17"/>
      <c r="AC21" s="2"/>
      <c r="AD21" s="2"/>
      <c r="AE21" s="2"/>
      <c r="AF21" s="2"/>
      <c r="AG21" s="2"/>
    </row>
    <row r="22" spans="1:33" ht="54.95" hidden="1" customHeight="1" outlineLevel="1" thickBot="1">
      <c r="A22" s="759"/>
      <c r="B22" s="760" t="s">
        <v>24</v>
      </c>
      <c r="C22" s="380"/>
      <c r="D22" s="381"/>
      <c r="E22" s="382"/>
      <c r="F22" s="383"/>
      <c r="G22" s="384"/>
      <c r="H22" s="385"/>
      <c r="I22" s="382"/>
      <c r="J22" s="383"/>
      <c r="K22" s="354"/>
      <c r="L22" s="351"/>
      <c r="M22" s="352"/>
      <c r="N22" s="353"/>
      <c r="O22" s="638"/>
      <c r="P22" s="380"/>
      <c r="Q22" s="381"/>
      <c r="R22" s="382"/>
      <c r="S22" s="383"/>
      <c r="T22" s="384"/>
      <c r="U22" s="385"/>
      <c r="V22" s="382"/>
      <c r="W22" s="383"/>
      <c r="X22" s="354"/>
      <c r="Y22" s="351"/>
      <c r="Z22" s="352"/>
      <c r="AA22" s="355"/>
      <c r="AB22" s="17"/>
      <c r="AC22" s="2"/>
      <c r="AD22" s="2"/>
      <c r="AE22" s="2"/>
      <c r="AF22" s="2"/>
      <c r="AG22" s="2"/>
    </row>
    <row r="23" spans="1:33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638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  <c r="AB23" s="17"/>
      <c r="AC23" s="2"/>
      <c r="AD23" s="2"/>
      <c r="AE23" s="2"/>
      <c r="AF23" s="2"/>
      <c r="AG23" s="2"/>
    </row>
    <row r="24" spans="1:33" ht="75" customHeight="1" thickBot="1">
      <c r="A24" s="777" t="s">
        <v>27</v>
      </c>
      <c r="B24" s="673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597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  <c r="AA24" s="598"/>
      <c r="AB24" s="7"/>
    </row>
    <row r="25" spans="1:33" ht="6" hidden="1" customHeight="1" outlineLevel="1" thickBot="1">
      <c r="A25" s="599"/>
      <c r="B25" s="597"/>
      <c r="C25" s="594"/>
      <c r="D25" s="594"/>
      <c r="E25" s="594"/>
      <c r="F25" s="594"/>
      <c r="G25" s="594"/>
      <c r="H25" s="594"/>
      <c r="I25" s="594"/>
      <c r="J25" s="594"/>
      <c r="K25" s="594"/>
      <c r="L25" s="594"/>
      <c r="M25" s="594"/>
      <c r="N25" s="594"/>
      <c r="O25" s="597"/>
      <c r="P25" s="594"/>
      <c r="Q25" s="594"/>
      <c r="R25" s="594"/>
      <c r="S25" s="594"/>
      <c r="T25" s="594"/>
      <c r="U25" s="594"/>
      <c r="V25" s="594"/>
      <c r="W25" s="594"/>
      <c r="X25" s="594"/>
      <c r="Y25" s="594"/>
      <c r="Z25" s="594"/>
      <c r="AA25" s="595"/>
      <c r="AB25" s="7"/>
    </row>
    <row r="26" spans="1:33" ht="32.25" customHeight="1" collapsed="1" thickTop="1">
      <c r="A26" s="778"/>
      <c r="B26" s="597"/>
      <c r="C26" s="875" t="s">
        <v>59</v>
      </c>
      <c r="D26" s="876"/>
      <c r="E26" s="876"/>
      <c r="F26" s="876"/>
      <c r="G26" s="876"/>
      <c r="H26" s="876"/>
      <c r="I26" s="876"/>
      <c r="J26" s="876"/>
      <c r="K26" s="876"/>
      <c r="L26" s="876"/>
      <c r="M26" s="876"/>
      <c r="N26" s="876"/>
      <c r="O26" s="636"/>
      <c r="P26" s="875" t="s">
        <v>57</v>
      </c>
      <c r="Q26" s="876"/>
      <c r="R26" s="876"/>
      <c r="S26" s="876"/>
      <c r="T26" s="876"/>
      <c r="U26" s="876"/>
      <c r="V26" s="876"/>
      <c r="W26" s="876"/>
      <c r="X26" s="876"/>
      <c r="Y26" s="876"/>
      <c r="Z26" s="876"/>
      <c r="AA26" s="877"/>
      <c r="AB26" s="7"/>
      <c r="AC26" s="9"/>
      <c r="AD26" s="9"/>
      <c r="AE26" s="9"/>
      <c r="AF26" s="9"/>
      <c r="AG26" s="9"/>
    </row>
    <row r="27" spans="1:33" ht="22.7" customHeight="1">
      <c r="A27" s="778"/>
      <c r="B27" s="597"/>
      <c r="C27" s="878" t="s">
        <v>55</v>
      </c>
      <c r="D27" s="879"/>
      <c r="E27" s="879"/>
      <c r="F27" s="879"/>
      <c r="G27" s="879" t="s">
        <v>56</v>
      </c>
      <c r="H27" s="879"/>
      <c r="I27" s="879"/>
      <c r="J27" s="879"/>
      <c r="K27" s="879" t="s">
        <v>54</v>
      </c>
      <c r="L27" s="879"/>
      <c r="M27" s="879"/>
      <c r="N27" s="879"/>
      <c r="O27" s="583"/>
      <c r="P27" s="878" t="s">
        <v>53</v>
      </c>
      <c r="Q27" s="879"/>
      <c r="R27" s="879"/>
      <c r="S27" s="879"/>
      <c r="T27" s="879" t="s">
        <v>54</v>
      </c>
      <c r="U27" s="879"/>
      <c r="V27" s="879"/>
      <c r="W27" s="879"/>
      <c r="X27" s="879" t="s">
        <v>55</v>
      </c>
      <c r="Y27" s="879"/>
      <c r="Z27" s="879"/>
      <c r="AA27" s="880"/>
      <c r="AB27" s="7"/>
    </row>
    <row r="28" spans="1:33" ht="18.600000000000001" customHeight="1" thickBot="1">
      <c r="A28" s="778"/>
      <c r="B28" s="597"/>
      <c r="C28" s="908" t="s">
        <v>4</v>
      </c>
      <c r="D28" s="909"/>
      <c r="E28" s="910" t="s">
        <v>5</v>
      </c>
      <c r="F28" s="911"/>
      <c r="G28" s="911" t="s">
        <v>4</v>
      </c>
      <c r="H28" s="912"/>
      <c r="I28" s="910" t="s">
        <v>5</v>
      </c>
      <c r="J28" s="911"/>
      <c r="K28" s="911" t="s">
        <v>4</v>
      </c>
      <c r="L28" s="922"/>
      <c r="M28" s="923" t="s">
        <v>5</v>
      </c>
      <c r="N28" s="924"/>
      <c r="O28" s="624"/>
      <c r="P28" s="908" t="s">
        <v>4</v>
      </c>
      <c r="Q28" s="909"/>
      <c r="R28" s="910" t="s">
        <v>5</v>
      </c>
      <c r="S28" s="911"/>
      <c r="T28" s="911" t="s">
        <v>4</v>
      </c>
      <c r="U28" s="912"/>
      <c r="V28" s="910" t="s">
        <v>5</v>
      </c>
      <c r="W28" s="911"/>
      <c r="X28" s="911" t="s">
        <v>4</v>
      </c>
      <c r="Y28" s="922"/>
      <c r="Z28" s="923" t="s">
        <v>5</v>
      </c>
      <c r="AA28" s="930"/>
      <c r="AB28" s="7"/>
    </row>
    <row r="29" spans="1:33" ht="21" thickTop="1">
      <c r="A29" s="763" t="s">
        <v>6</v>
      </c>
      <c r="B29" s="764" t="s">
        <v>7</v>
      </c>
      <c r="C29" s="368" t="s">
        <v>8</v>
      </c>
      <c r="D29" s="369" t="s">
        <v>9</v>
      </c>
      <c r="E29" s="370" t="s">
        <v>8</v>
      </c>
      <c r="F29" s="371" t="s">
        <v>9</v>
      </c>
      <c r="G29" s="372" t="s">
        <v>8</v>
      </c>
      <c r="H29" s="373" t="s">
        <v>9</v>
      </c>
      <c r="I29" s="370" t="s">
        <v>8</v>
      </c>
      <c r="J29" s="371" t="s">
        <v>9</v>
      </c>
      <c r="K29" s="251" t="s">
        <v>8</v>
      </c>
      <c r="L29" s="248" t="s">
        <v>9</v>
      </c>
      <c r="M29" s="249" t="s">
        <v>8</v>
      </c>
      <c r="N29" s="250" t="s">
        <v>9</v>
      </c>
      <c r="O29" s="637"/>
      <c r="P29" s="368" t="s">
        <v>8</v>
      </c>
      <c r="Q29" s="369" t="s">
        <v>9</v>
      </c>
      <c r="R29" s="370" t="s">
        <v>8</v>
      </c>
      <c r="S29" s="371" t="s">
        <v>9</v>
      </c>
      <c r="T29" s="372" t="s">
        <v>8</v>
      </c>
      <c r="U29" s="373" t="s">
        <v>9</v>
      </c>
      <c r="V29" s="370" t="s">
        <v>8</v>
      </c>
      <c r="W29" s="371" t="s">
        <v>9</v>
      </c>
      <c r="X29" s="251" t="s">
        <v>8</v>
      </c>
      <c r="Y29" s="248" t="s">
        <v>9</v>
      </c>
      <c r="Z29" s="249" t="s">
        <v>8</v>
      </c>
      <c r="AA29" s="252" t="s">
        <v>9</v>
      </c>
      <c r="AB29" s="612"/>
    </row>
    <row r="30" spans="1:33" ht="54.95" hidden="1" customHeight="1" outlineLevel="1">
      <c r="A30" s="761">
        <v>6</v>
      </c>
      <c r="B30" s="762" t="s">
        <v>25</v>
      </c>
      <c r="C30" s="374"/>
      <c r="D30" s="375"/>
      <c r="E30" s="376"/>
      <c r="F30" s="377"/>
      <c r="G30" s="378"/>
      <c r="H30" s="379"/>
      <c r="I30" s="376"/>
      <c r="J30" s="377"/>
      <c r="K30" s="348"/>
      <c r="L30" s="345"/>
      <c r="M30" s="346"/>
      <c r="N30" s="347"/>
      <c r="O30" s="638"/>
      <c r="P30" s="374"/>
      <c r="Q30" s="375"/>
      <c r="R30" s="376"/>
      <c r="S30" s="377"/>
      <c r="T30" s="378"/>
      <c r="U30" s="379"/>
      <c r="V30" s="376"/>
      <c r="W30" s="377"/>
      <c r="X30" s="348"/>
      <c r="Y30" s="345"/>
      <c r="Z30" s="346"/>
      <c r="AA30" s="349"/>
      <c r="AB30" s="17"/>
      <c r="AC30" s="2"/>
      <c r="AD30" s="2"/>
      <c r="AE30" s="2"/>
      <c r="AF30" s="2"/>
      <c r="AG30" s="2"/>
    </row>
    <row r="31" spans="1:33" ht="54.95" hidden="1" customHeight="1" outlineLevel="1">
      <c r="A31" s="761"/>
      <c r="B31" s="762" t="s">
        <v>26</v>
      </c>
      <c r="C31" s="374"/>
      <c r="D31" s="375"/>
      <c r="E31" s="376"/>
      <c r="F31" s="377"/>
      <c r="G31" s="378"/>
      <c r="H31" s="379"/>
      <c r="I31" s="376"/>
      <c r="J31" s="377"/>
      <c r="K31" s="348"/>
      <c r="L31" s="345"/>
      <c r="M31" s="346"/>
      <c r="N31" s="347"/>
      <c r="O31" s="638"/>
      <c r="P31" s="374"/>
      <c r="Q31" s="375"/>
      <c r="R31" s="376"/>
      <c r="S31" s="377"/>
      <c r="T31" s="378"/>
      <c r="U31" s="379"/>
      <c r="V31" s="376"/>
      <c r="W31" s="377"/>
      <c r="X31" s="348"/>
      <c r="Y31" s="345"/>
      <c r="Z31" s="346"/>
      <c r="AA31" s="349"/>
      <c r="AB31" s="17"/>
      <c r="AC31" s="2"/>
      <c r="AD31" s="2"/>
      <c r="AE31" s="2"/>
      <c r="AF31" s="2"/>
      <c r="AG31" s="2"/>
    </row>
    <row r="32" spans="1:33" ht="54.95" customHeight="1" collapsed="1">
      <c r="A32" s="963">
        <v>7</v>
      </c>
      <c r="B32" s="772" t="s">
        <v>140</v>
      </c>
      <c r="C32" s="791">
        <v>2</v>
      </c>
      <c r="D32" s="792">
        <v>3</v>
      </c>
      <c r="E32" s="807"/>
      <c r="F32" s="808"/>
      <c r="G32" s="823"/>
      <c r="H32" s="792"/>
      <c r="I32" s="807"/>
      <c r="J32" s="808"/>
      <c r="K32" s="791"/>
      <c r="L32" s="792"/>
      <c r="M32" s="807"/>
      <c r="N32" s="808">
        <v>1</v>
      </c>
      <c r="O32" s="638"/>
      <c r="P32" s="823"/>
      <c r="Q32" s="792"/>
      <c r="R32" s="807"/>
      <c r="S32" s="808"/>
      <c r="T32" s="791"/>
      <c r="U32" s="792"/>
      <c r="V32" s="807"/>
      <c r="W32" s="808"/>
      <c r="X32" s="823"/>
      <c r="Y32" s="792"/>
      <c r="Z32" s="807"/>
      <c r="AA32" s="808"/>
      <c r="AB32" s="17">
        <f>SUM(C32:AA32)</f>
        <v>6</v>
      </c>
      <c r="AC32" s="1025">
        <f>SUM(AB32:AB35)</f>
        <v>15</v>
      </c>
      <c r="AD32" s="2"/>
      <c r="AE32" s="2"/>
      <c r="AF32" s="2"/>
      <c r="AG32" s="2"/>
    </row>
    <row r="33" spans="1:37" ht="54.95" customHeight="1">
      <c r="A33" s="964"/>
      <c r="B33" s="773" t="s">
        <v>141</v>
      </c>
      <c r="C33" s="793"/>
      <c r="D33" s="794"/>
      <c r="E33" s="809">
        <v>1</v>
      </c>
      <c r="F33" s="810">
        <v>1</v>
      </c>
      <c r="G33" s="824"/>
      <c r="H33" s="794"/>
      <c r="I33" s="809"/>
      <c r="J33" s="810"/>
      <c r="K33" s="793"/>
      <c r="L33" s="794"/>
      <c r="M33" s="809"/>
      <c r="N33" s="810"/>
      <c r="O33" s="638"/>
      <c r="P33" s="824"/>
      <c r="Q33" s="794"/>
      <c r="R33" s="809"/>
      <c r="S33" s="810"/>
      <c r="T33" s="793"/>
      <c r="U33" s="794"/>
      <c r="V33" s="809"/>
      <c r="W33" s="810"/>
      <c r="X33" s="824"/>
      <c r="Y33" s="794"/>
      <c r="Z33" s="809"/>
      <c r="AA33" s="810"/>
      <c r="AB33" s="17">
        <f t="shared" ref="AB33:AB39" si="1">SUM(C33:AA33)</f>
        <v>2</v>
      </c>
      <c r="AC33" s="1025"/>
      <c r="AD33" s="2"/>
      <c r="AE33" s="2"/>
      <c r="AF33" s="2"/>
      <c r="AG33" s="2"/>
    </row>
    <row r="34" spans="1:37" ht="54.95" customHeight="1">
      <c r="A34" s="964"/>
      <c r="B34" s="773" t="s">
        <v>142</v>
      </c>
      <c r="C34" s="795"/>
      <c r="D34" s="796">
        <v>1</v>
      </c>
      <c r="E34" s="811">
        <v>1</v>
      </c>
      <c r="F34" s="812"/>
      <c r="G34" s="825"/>
      <c r="H34" s="796">
        <v>1</v>
      </c>
      <c r="I34" s="811"/>
      <c r="J34" s="812"/>
      <c r="K34" s="795"/>
      <c r="L34" s="796">
        <v>2</v>
      </c>
      <c r="M34" s="811"/>
      <c r="N34" s="812"/>
      <c r="O34" s="638"/>
      <c r="P34" s="825"/>
      <c r="Q34" s="796"/>
      <c r="R34" s="811"/>
      <c r="S34" s="812"/>
      <c r="T34" s="795"/>
      <c r="U34" s="796"/>
      <c r="V34" s="811"/>
      <c r="W34" s="812"/>
      <c r="X34" s="825"/>
      <c r="Y34" s="796"/>
      <c r="Z34" s="811"/>
      <c r="AA34" s="812"/>
      <c r="AB34" s="17">
        <f t="shared" si="1"/>
        <v>5</v>
      </c>
      <c r="AC34" s="1025"/>
      <c r="AD34" s="2"/>
      <c r="AE34" s="2"/>
      <c r="AF34" s="2"/>
      <c r="AG34" s="2"/>
    </row>
    <row r="35" spans="1:37" ht="54.95" customHeight="1" thickBot="1">
      <c r="A35" s="965"/>
      <c r="B35" s="774" t="s">
        <v>143</v>
      </c>
      <c r="C35" s="797"/>
      <c r="D35" s="798">
        <v>1</v>
      </c>
      <c r="E35" s="813"/>
      <c r="F35" s="814"/>
      <c r="G35" s="826"/>
      <c r="H35" s="798"/>
      <c r="I35" s="813"/>
      <c r="J35" s="814"/>
      <c r="K35" s="797"/>
      <c r="L35" s="798">
        <v>1</v>
      </c>
      <c r="M35" s="813"/>
      <c r="N35" s="814"/>
      <c r="O35" s="638"/>
      <c r="P35" s="826"/>
      <c r="Q35" s="798"/>
      <c r="R35" s="813"/>
      <c r="S35" s="814"/>
      <c r="T35" s="797"/>
      <c r="U35" s="798"/>
      <c r="V35" s="813"/>
      <c r="W35" s="814"/>
      <c r="X35" s="826"/>
      <c r="Y35" s="798"/>
      <c r="Z35" s="813"/>
      <c r="AA35" s="814"/>
      <c r="AB35" s="17">
        <f t="shared" si="1"/>
        <v>2</v>
      </c>
      <c r="AC35" s="1025"/>
      <c r="AD35" s="2"/>
      <c r="AE35" s="2"/>
      <c r="AF35" s="2"/>
      <c r="AG35" s="2"/>
    </row>
    <row r="36" spans="1:37" ht="54.95" customHeight="1">
      <c r="A36" s="966">
        <v>8</v>
      </c>
      <c r="B36" s="775" t="s">
        <v>140</v>
      </c>
      <c r="C36" s="799"/>
      <c r="D36" s="800"/>
      <c r="E36" s="815"/>
      <c r="F36" s="816"/>
      <c r="G36" s="827"/>
      <c r="H36" s="800">
        <v>2</v>
      </c>
      <c r="I36" s="815"/>
      <c r="J36" s="816">
        <v>2</v>
      </c>
      <c r="K36" s="799"/>
      <c r="L36" s="800">
        <v>1</v>
      </c>
      <c r="M36" s="815">
        <v>2</v>
      </c>
      <c r="N36" s="816"/>
      <c r="O36" s="638"/>
      <c r="P36" s="827">
        <v>1</v>
      </c>
      <c r="Q36" s="800"/>
      <c r="R36" s="815">
        <v>1</v>
      </c>
      <c r="S36" s="816"/>
      <c r="T36" s="799"/>
      <c r="U36" s="800">
        <v>1</v>
      </c>
      <c r="V36" s="815"/>
      <c r="W36" s="816"/>
      <c r="X36" s="827"/>
      <c r="Y36" s="800"/>
      <c r="Z36" s="815"/>
      <c r="AA36" s="816"/>
      <c r="AB36" s="17">
        <f t="shared" si="1"/>
        <v>10</v>
      </c>
      <c r="AC36" s="1025">
        <f>SUM(AB36:AB39)</f>
        <v>15</v>
      </c>
      <c r="AD36" s="2"/>
      <c r="AE36" s="2"/>
      <c r="AF36" s="2"/>
      <c r="AG36" s="2"/>
    </row>
    <row r="37" spans="1:37" ht="54.95" customHeight="1">
      <c r="A37" s="964"/>
      <c r="B37" s="773" t="s">
        <v>141</v>
      </c>
      <c r="C37" s="793"/>
      <c r="D37" s="794"/>
      <c r="E37" s="809"/>
      <c r="F37" s="810"/>
      <c r="G37" s="824">
        <v>1</v>
      </c>
      <c r="H37" s="794"/>
      <c r="I37" s="809"/>
      <c r="J37" s="810"/>
      <c r="K37" s="793"/>
      <c r="L37" s="794"/>
      <c r="M37" s="809"/>
      <c r="N37" s="810"/>
      <c r="O37" s="638"/>
      <c r="P37" s="824"/>
      <c r="Q37" s="794"/>
      <c r="R37" s="809"/>
      <c r="S37" s="810"/>
      <c r="T37" s="793"/>
      <c r="U37" s="794"/>
      <c r="V37" s="809"/>
      <c r="W37" s="810"/>
      <c r="X37" s="824"/>
      <c r="Y37" s="794"/>
      <c r="Z37" s="809"/>
      <c r="AA37" s="810"/>
      <c r="AB37" s="17">
        <f t="shared" si="1"/>
        <v>1</v>
      </c>
      <c r="AC37" s="1025"/>
      <c r="AD37" s="2"/>
      <c r="AE37" s="2"/>
      <c r="AF37" s="2"/>
      <c r="AG37" s="2"/>
    </row>
    <row r="38" spans="1:37" ht="54.95" customHeight="1">
      <c r="A38" s="964"/>
      <c r="B38" s="773" t="s">
        <v>142</v>
      </c>
      <c r="C38" s="795"/>
      <c r="D38" s="796">
        <v>1</v>
      </c>
      <c r="E38" s="811"/>
      <c r="F38" s="812"/>
      <c r="G38" s="825">
        <v>1</v>
      </c>
      <c r="H38" s="796"/>
      <c r="I38" s="811"/>
      <c r="J38" s="812"/>
      <c r="K38" s="795"/>
      <c r="L38" s="796"/>
      <c r="M38" s="811">
        <v>1</v>
      </c>
      <c r="N38" s="812">
        <v>1</v>
      </c>
      <c r="O38" s="638"/>
      <c r="P38" s="825"/>
      <c r="Q38" s="796"/>
      <c r="R38" s="811"/>
      <c r="S38" s="812"/>
      <c r="T38" s="795"/>
      <c r="U38" s="796"/>
      <c r="V38" s="811"/>
      <c r="W38" s="812"/>
      <c r="X38" s="825"/>
      <c r="Y38" s="796"/>
      <c r="Z38" s="811"/>
      <c r="AA38" s="812"/>
      <c r="AB38" s="17">
        <f t="shared" si="1"/>
        <v>4</v>
      </c>
      <c r="AC38" s="1025"/>
      <c r="AD38" s="2"/>
      <c r="AE38" s="2"/>
      <c r="AF38" s="2"/>
      <c r="AG38" s="2"/>
    </row>
    <row r="39" spans="1:37" ht="54.95" customHeight="1">
      <c r="A39" s="967"/>
      <c r="B39" s="776" t="s">
        <v>143</v>
      </c>
      <c r="C39" s="801"/>
      <c r="D39" s="802"/>
      <c r="E39" s="817"/>
      <c r="F39" s="818"/>
      <c r="G39" s="828"/>
      <c r="H39" s="802"/>
      <c r="I39" s="817"/>
      <c r="J39" s="818"/>
      <c r="K39" s="801"/>
      <c r="L39" s="802"/>
      <c r="M39" s="817"/>
      <c r="N39" s="818"/>
      <c r="O39" s="638"/>
      <c r="P39" s="828"/>
      <c r="Q39" s="802"/>
      <c r="R39" s="817"/>
      <c r="S39" s="818"/>
      <c r="T39" s="801"/>
      <c r="U39" s="802"/>
      <c r="V39" s="817"/>
      <c r="W39" s="818"/>
      <c r="X39" s="828"/>
      <c r="Y39" s="802"/>
      <c r="Z39" s="817"/>
      <c r="AA39" s="818"/>
      <c r="AB39" s="17">
        <f t="shared" si="1"/>
        <v>0</v>
      </c>
      <c r="AC39" s="1025"/>
      <c r="AD39" s="2"/>
      <c r="AE39" s="2"/>
      <c r="AF39" s="2"/>
      <c r="AG39" s="2"/>
    </row>
    <row r="40" spans="1:37" ht="54.95" hidden="1" customHeight="1" outlineLevel="1">
      <c r="A40" s="297">
        <v>9</v>
      </c>
      <c r="B40" s="298" t="s">
        <v>23</v>
      </c>
      <c r="C40" s="374"/>
      <c r="D40" s="375"/>
      <c r="E40" s="376"/>
      <c r="F40" s="377"/>
      <c r="G40" s="378"/>
      <c r="H40" s="379"/>
      <c r="I40" s="376"/>
      <c r="J40" s="377"/>
      <c r="K40" s="348"/>
      <c r="L40" s="345"/>
      <c r="M40" s="346"/>
      <c r="N40" s="347"/>
      <c r="O40" s="638"/>
      <c r="P40" s="374"/>
      <c r="Q40" s="375"/>
      <c r="R40" s="376"/>
      <c r="S40" s="377"/>
      <c r="T40" s="378"/>
      <c r="U40" s="379"/>
      <c r="V40" s="376"/>
      <c r="W40" s="377"/>
      <c r="X40" s="348"/>
      <c r="Y40" s="345"/>
      <c r="Z40" s="346"/>
      <c r="AA40" s="349"/>
      <c r="AB40" s="2"/>
      <c r="AC40" s="2"/>
      <c r="AD40" s="2"/>
      <c r="AE40" s="2"/>
      <c r="AF40" s="2"/>
      <c r="AG40" s="2"/>
    </row>
    <row r="41" spans="1:37" ht="54.95" hidden="1" customHeight="1" outlineLevel="1" thickBot="1">
      <c r="A41" s="300"/>
      <c r="B41" s="301" t="s">
        <v>24</v>
      </c>
      <c r="C41" s="380"/>
      <c r="D41" s="381"/>
      <c r="E41" s="382"/>
      <c r="F41" s="383"/>
      <c r="G41" s="384"/>
      <c r="H41" s="385"/>
      <c r="I41" s="382"/>
      <c r="J41" s="383"/>
      <c r="K41" s="354"/>
      <c r="L41" s="351"/>
      <c r="M41" s="352"/>
      <c r="N41" s="353"/>
      <c r="O41" s="638"/>
      <c r="P41" s="380"/>
      <c r="Q41" s="381"/>
      <c r="R41" s="382"/>
      <c r="S41" s="383"/>
      <c r="T41" s="384"/>
      <c r="U41" s="385"/>
      <c r="V41" s="382"/>
      <c r="W41" s="383"/>
      <c r="X41" s="354"/>
      <c r="Y41" s="351"/>
      <c r="Z41" s="352"/>
      <c r="AA41" s="355"/>
      <c r="AB41" s="2"/>
      <c r="AC41" s="2"/>
      <c r="AD41" s="2"/>
      <c r="AE41" s="2"/>
      <c r="AF41" s="2"/>
      <c r="AG41" s="2"/>
    </row>
    <row r="42" spans="1:37" ht="30" customHeight="1" collapsed="1">
      <c r="A42" s="302"/>
      <c r="B42" s="30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638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2"/>
      <c r="AC42" s="2"/>
      <c r="AD42" s="2"/>
      <c r="AE42" s="2"/>
      <c r="AF42" s="2"/>
      <c r="AG42" s="2"/>
    </row>
    <row r="43" spans="1:37" ht="30" customHeight="1" thickBot="1">
      <c r="A43" s="28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ht="32.25" customHeight="1" thickTop="1">
      <c r="A44" s="26"/>
      <c r="B44" s="27"/>
      <c r="C44" s="947" t="str">
        <f>C7</f>
        <v>Depuis 'Annemasse - Genève'</v>
      </c>
      <c r="D44" s="948"/>
      <c r="E44" s="948"/>
      <c r="F44" s="948"/>
      <c r="G44" s="948"/>
      <c r="H44" s="948"/>
      <c r="I44" s="948"/>
      <c r="J44" s="948"/>
      <c r="K44" s="948"/>
      <c r="L44" s="948"/>
      <c r="M44" s="948"/>
      <c r="N44" s="948"/>
      <c r="O44" s="590"/>
      <c r="P44" s="947" t="str">
        <f>P7</f>
        <v>Depuis 'L'Eculaz'</v>
      </c>
      <c r="Q44" s="948"/>
      <c r="R44" s="948"/>
      <c r="S44" s="948"/>
      <c r="T44" s="948"/>
      <c r="U44" s="948"/>
      <c r="V44" s="948"/>
      <c r="W44" s="948"/>
      <c r="X44" s="948"/>
      <c r="Y44" s="948"/>
      <c r="Z44" s="948"/>
      <c r="AA44" s="949"/>
      <c r="AB44" s="26"/>
      <c r="AC44" s="27"/>
      <c r="AD44" s="928" t="s">
        <v>12</v>
      </c>
      <c r="AE44" s="869" t="s">
        <v>14</v>
      </c>
      <c r="AF44" s="869" t="s">
        <v>15</v>
      </c>
      <c r="AG44" s="869" t="s">
        <v>18</v>
      </c>
      <c r="AH44" s="869" t="s">
        <v>16</v>
      </c>
      <c r="AI44" s="1026" t="s">
        <v>31</v>
      </c>
      <c r="AJ44" s="1014"/>
      <c r="AK44" s="1015"/>
    </row>
    <row r="45" spans="1:37" ht="22.7" customHeight="1">
      <c r="A45" s="26"/>
      <c r="B45" s="27"/>
      <c r="C45" s="944" t="str">
        <f>C8</f>
        <v>vers 'Reignier-centre'</v>
      </c>
      <c r="D45" s="945"/>
      <c r="E45" s="945"/>
      <c r="F45" s="945"/>
      <c r="G45" s="944" t="str">
        <f>G8</f>
        <v>vers 'Rue des Ecoles'</v>
      </c>
      <c r="H45" s="945"/>
      <c r="I45" s="945"/>
      <c r="J45" s="945"/>
      <c r="K45" s="944" t="str">
        <f>K8</f>
        <v>vers 'L'Eculaz'</v>
      </c>
      <c r="L45" s="945"/>
      <c r="M45" s="945"/>
      <c r="N45" s="945"/>
      <c r="O45" s="588"/>
      <c r="P45" s="944" t="str">
        <f>P8</f>
        <v>vers 'Reignier-centre'</v>
      </c>
      <c r="Q45" s="945"/>
      <c r="R45" s="945"/>
      <c r="S45" s="945"/>
      <c r="T45" s="944" t="str">
        <f>T8</f>
        <v>vers 'Rue des Ecoles'</v>
      </c>
      <c r="U45" s="945"/>
      <c r="V45" s="945"/>
      <c r="W45" s="945"/>
      <c r="X45" s="944" t="str">
        <f>X8</f>
        <v>vers 'Annemasse - Genève'</v>
      </c>
      <c r="Y45" s="945"/>
      <c r="Z45" s="945"/>
      <c r="AA45" s="946"/>
      <c r="AB45" s="26"/>
      <c r="AC45" s="27"/>
      <c r="AD45" s="929"/>
      <c r="AE45" s="870"/>
      <c r="AF45" s="870"/>
      <c r="AG45" s="870"/>
      <c r="AH45" s="870"/>
      <c r="AI45" s="1027"/>
      <c r="AJ45" s="1017"/>
      <c r="AK45" s="1018"/>
    </row>
    <row r="46" spans="1:37" ht="18.600000000000001" customHeight="1" thickBot="1">
      <c r="A46" s="26"/>
      <c r="B46" s="27"/>
      <c r="C46" s="926" t="s">
        <v>4</v>
      </c>
      <c r="D46" s="943"/>
      <c r="E46" s="927" t="s">
        <v>5</v>
      </c>
      <c r="F46" s="925"/>
      <c r="G46" s="925" t="s">
        <v>4</v>
      </c>
      <c r="H46" s="926"/>
      <c r="I46" s="927" t="s">
        <v>5</v>
      </c>
      <c r="J46" s="925"/>
      <c r="K46" s="925" t="s">
        <v>4</v>
      </c>
      <c r="L46" s="926"/>
      <c r="M46" s="927" t="s">
        <v>5</v>
      </c>
      <c r="N46" s="925"/>
      <c r="O46" s="580"/>
      <c r="P46" s="925" t="s">
        <v>4</v>
      </c>
      <c r="Q46" s="926"/>
      <c r="R46" s="927" t="s">
        <v>5</v>
      </c>
      <c r="S46" s="925"/>
      <c r="T46" s="925" t="s">
        <v>4</v>
      </c>
      <c r="U46" s="926"/>
      <c r="V46" s="927" t="s">
        <v>5</v>
      </c>
      <c r="W46" s="925"/>
      <c r="X46" s="925" t="s">
        <v>4</v>
      </c>
      <c r="Y46" s="926"/>
      <c r="Z46" s="943" t="s">
        <v>5</v>
      </c>
      <c r="AA46" s="927"/>
      <c r="AB46" s="99"/>
      <c r="AC46" s="27"/>
      <c r="AD46" s="929"/>
      <c r="AE46" s="870"/>
      <c r="AF46" s="870"/>
      <c r="AG46" s="870"/>
      <c r="AH46" s="870"/>
      <c r="AI46" s="1027"/>
      <c r="AJ46" s="1017"/>
      <c r="AK46" s="1018"/>
    </row>
    <row r="47" spans="1:37" ht="21" thickTop="1">
      <c r="A47" s="931" t="s">
        <v>13</v>
      </c>
      <c r="B47" s="932"/>
      <c r="C47" s="114" t="s">
        <v>8</v>
      </c>
      <c r="D47" s="115" t="s">
        <v>9</v>
      </c>
      <c r="E47" s="116" t="s">
        <v>8</v>
      </c>
      <c r="F47" s="117" t="s">
        <v>9</v>
      </c>
      <c r="G47" s="114" t="s">
        <v>8</v>
      </c>
      <c r="H47" s="115" t="s">
        <v>9</v>
      </c>
      <c r="I47" s="116" t="s">
        <v>8</v>
      </c>
      <c r="J47" s="117" t="s">
        <v>9</v>
      </c>
      <c r="K47" s="114" t="s">
        <v>8</v>
      </c>
      <c r="L47" s="115" t="s">
        <v>9</v>
      </c>
      <c r="M47" s="116" t="s">
        <v>8</v>
      </c>
      <c r="N47" s="117" t="s">
        <v>9</v>
      </c>
      <c r="O47" s="630"/>
      <c r="P47" s="114" t="s">
        <v>8</v>
      </c>
      <c r="Q47" s="115" t="s">
        <v>9</v>
      </c>
      <c r="R47" s="116" t="s">
        <v>8</v>
      </c>
      <c r="S47" s="117" t="s">
        <v>9</v>
      </c>
      <c r="T47" s="114" t="s">
        <v>8</v>
      </c>
      <c r="U47" s="115" t="s">
        <v>9</v>
      </c>
      <c r="V47" s="116" t="s">
        <v>8</v>
      </c>
      <c r="W47" s="117" t="s">
        <v>9</v>
      </c>
      <c r="X47" s="114" t="s">
        <v>8</v>
      </c>
      <c r="Y47" s="115" t="s">
        <v>9</v>
      </c>
      <c r="Z47" s="116" t="s">
        <v>8</v>
      </c>
      <c r="AA47" s="117" t="s">
        <v>9</v>
      </c>
      <c r="AB47" s="933" t="s">
        <v>13</v>
      </c>
      <c r="AC47" s="934"/>
      <c r="AD47" s="929"/>
      <c r="AE47" s="871"/>
      <c r="AF47" s="871"/>
      <c r="AG47" s="871"/>
      <c r="AH47" s="871"/>
      <c r="AI47" s="1028"/>
      <c r="AJ47" s="1020"/>
      <c r="AK47" s="1021"/>
    </row>
    <row r="48" spans="1:37" ht="54.95" customHeight="1">
      <c r="A48" s="935" t="s">
        <v>28</v>
      </c>
      <c r="B48" s="936"/>
      <c r="C48" s="75">
        <f t="shared" ref="C48:AA48" si="2">SUM(C11:C14)</f>
        <v>0</v>
      </c>
      <c r="D48" s="76">
        <f t="shared" si="2"/>
        <v>0</v>
      </c>
      <c r="E48" s="77">
        <f t="shared" si="2"/>
        <v>0</v>
      </c>
      <c r="F48" s="78">
        <f t="shared" si="2"/>
        <v>0</v>
      </c>
      <c r="G48" s="75">
        <f t="shared" si="2"/>
        <v>0</v>
      </c>
      <c r="H48" s="76">
        <f t="shared" si="2"/>
        <v>0</v>
      </c>
      <c r="I48" s="77">
        <f t="shared" si="2"/>
        <v>0</v>
      </c>
      <c r="J48" s="78">
        <f t="shared" si="2"/>
        <v>0</v>
      </c>
      <c r="K48" s="75">
        <f t="shared" si="2"/>
        <v>0</v>
      </c>
      <c r="L48" s="76">
        <f t="shared" si="2"/>
        <v>0</v>
      </c>
      <c r="M48" s="77">
        <f t="shared" si="2"/>
        <v>0</v>
      </c>
      <c r="N48" s="78">
        <f t="shared" si="2"/>
        <v>0</v>
      </c>
      <c r="O48" s="631"/>
      <c r="P48" s="75">
        <f t="shared" si="2"/>
        <v>0</v>
      </c>
      <c r="Q48" s="76">
        <f t="shared" si="2"/>
        <v>0</v>
      </c>
      <c r="R48" s="77">
        <f t="shared" si="2"/>
        <v>0</v>
      </c>
      <c r="S48" s="78">
        <f t="shared" si="2"/>
        <v>0</v>
      </c>
      <c r="T48" s="75">
        <f t="shared" si="2"/>
        <v>0</v>
      </c>
      <c r="U48" s="76">
        <f t="shared" si="2"/>
        <v>0</v>
      </c>
      <c r="V48" s="77">
        <f t="shared" si="2"/>
        <v>1</v>
      </c>
      <c r="W48" s="78">
        <f t="shared" si="2"/>
        <v>0</v>
      </c>
      <c r="X48" s="75">
        <f t="shared" si="2"/>
        <v>0</v>
      </c>
      <c r="Y48" s="76">
        <f t="shared" si="2"/>
        <v>0</v>
      </c>
      <c r="Z48" s="77">
        <f t="shared" si="2"/>
        <v>0</v>
      </c>
      <c r="AA48" s="78">
        <f t="shared" si="2"/>
        <v>0</v>
      </c>
      <c r="AB48" s="937" t="s">
        <v>28</v>
      </c>
      <c r="AC48" s="938"/>
      <c r="AD48" s="109">
        <f t="shared" ref="AD48:AD53" si="3">SUM(C48:AA48)+SUM(C60:AA60)</f>
        <v>9</v>
      </c>
      <c r="AE48" s="118">
        <f>IF(AD48=0,0,AE60/AD48)</f>
        <v>0.44444444444444442</v>
      </c>
      <c r="AF48" s="118">
        <f>IF(AD48=0,0,AF60/AD48)</f>
        <v>0.44444444444444442</v>
      </c>
      <c r="AG48" s="118">
        <f>IF(AF60=0,0,AG60/AF60)</f>
        <v>0.5</v>
      </c>
      <c r="AH48" s="118">
        <f t="shared" ref="AH48:AH54" si="4">IF(AD48=0,0,AH60/AD48)</f>
        <v>0.77777777777777779</v>
      </c>
      <c r="AI48" s="71"/>
      <c r="AJ48" s="183"/>
      <c r="AK48" s="72"/>
    </row>
    <row r="49" spans="1:37" ht="54.95" customHeight="1">
      <c r="A49" s="939" t="s">
        <v>11</v>
      </c>
      <c r="B49" s="940"/>
      <c r="C49" s="79">
        <f t="shared" ref="C49:AA49" si="5">SUM(C13:C16)</f>
        <v>0</v>
      </c>
      <c r="D49" s="80">
        <f t="shared" si="5"/>
        <v>0</v>
      </c>
      <c r="E49" s="81">
        <f t="shared" si="5"/>
        <v>0</v>
      </c>
      <c r="F49" s="82">
        <f t="shared" si="5"/>
        <v>0</v>
      </c>
      <c r="G49" s="79">
        <f t="shared" si="5"/>
        <v>0</v>
      </c>
      <c r="H49" s="80">
        <f t="shared" si="5"/>
        <v>0</v>
      </c>
      <c r="I49" s="81">
        <f t="shared" si="5"/>
        <v>0</v>
      </c>
      <c r="J49" s="82">
        <f t="shared" si="5"/>
        <v>0</v>
      </c>
      <c r="K49" s="79">
        <f t="shared" si="5"/>
        <v>0</v>
      </c>
      <c r="L49" s="80">
        <f t="shared" si="5"/>
        <v>0</v>
      </c>
      <c r="M49" s="81">
        <f t="shared" si="5"/>
        <v>0</v>
      </c>
      <c r="N49" s="82">
        <f t="shared" si="5"/>
        <v>0</v>
      </c>
      <c r="O49" s="632"/>
      <c r="P49" s="79">
        <f t="shared" si="5"/>
        <v>0</v>
      </c>
      <c r="Q49" s="80">
        <f t="shared" si="5"/>
        <v>1</v>
      </c>
      <c r="R49" s="81">
        <f t="shared" si="5"/>
        <v>0</v>
      </c>
      <c r="S49" s="82">
        <f t="shared" si="5"/>
        <v>2</v>
      </c>
      <c r="T49" s="79">
        <f t="shared" si="5"/>
        <v>0</v>
      </c>
      <c r="U49" s="80">
        <f t="shared" si="5"/>
        <v>6</v>
      </c>
      <c r="V49" s="81">
        <f t="shared" si="5"/>
        <v>1</v>
      </c>
      <c r="W49" s="82">
        <f t="shared" si="5"/>
        <v>3</v>
      </c>
      <c r="X49" s="79">
        <f t="shared" si="5"/>
        <v>1</v>
      </c>
      <c r="Y49" s="80">
        <f t="shared" si="5"/>
        <v>1</v>
      </c>
      <c r="Z49" s="81">
        <f t="shared" si="5"/>
        <v>0</v>
      </c>
      <c r="AA49" s="82">
        <f t="shared" si="5"/>
        <v>0</v>
      </c>
      <c r="AB49" s="941" t="s">
        <v>11</v>
      </c>
      <c r="AC49" s="942"/>
      <c r="AD49" s="110">
        <f t="shared" si="3"/>
        <v>30</v>
      </c>
      <c r="AE49" s="120">
        <f t="shared" ref="AE49:AE54" si="6">IF(AD49=0,0,AE61/AD49)</f>
        <v>0.2</v>
      </c>
      <c r="AF49" s="120">
        <f t="shared" ref="AF49:AF54" si="7">IF(AD49=0,0,AF61/AD49)</f>
        <v>0.33333333333333331</v>
      </c>
      <c r="AG49" s="120">
        <f t="shared" ref="AG49:AG54" si="8">IF(AF61=0,0,AG61/AF61)</f>
        <v>0.3</v>
      </c>
      <c r="AH49" s="120">
        <f t="shared" si="4"/>
        <v>0.4</v>
      </c>
      <c r="AI49" s="73"/>
      <c r="AJ49" s="184"/>
      <c r="AK49" s="74"/>
    </row>
    <row r="50" spans="1:37" ht="54.95" customHeight="1">
      <c r="A50" s="939" t="s">
        <v>17</v>
      </c>
      <c r="B50" s="940"/>
      <c r="C50" s="79">
        <f t="shared" ref="C50:AA50" si="9">SUM(C15:C18)</f>
        <v>0</v>
      </c>
      <c r="D50" s="80">
        <f t="shared" si="9"/>
        <v>0</v>
      </c>
      <c r="E50" s="81">
        <f t="shared" si="9"/>
        <v>0</v>
      </c>
      <c r="F50" s="82">
        <f t="shared" si="9"/>
        <v>0</v>
      </c>
      <c r="G50" s="79">
        <f t="shared" si="9"/>
        <v>0</v>
      </c>
      <c r="H50" s="80">
        <f t="shared" si="9"/>
        <v>0</v>
      </c>
      <c r="I50" s="81">
        <f t="shared" si="9"/>
        <v>0</v>
      </c>
      <c r="J50" s="82">
        <f t="shared" si="9"/>
        <v>0</v>
      </c>
      <c r="K50" s="79">
        <f t="shared" si="9"/>
        <v>0</v>
      </c>
      <c r="L50" s="80">
        <f t="shared" si="9"/>
        <v>0</v>
      </c>
      <c r="M50" s="81">
        <f t="shared" si="9"/>
        <v>0</v>
      </c>
      <c r="N50" s="82">
        <f t="shared" si="9"/>
        <v>0</v>
      </c>
      <c r="O50" s="632"/>
      <c r="P50" s="79">
        <f t="shared" si="9"/>
        <v>0</v>
      </c>
      <c r="Q50" s="80">
        <f t="shared" si="9"/>
        <v>1</v>
      </c>
      <c r="R50" s="81">
        <f t="shared" si="9"/>
        <v>0</v>
      </c>
      <c r="S50" s="82">
        <f t="shared" si="9"/>
        <v>2</v>
      </c>
      <c r="T50" s="79">
        <f t="shared" si="9"/>
        <v>0</v>
      </c>
      <c r="U50" s="80">
        <f t="shared" si="9"/>
        <v>6</v>
      </c>
      <c r="V50" s="81">
        <f t="shared" si="9"/>
        <v>0</v>
      </c>
      <c r="W50" s="82">
        <f t="shared" si="9"/>
        <v>5</v>
      </c>
      <c r="X50" s="79">
        <f t="shared" si="9"/>
        <v>2</v>
      </c>
      <c r="Y50" s="80">
        <f t="shared" si="9"/>
        <v>1</v>
      </c>
      <c r="Z50" s="81">
        <f t="shared" si="9"/>
        <v>0</v>
      </c>
      <c r="AA50" s="82">
        <f t="shared" si="9"/>
        <v>0</v>
      </c>
      <c r="AB50" s="941" t="s">
        <v>17</v>
      </c>
      <c r="AC50" s="942"/>
      <c r="AD50" s="110">
        <f t="shared" si="3"/>
        <v>35</v>
      </c>
      <c r="AE50" s="120">
        <f t="shared" si="6"/>
        <v>0.22857142857142856</v>
      </c>
      <c r="AF50" s="120">
        <f t="shared" si="7"/>
        <v>0.37142857142857144</v>
      </c>
      <c r="AG50" s="120">
        <f t="shared" si="8"/>
        <v>0.30769230769230771</v>
      </c>
      <c r="AH50" s="120">
        <f t="shared" si="4"/>
        <v>0.17142857142857143</v>
      </c>
      <c r="AI50" s="73"/>
      <c r="AJ50" s="184"/>
      <c r="AK50" s="74"/>
    </row>
    <row r="51" spans="1:37" ht="54.95" customHeight="1">
      <c r="A51" s="939" t="s">
        <v>10</v>
      </c>
      <c r="B51" s="940"/>
      <c r="C51" s="79">
        <f t="shared" ref="C51:AA51" si="10">SUM(C17:C20)</f>
        <v>0</v>
      </c>
      <c r="D51" s="80">
        <f t="shared" si="10"/>
        <v>0</v>
      </c>
      <c r="E51" s="81">
        <f t="shared" si="10"/>
        <v>0</v>
      </c>
      <c r="F51" s="82">
        <f t="shared" si="10"/>
        <v>0</v>
      </c>
      <c r="G51" s="79">
        <f t="shared" si="10"/>
        <v>0</v>
      </c>
      <c r="H51" s="80">
        <f t="shared" si="10"/>
        <v>0</v>
      </c>
      <c r="I51" s="81">
        <f t="shared" si="10"/>
        <v>0</v>
      </c>
      <c r="J51" s="82">
        <f t="shared" si="10"/>
        <v>0</v>
      </c>
      <c r="K51" s="79">
        <f t="shared" si="10"/>
        <v>0</v>
      </c>
      <c r="L51" s="80">
        <f t="shared" si="10"/>
        <v>1</v>
      </c>
      <c r="M51" s="81">
        <f t="shared" si="10"/>
        <v>0</v>
      </c>
      <c r="N51" s="82">
        <f t="shared" si="10"/>
        <v>0</v>
      </c>
      <c r="O51" s="632"/>
      <c r="P51" s="79">
        <f t="shared" si="10"/>
        <v>1</v>
      </c>
      <c r="Q51" s="80">
        <f t="shared" si="10"/>
        <v>0</v>
      </c>
      <c r="R51" s="81">
        <f t="shared" si="10"/>
        <v>0</v>
      </c>
      <c r="S51" s="82">
        <f t="shared" si="10"/>
        <v>0</v>
      </c>
      <c r="T51" s="79">
        <f t="shared" si="10"/>
        <v>0</v>
      </c>
      <c r="U51" s="80">
        <f t="shared" si="10"/>
        <v>0</v>
      </c>
      <c r="V51" s="81">
        <f t="shared" si="10"/>
        <v>0</v>
      </c>
      <c r="W51" s="82">
        <f t="shared" si="10"/>
        <v>2</v>
      </c>
      <c r="X51" s="79">
        <f t="shared" si="10"/>
        <v>2</v>
      </c>
      <c r="Y51" s="80">
        <f t="shared" si="10"/>
        <v>0</v>
      </c>
      <c r="Z51" s="81">
        <f t="shared" si="10"/>
        <v>0</v>
      </c>
      <c r="AA51" s="82">
        <f t="shared" si="10"/>
        <v>0</v>
      </c>
      <c r="AB51" s="941" t="s">
        <v>10</v>
      </c>
      <c r="AC51" s="942"/>
      <c r="AD51" s="110">
        <f t="shared" si="3"/>
        <v>21</v>
      </c>
      <c r="AE51" s="120">
        <f t="shared" si="6"/>
        <v>0.47619047619047616</v>
      </c>
      <c r="AF51" s="120">
        <f t="shared" si="7"/>
        <v>0.42857142857142855</v>
      </c>
      <c r="AG51" s="120">
        <f t="shared" si="8"/>
        <v>0.44444444444444442</v>
      </c>
      <c r="AH51" s="120">
        <f t="shared" si="4"/>
        <v>0.14285714285714285</v>
      </c>
      <c r="AI51" s="73"/>
      <c r="AJ51" s="184"/>
      <c r="AK51" s="74"/>
    </row>
    <row r="52" spans="1:37" ht="54.95" customHeight="1">
      <c r="A52" s="959" t="s">
        <v>29</v>
      </c>
      <c r="B52" s="960"/>
      <c r="C52" s="83">
        <f t="shared" ref="C52:AA52" si="11">SUM(C19:C22)</f>
        <v>0</v>
      </c>
      <c r="D52" s="84">
        <f t="shared" si="11"/>
        <v>0</v>
      </c>
      <c r="E52" s="85">
        <f t="shared" si="11"/>
        <v>0</v>
      </c>
      <c r="F52" s="86">
        <f t="shared" si="11"/>
        <v>0</v>
      </c>
      <c r="G52" s="83">
        <f t="shared" si="11"/>
        <v>0</v>
      </c>
      <c r="H52" s="84">
        <f t="shared" si="11"/>
        <v>0</v>
      </c>
      <c r="I52" s="85">
        <f t="shared" si="11"/>
        <v>0</v>
      </c>
      <c r="J52" s="86">
        <f t="shared" si="11"/>
        <v>0</v>
      </c>
      <c r="K52" s="83">
        <f t="shared" si="11"/>
        <v>0</v>
      </c>
      <c r="L52" s="84">
        <f t="shared" si="11"/>
        <v>1</v>
      </c>
      <c r="M52" s="85">
        <f t="shared" si="11"/>
        <v>0</v>
      </c>
      <c r="N52" s="86">
        <f t="shared" si="11"/>
        <v>0</v>
      </c>
      <c r="O52" s="633"/>
      <c r="P52" s="83">
        <f t="shared" si="11"/>
        <v>1</v>
      </c>
      <c r="Q52" s="84">
        <f t="shared" si="11"/>
        <v>0</v>
      </c>
      <c r="R52" s="85">
        <f t="shared" si="11"/>
        <v>0</v>
      </c>
      <c r="S52" s="86">
        <f t="shared" si="11"/>
        <v>0</v>
      </c>
      <c r="T52" s="83">
        <f t="shared" si="11"/>
        <v>0</v>
      </c>
      <c r="U52" s="84">
        <f t="shared" si="11"/>
        <v>0</v>
      </c>
      <c r="V52" s="85">
        <f t="shared" si="11"/>
        <v>0</v>
      </c>
      <c r="W52" s="86">
        <f t="shared" si="11"/>
        <v>0</v>
      </c>
      <c r="X52" s="83">
        <f t="shared" si="11"/>
        <v>1</v>
      </c>
      <c r="Y52" s="84">
        <f t="shared" si="11"/>
        <v>0</v>
      </c>
      <c r="Z52" s="85">
        <f t="shared" si="11"/>
        <v>0</v>
      </c>
      <c r="AA52" s="86">
        <f t="shared" si="11"/>
        <v>0</v>
      </c>
      <c r="AB52" s="961" t="s">
        <v>29</v>
      </c>
      <c r="AC52" s="962"/>
      <c r="AD52" s="111">
        <f t="shared" si="3"/>
        <v>7</v>
      </c>
      <c r="AE52" s="122">
        <f t="shared" si="6"/>
        <v>0.5714285714285714</v>
      </c>
      <c r="AF52" s="122">
        <f t="shared" si="7"/>
        <v>0.2857142857142857</v>
      </c>
      <c r="AG52" s="122">
        <f t="shared" si="8"/>
        <v>0.5</v>
      </c>
      <c r="AH52" s="122">
        <f t="shared" si="4"/>
        <v>0.2857142857142857</v>
      </c>
      <c r="AI52" s="107"/>
      <c r="AJ52" s="185"/>
      <c r="AK52" s="108"/>
    </row>
    <row r="53" spans="1:37" ht="54.95" customHeight="1">
      <c r="A53" s="950" t="s">
        <v>12</v>
      </c>
      <c r="B53" s="951"/>
      <c r="C53" s="87">
        <f t="shared" ref="C53:AA53" si="12">SUM(C11:C22)</f>
        <v>0</v>
      </c>
      <c r="D53" s="88">
        <f t="shared" si="12"/>
        <v>0</v>
      </c>
      <c r="E53" s="89">
        <f t="shared" si="12"/>
        <v>0</v>
      </c>
      <c r="F53" s="90">
        <f t="shared" si="12"/>
        <v>0</v>
      </c>
      <c r="G53" s="87">
        <f t="shared" si="12"/>
        <v>0</v>
      </c>
      <c r="H53" s="88">
        <f t="shared" si="12"/>
        <v>0</v>
      </c>
      <c r="I53" s="89">
        <f t="shared" si="12"/>
        <v>0</v>
      </c>
      <c r="J53" s="90">
        <f t="shared" si="12"/>
        <v>0</v>
      </c>
      <c r="K53" s="87">
        <f t="shared" si="12"/>
        <v>0</v>
      </c>
      <c r="L53" s="88">
        <f t="shared" si="12"/>
        <v>1</v>
      </c>
      <c r="M53" s="89">
        <f t="shared" si="12"/>
        <v>0</v>
      </c>
      <c r="N53" s="90">
        <f t="shared" si="12"/>
        <v>0</v>
      </c>
      <c r="O53" s="634"/>
      <c r="P53" s="87">
        <f t="shared" si="12"/>
        <v>1</v>
      </c>
      <c r="Q53" s="88">
        <f t="shared" si="12"/>
        <v>1</v>
      </c>
      <c r="R53" s="89">
        <f t="shared" si="12"/>
        <v>0</v>
      </c>
      <c r="S53" s="90">
        <f t="shared" si="12"/>
        <v>2</v>
      </c>
      <c r="T53" s="87">
        <f t="shared" si="12"/>
        <v>0</v>
      </c>
      <c r="U53" s="88">
        <f t="shared" si="12"/>
        <v>6</v>
      </c>
      <c r="V53" s="89">
        <f t="shared" si="12"/>
        <v>1</v>
      </c>
      <c r="W53" s="90">
        <f t="shared" si="12"/>
        <v>5</v>
      </c>
      <c r="X53" s="87">
        <f t="shared" si="12"/>
        <v>3</v>
      </c>
      <c r="Y53" s="88">
        <f t="shared" si="12"/>
        <v>1</v>
      </c>
      <c r="Z53" s="89">
        <f t="shared" si="12"/>
        <v>0</v>
      </c>
      <c r="AA53" s="90">
        <f t="shared" si="12"/>
        <v>0</v>
      </c>
      <c r="AB53" s="952" t="s">
        <v>12</v>
      </c>
      <c r="AC53" s="953"/>
      <c r="AD53" s="112">
        <f t="shared" si="3"/>
        <v>51</v>
      </c>
      <c r="AE53" s="193">
        <f t="shared" si="6"/>
        <v>0.31372549019607843</v>
      </c>
      <c r="AF53" s="193">
        <f t="shared" si="7"/>
        <v>0.37254901960784315</v>
      </c>
      <c r="AG53" s="193">
        <f t="shared" si="8"/>
        <v>0.36842105263157893</v>
      </c>
      <c r="AH53" s="193">
        <f t="shared" si="4"/>
        <v>0.29411764705882354</v>
      </c>
      <c r="AI53" s="186"/>
      <c r="AJ53" s="187"/>
      <c r="AK53" s="113"/>
    </row>
    <row r="54" spans="1:37" ht="54.95" customHeight="1" thickBot="1">
      <c r="A54" s="954" t="str">
        <f>IF($AD$48=MAX($AD$48:$AD$52),A48,IF($AD$49=MAX($AD$48:$AD$52),A49,IF($AD$50=MAX($AD$48:$AD$52),A50,IF($AD$51=MAX($AD$48:$AD$52),A51,A52))))</f>
        <v>de 7:30 à 8:30</v>
      </c>
      <c r="B54" s="955"/>
      <c r="C54" s="93">
        <f t="shared" ref="C54:N54" si="13">IF($AD$48=MAX($AD$48:$AD$52),C48,IF($AD$49=MAX($AD$48:$AD$52),C49,IF($AD$50=MAX($AD$48:$AD$52),C50,IF($AD$51=MAX($AD$48:$AD$52),(C51),C52))))</f>
        <v>0</v>
      </c>
      <c r="D54" s="94">
        <f t="shared" si="13"/>
        <v>0</v>
      </c>
      <c r="E54" s="95">
        <f t="shared" si="13"/>
        <v>0</v>
      </c>
      <c r="F54" s="96">
        <f t="shared" si="13"/>
        <v>0</v>
      </c>
      <c r="G54" s="93">
        <f t="shared" si="13"/>
        <v>0</v>
      </c>
      <c r="H54" s="94">
        <f t="shared" si="13"/>
        <v>0</v>
      </c>
      <c r="I54" s="95">
        <f t="shared" si="13"/>
        <v>0</v>
      </c>
      <c r="J54" s="96">
        <f t="shared" si="13"/>
        <v>0</v>
      </c>
      <c r="K54" s="93">
        <f t="shared" si="13"/>
        <v>0</v>
      </c>
      <c r="L54" s="94">
        <f t="shared" si="13"/>
        <v>0</v>
      </c>
      <c r="M54" s="95">
        <f t="shared" si="13"/>
        <v>0</v>
      </c>
      <c r="N54" s="96">
        <f t="shared" si="13"/>
        <v>0</v>
      </c>
      <c r="O54" s="635"/>
      <c r="P54" s="93">
        <f t="shared" ref="P54:AA54" si="14">IF($AD$48=MAX($AD$48:$AD$52),P48,IF($AD$49=MAX($AD$48:$AD$52),P49,IF($AD$50=MAX($AD$48:$AD$52),P50,IF($AD$51=MAX($AD$48:$AD$52),(P51),P52))))</f>
        <v>0</v>
      </c>
      <c r="Q54" s="94">
        <f t="shared" si="14"/>
        <v>1</v>
      </c>
      <c r="R54" s="95">
        <f t="shared" si="14"/>
        <v>0</v>
      </c>
      <c r="S54" s="96">
        <f t="shared" si="14"/>
        <v>2</v>
      </c>
      <c r="T54" s="93">
        <f t="shared" si="14"/>
        <v>0</v>
      </c>
      <c r="U54" s="94">
        <f t="shared" si="14"/>
        <v>6</v>
      </c>
      <c r="V54" s="95">
        <f t="shared" si="14"/>
        <v>0</v>
      </c>
      <c r="W54" s="96">
        <f t="shared" si="14"/>
        <v>5</v>
      </c>
      <c r="X54" s="93">
        <f t="shared" si="14"/>
        <v>2</v>
      </c>
      <c r="Y54" s="94">
        <f t="shared" si="14"/>
        <v>1</v>
      </c>
      <c r="Z54" s="95">
        <f t="shared" si="14"/>
        <v>0</v>
      </c>
      <c r="AA54" s="96">
        <f t="shared" si="14"/>
        <v>0</v>
      </c>
      <c r="AB54" s="956" t="str">
        <f>IF($AD$48=MAX($AD$48:$AD$52),A48,IF($AD$49=MAX($AD$48:$AD$52),A49,IF($AD$50=MAX($AD$48:$AD$52),A50,IF($AD$51=MAX($AD$48:$AD$52),A51,A52))))</f>
        <v>de 7:30 à 8:30</v>
      </c>
      <c r="AC54" s="957"/>
      <c r="AD54" s="124">
        <f>IF($AD$48=MAX($AD$48:$AD$52),AD48,IF($AD$49=MAX($AD$48:$AD$52),AD49,IF($AD$50=MAX($AD$48:$AD$52),AD50,IF($AD$51=MAX($AD$48:$AD$52),(AD51),AD52))))</f>
        <v>35</v>
      </c>
      <c r="AE54" s="194">
        <f t="shared" si="6"/>
        <v>0.22857142857142856</v>
      </c>
      <c r="AF54" s="194">
        <f t="shared" si="7"/>
        <v>0.37142857142857144</v>
      </c>
      <c r="AG54" s="194">
        <f t="shared" si="8"/>
        <v>0.30769230769230771</v>
      </c>
      <c r="AH54" s="194">
        <f t="shared" si="4"/>
        <v>0.17142857142857143</v>
      </c>
      <c r="AI54" s="125"/>
      <c r="AJ54" s="188"/>
      <c r="AK54" s="126"/>
    </row>
    <row r="55" spans="1:37" ht="12.75" customHeight="1" thickTop="1" thickBot="1">
      <c r="A55" s="28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9"/>
      <c r="AB55" s="958"/>
      <c r="AC55" s="958"/>
      <c r="AD55" s="102"/>
      <c r="AE55" s="103"/>
      <c r="AF55" s="103"/>
      <c r="AG55" s="103"/>
      <c r="AH55" s="103"/>
      <c r="AI55" s="104"/>
      <c r="AJ55" s="104"/>
      <c r="AK55" s="104"/>
    </row>
    <row r="56" spans="1:37" ht="32.25" customHeight="1" thickTop="1">
      <c r="A56" s="26"/>
      <c r="B56" s="27"/>
      <c r="C56" s="947" t="str">
        <f>C26</f>
        <v>Depuis 'Reignier-centre'</v>
      </c>
      <c r="D56" s="948"/>
      <c r="E56" s="948"/>
      <c r="F56" s="948"/>
      <c r="G56" s="948"/>
      <c r="H56" s="948"/>
      <c r="I56" s="948"/>
      <c r="J56" s="948"/>
      <c r="K56" s="948"/>
      <c r="L56" s="948"/>
      <c r="M56" s="948"/>
      <c r="N56" s="948"/>
      <c r="O56" s="590"/>
      <c r="P56" s="947" t="str">
        <f>P26</f>
        <v>Depuis 'Reignier - Rue des Ecoles'</v>
      </c>
      <c r="Q56" s="948"/>
      <c r="R56" s="948"/>
      <c r="S56" s="948"/>
      <c r="T56" s="948"/>
      <c r="U56" s="948"/>
      <c r="V56" s="948"/>
      <c r="W56" s="948"/>
      <c r="X56" s="948"/>
      <c r="Y56" s="948"/>
      <c r="Z56" s="948"/>
      <c r="AA56" s="949"/>
      <c r="AB56" s="958"/>
      <c r="AC56" s="958"/>
      <c r="AD56" s="102"/>
      <c r="AE56" s="869" t="s">
        <v>108</v>
      </c>
      <c r="AF56" s="869" t="s">
        <v>109</v>
      </c>
      <c r="AG56" s="869" t="s">
        <v>110</v>
      </c>
      <c r="AH56" s="872" t="s">
        <v>19</v>
      </c>
      <c r="AI56" s="104"/>
      <c r="AJ56" s="104"/>
      <c r="AK56" s="104"/>
    </row>
    <row r="57" spans="1:37" ht="22.7" customHeight="1">
      <c r="A57" s="26"/>
      <c r="B57" s="27"/>
      <c r="C57" s="944" t="str">
        <f>C27</f>
        <v>vers 'Annemasse - Genève'</v>
      </c>
      <c r="D57" s="945"/>
      <c r="E57" s="945"/>
      <c r="F57" s="945"/>
      <c r="G57" s="944" t="str">
        <f>G27</f>
        <v>vers 'Rue des Ecoles'</v>
      </c>
      <c r="H57" s="945"/>
      <c r="I57" s="945"/>
      <c r="J57" s="945"/>
      <c r="K57" s="944" t="str">
        <f>K27</f>
        <v>vers 'L'Eculaz'</v>
      </c>
      <c r="L57" s="945"/>
      <c r="M57" s="945"/>
      <c r="N57" s="945"/>
      <c r="O57" s="588"/>
      <c r="P57" s="944" t="str">
        <f>P27</f>
        <v>vers 'Reignier-centre'</v>
      </c>
      <c r="Q57" s="945"/>
      <c r="R57" s="945"/>
      <c r="S57" s="945"/>
      <c r="T57" s="944" t="str">
        <f>T27</f>
        <v>vers 'L'Eculaz'</v>
      </c>
      <c r="U57" s="945"/>
      <c r="V57" s="945"/>
      <c r="W57" s="945"/>
      <c r="X57" s="944" t="str">
        <f>X27</f>
        <v>vers 'Annemasse - Genève'</v>
      </c>
      <c r="Y57" s="945"/>
      <c r="Z57" s="945"/>
      <c r="AA57" s="946"/>
      <c r="AB57" s="958"/>
      <c r="AC57" s="958"/>
      <c r="AD57" s="102"/>
      <c r="AE57" s="870"/>
      <c r="AF57" s="870"/>
      <c r="AG57" s="870"/>
      <c r="AH57" s="873"/>
      <c r="AI57" s="104"/>
      <c r="AJ57" s="104"/>
      <c r="AK57" s="104"/>
    </row>
    <row r="58" spans="1:37" ht="18.600000000000001" customHeight="1" thickBot="1">
      <c r="A58" s="26"/>
      <c r="B58" s="27"/>
      <c r="C58" s="926" t="s">
        <v>4</v>
      </c>
      <c r="D58" s="943"/>
      <c r="E58" s="927" t="s">
        <v>5</v>
      </c>
      <c r="F58" s="925"/>
      <c r="G58" s="925" t="s">
        <v>4</v>
      </c>
      <c r="H58" s="926"/>
      <c r="I58" s="927" t="s">
        <v>5</v>
      </c>
      <c r="J58" s="925"/>
      <c r="K58" s="925" t="s">
        <v>4</v>
      </c>
      <c r="L58" s="926"/>
      <c r="M58" s="927" t="s">
        <v>5</v>
      </c>
      <c r="N58" s="925"/>
      <c r="O58" s="580"/>
      <c r="P58" s="925" t="s">
        <v>4</v>
      </c>
      <c r="Q58" s="926"/>
      <c r="R58" s="927" t="s">
        <v>5</v>
      </c>
      <c r="S58" s="925"/>
      <c r="T58" s="925" t="s">
        <v>4</v>
      </c>
      <c r="U58" s="926"/>
      <c r="V58" s="927" t="s">
        <v>5</v>
      </c>
      <c r="W58" s="925"/>
      <c r="X58" s="925" t="s">
        <v>4</v>
      </c>
      <c r="Y58" s="926"/>
      <c r="Z58" s="943" t="s">
        <v>5</v>
      </c>
      <c r="AA58" s="927"/>
      <c r="AB58" s="958"/>
      <c r="AC58" s="958"/>
      <c r="AD58" s="102"/>
      <c r="AE58" s="870"/>
      <c r="AF58" s="870"/>
      <c r="AG58" s="870"/>
      <c r="AH58" s="873"/>
      <c r="AI58" s="104"/>
      <c r="AJ58" s="104"/>
      <c r="AK58" s="104"/>
    </row>
    <row r="59" spans="1:37" ht="21.75" customHeight="1" thickTop="1">
      <c r="A59" s="931" t="s">
        <v>13</v>
      </c>
      <c r="B59" s="932"/>
      <c r="C59" s="114" t="s">
        <v>8</v>
      </c>
      <c r="D59" s="115" t="s">
        <v>9</v>
      </c>
      <c r="E59" s="116" t="s">
        <v>8</v>
      </c>
      <c r="F59" s="117" t="s">
        <v>9</v>
      </c>
      <c r="G59" s="114" t="s">
        <v>8</v>
      </c>
      <c r="H59" s="115" t="s">
        <v>9</v>
      </c>
      <c r="I59" s="116" t="s">
        <v>8</v>
      </c>
      <c r="J59" s="117" t="s">
        <v>9</v>
      </c>
      <c r="K59" s="114" t="s">
        <v>8</v>
      </c>
      <c r="L59" s="115" t="s">
        <v>9</v>
      </c>
      <c r="M59" s="116" t="s">
        <v>8</v>
      </c>
      <c r="N59" s="117" t="s">
        <v>9</v>
      </c>
      <c r="O59" s="630"/>
      <c r="P59" s="114" t="s">
        <v>8</v>
      </c>
      <c r="Q59" s="115" t="s">
        <v>9</v>
      </c>
      <c r="R59" s="116" t="s">
        <v>8</v>
      </c>
      <c r="S59" s="117" t="s">
        <v>9</v>
      </c>
      <c r="T59" s="114" t="s">
        <v>8</v>
      </c>
      <c r="U59" s="115" t="s">
        <v>9</v>
      </c>
      <c r="V59" s="116" t="s">
        <v>8</v>
      </c>
      <c r="W59" s="117" t="s">
        <v>9</v>
      </c>
      <c r="X59" s="114" t="s">
        <v>8</v>
      </c>
      <c r="Y59" s="115" t="s">
        <v>9</v>
      </c>
      <c r="Z59" s="116" t="s">
        <v>8</v>
      </c>
      <c r="AA59" s="117" t="s">
        <v>9</v>
      </c>
      <c r="AB59" s="958"/>
      <c r="AC59" s="958"/>
      <c r="AD59" s="102"/>
      <c r="AE59" s="871"/>
      <c r="AF59" s="871"/>
      <c r="AG59" s="871"/>
      <c r="AH59" s="874"/>
      <c r="AI59" s="104"/>
      <c r="AJ59" s="104"/>
      <c r="AK59" s="104"/>
    </row>
    <row r="60" spans="1:37" ht="54.95" customHeight="1">
      <c r="A60" s="935" t="s">
        <v>28</v>
      </c>
      <c r="B60" s="936"/>
      <c r="C60" s="75">
        <f t="shared" ref="C60:AA60" si="15">SUM(C30:C33)</f>
        <v>2</v>
      </c>
      <c r="D60" s="76">
        <f t="shared" si="15"/>
        <v>3</v>
      </c>
      <c r="E60" s="77">
        <f t="shared" si="15"/>
        <v>1</v>
      </c>
      <c r="F60" s="78">
        <f t="shared" si="15"/>
        <v>1</v>
      </c>
      <c r="G60" s="75">
        <f t="shared" si="15"/>
        <v>0</v>
      </c>
      <c r="H60" s="76">
        <f t="shared" si="15"/>
        <v>0</v>
      </c>
      <c r="I60" s="77">
        <f t="shared" si="15"/>
        <v>0</v>
      </c>
      <c r="J60" s="78">
        <f t="shared" si="15"/>
        <v>0</v>
      </c>
      <c r="K60" s="75">
        <f t="shared" si="15"/>
        <v>0</v>
      </c>
      <c r="L60" s="76">
        <f t="shared" si="15"/>
        <v>0</v>
      </c>
      <c r="M60" s="77">
        <f t="shared" si="15"/>
        <v>0</v>
      </c>
      <c r="N60" s="78">
        <f t="shared" si="15"/>
        <v>1</v>
      </c>
      <c r="O60" s="631"/>
      <c r="P60" s="75">
        <f t="shared" si="15"/>
        <v>0</v>
      </c>
      <c r="Q60" s="76">
        <f t="shared" si="15"/>
        <v>0</v>
      </c>
      <c r="R60" s="77">
        <f t="shared" si="15"/>
        <v>0</v>
      </c>
      <c r="S60" s="78">
        <f t="shared" si="15"/>
        <v>0</v>
      </c>
      <c r="T60" s="75">
        <f t="shared" si="15"/>
        <v>0</v>
      </c>
      <c r="U60" s="76">
        <f t="shared" si="15"/>
        <v>0</v>
      </c>
      <c r="V60" s="77">
        <f t="shared" si="15"/>
        <v>0</v>
      </c>
      <c r="W60" s="78">
        <f t="shared" si="15"/>
        <v>0</v>
      </c>
      <c r="X60" s="75">
        <f t="shared" si="15"/>
        <v>0</v>
      </c>
      <c r="Y60" s="76">
        <f t="shared" si="15"/>
        <v>0</v>
      </c>
      <c r="Z60" s="77">
        <f t="shared" si="15"/>
        <v>0</v>
      </c>
      <c r="AA60" s="78">
        <f t="shared" si="15"/>
        <v>0</v>
      </c>
      <c r="AB60" s="958"/>
      <c r="AC60" s="958"/>
      <c r="AD60" s="102"/>
      <c r="AE60" s="119">
        <f>(C48+E48+G48+I48+K48+M48+P48+R48+T48+V48+X48+Z48+C60+E60+G60+I60+K60+M60+P60+R60+T60+V60+X60+Z60)</f>
        <v>4</v>
      </c>
      <c r="AF60" s="119">
        <f>(E48+F48+I48+J48+M48+N48+R48+S48+V48+W48+Z48+AA48+E60+F60+I60+J60+M60+N60+R60+S60+V60+W60+Z60+AA60)</f>
        <v>4</v>
      </c>
      <c r="AG60" s="119">
        <f>(E48+I48+M48+R48+V48+Z48+E60+I60+M60+R60+V60+Z60)</f>
        <v>2</v>
      </c>
      <c r="AH60" s="119">
        <f t="shared" ref="AH60:AH66" si="16">SUM(X48:AA48,C60:F60,X60:AA60)</f>
        <v>7</v>
      </c>
      <c r="AI60" s="104"/>
      <c r="AJ60" s="104"/>
      <c r="AK60" s="104"/>
    </row>
    <row r="61" spans="1:37" ht="54.95" customHeight="1">
      <c r="A61" s="939" t="s">
        <v>11</v>
      </c>
      <c r="B61" s="940"/>
      <c r="C61" s="79">
        <f t="shared" ref="C61:AA61" si="17">SUM(C32:C35)</f>
        <v>2</v>
      </c>
      <c r="D61" s="80">
        <f t="shared" si="17"/>
        <v>5</v>
      </c>
      <c r="E61" s="81">
        <f t="shared" si="17"/>
        <v>2</v>
      </c>
      <c r="F61" s="82">
        <f t="shared" si="17"/>
        <v>1</v>
      </c>
      <c r="G61" s="79">
        <f t="shared" si="17"/>
        <v>0</v>
      </c>
      <c r="H61" s="80">
        <f t="shared" si="17"/>
        <v>1</v>
      </c>
      <c r="I61" s="81">
        <f t="shared" si="17"/>
        <v>0</v>
      </c>
      <c r="J61" s="82">
        <f t="shared" si="17"/>
        <v>0</v>
      </c>
      <c r="K61" s="79">
        <f t="shared" si="17"/>
        <v>0</v>
      </c>
      <c r="L61" s="80">
        <f t="shared" si="17"/>
        <v>3</v>
      </c>
      <c r="M61" s="81">
        <f t="shared" si="17"/>
        <v>0</v>
      </c>
      <c r="N61" s="82">
        <f t="shared" si="17"/>
        <v>1</v>
      </c>
      <c r="O61" s="632"/>
      <c r="P61" s="79">
        <f t="shared" si="17"/>
        <v>0</v>
      </c>
      <c r="Q61" s="80">
        <f t="shared" si="17"/>
        <v>0</v>
      </c>
      <c r="R61" s="81">
        <f t="shared" si="17"/>
        <v>0</v>
      </c>
      <c r="S61" s="82">
        <f t="shared" si="17"/>
        <v>0</v>
      </c>
      <c r="T61" s="79">
        <f t="shared" si="17"/>
        <v>0</v>
      </c>
      <c r="U61" s="80">
        <f t="shared" si="17"/>
        <v>0</v>
      </c>
      <c r="V61" s="81">
        <f t="shared" si="17"/>
        <v>0</v>
      </c>
      <c r="W61" s="82">
        <f t="shared" si="17"/>
        <v>0</v>
      </c>
      <c r="X61" s="79">
        <f t="shared" si="17"/>
        <v>0</v>
      </c>
      <c r="Y61" s="80">
        <f t="shared" si="17"/>
        <v>0</v>
      </c>
      <c r="Z61" s="81">
        <f t="shared" si="17"/>
        <v>0</v>
      </c>
      <c r="AA61" s="82">
        <f t="shared" si="17"/>
        <v>0</v>
      </c>
      <c r="AB61" s="958"/>
      <c r="AC61" s="958"/>
      <c r="AD61" s="102"/>
      <c r="AE61" s="121">
        <f t="shared" ref="AE61:AE66" si="18">(C49+E49+G49+I49+K49+M49+P49+R49+T49+V49+X49+Z49+C61+E61+G61+I61+K61+M61+P61+R61+T61+V61+X61+Z61)</f>
        <v>6</v>
      </c>
      <c r="AF61" s="121">
        <f t="shared" ref="AF61:AF66" si="19">(E49+F49+I49+J49+M49+N49+R49+S49+V49+W49+Z49+AA49+E61+F61+I61+J61+M61+N61+R61+S61+V61+W61+Z61+AA61)</f>
        <v>10</v>
      </c>
      <c r="AG61" s="121">
        <f t="shared" ref="AG61:AG66" si="20">(E49+I49+M49+R49+V49+Z49+E61+I61+M61+R61+V61+Z61)</f>
        <v>3</v>
      </c>
      <c r="AH61" s="121">
        <f t="shared" si="16"/>
        <v>12</v>
      </c>
      <c r="AI61" s="104"/>
      <c r="AJ61" s="104"/>
      <c r="AK61" s="104"/>
    </row>
    <row r="62" spans="1:37" ht="54.95" customHeight="1">
      <c r="A62" s="939" t="s">
        <v>17</v>
      </c>
      <c r="B62" s="940"/>
      <c r="C62" s="79">
        <f t="shared" ref="C62:AA62" si="21">SUM(C34:C37)</f>
        <v>0</v>
      </c>
      <c r="D62" s="80">
        <f t="shared" si="21"/>
        <v>2</v>
      </c>
      <c r="E62" s="81">
        <f t="shared" si="21"/>
        <v>1</v>
      </c>
      <c r="F62" s="82">
        <f t="shared" si="21"/>
        <v>0</v>
      </c>
      <c r="G62" s="79">
        <f t="shared" si="21"/>
        <v>1</v>
      </c>
      <c r="H62" s="80">
        <f t="shared" si="21"/>
        <v>3</v>
      </c>
      <c r="I62" s="81">
        <f t="shared" si="21"/>
        <v>0</v>
      </c>
      <c r="J62" s="82">
        <f t="shared" si="21"/>
        <v>2</v>
      </c>
      <c r="K62" s="79">
        <f t="shared" si="21"/>
        <v>0</v>
      </c>
      <c r="L62" s="80">
        <f t="shared" si="21"/>
        <v>4</v>
      </c>
      <c r="M62" s="81">
        <f t="shared" si="21"/>
        <v>2</v>
      </c>
      <c r="N62" s="82">
        <f t="shared" si="21"/>
        <v>0</v>
      </c>
      <c r="O62" s="632"/>
      <c r="P62" s="79">
        <f t="shared" si="21"/>
        <v>1</v>
      </c>
      <c r="Q62" s="80">
        <f t="shared" si="21"/>
        <v>0</v>
      </c>
      <c r="R62" s="81">
        <f t="shared" si="21"/>
        <v>1</v>
      </c>
      <c r="S62" s="82">
        <f t="shared" si="21"/>
        <v>0</v>
      </c>
      <c r="T62" s="79">
        <f t="shared" si="21"/>
        <v>0</v>
      </c>
      <c r="U62" s="80">
        <f t="shared" si="21"/>
        <v>1</v>
      </c>
      <c r="V62" s="81">
        <f t="shared" si="21"/>
        <v>0</v>
      </c>
      <c r="W62" s="82">
        <f t="shared" si="21"/>
        <v>0</v>
      </c>
      <c r="X62" s="79">
        <f t="shared" si="21"/>
        <v>0</v>
      </c>
      <c r="Y62" s="80">
        <f t="shared" si="21"/>
        <v>0</v>
      </c>
      <c r="Z62" s="81">
        <f t="shared" si="21"/>
        <v>0</v>
      </c>
      <c r="AA62" s="82">
        <f t="shared" si="21"/>
        <v>0</v>
      </c>
      <c r="AB62" s="958"/>
      <c r="AC62" s="958"/>
      <c r="AD62" s="102"/>
      <c r="AE62" s="121">
        <f t="shared" si="18"/>
        <v>8</v>
      </c>
      <c r="AF62" s="121">
        <f t="shared" si="19"/>
        <v>13</v>
      </c>
      <c r="AG62" s="121">
        <f t="shared" si="20"/>
        <v>4</v>
      </c>
      <c r="AH62" s="121">
        <f t="shared" si="16"/>
        <v>6</v>
      </c>
      <c r="AI62" s="104"/>
      <c r="AJ62" s="104"/>
      <c r="AK62" s="104"/>
    </row>
    <row r="63" spans="1:37" ht="54.95" customHeight="1">
      <c r="A63" s="939" t="s">
        <v>10</v>
      </c>
      <c r="B63" s="940"/>
      <c r="C63" s="79">
        <f t="shared" ref="C63:AA63" si="22">SUM(C36:C39)</f>
        <v>0</v>
      </c>
      <c r="D63" s="80">
        <f t="shared" si="22"/>
        <v>1</v>
      </c>
      <c r="E63" s="81">
        <f t="shared" si="22"/>
        <v>0</v>
      </c>
      <c r="F63" s="82">
        <f t="shared" si="22"/>
        <v>0</v>
      </c>
      <c r="G63" s="79">
        <f t="shared" si="22"/>
        <v>2</v>
      </c>
      <c r="H63" s="80">
        <f t="shared" si="22"/>
        <v>2</v>
      </c>
      <c r="I63" s="81">
        <f t="shared" si="22"/>
        <v>0</v>
      </c>
      <c r="J63" s="82">
        <f t="shared" si="22"/>
        <v>2</v>
      </c>
      <c r="K63" s="79">
        <f t="shared" si="22"/>
        <v>0</v>
      </c>
      <c r="L63" s="80">
        <f t="shared" si="22"/>
        <v>1</v>
      </c>
      <c r="M63" s="81">
        <f t="shared" si="22"/>
        <v>3</v>
      </c>
      <c r="N63" s="82">
        <f t="shared" si="22"/>
        <v>1</v>
      </c>
      <c r="O63" s="632"/>
      <c r="P63" s="79">
        <f t="shared" si="22"/>
        <v>1</v>
      </c>
      <c r="Q63" s="80">
        <f t="shared" si="22"/>
        <v>0</v>
      </c>
      <c r="R63" s="81">
        <f t="shared" si="22"/>
        <v>1</v>
      </c>
      <c r="S63" s="82">
        <f t="shared" si="22"/>
        <v>0</v>
      </c>
      <c r="T63" s="79">
        <f t="shared" si="22"/>
        <v>0</v>
      </c>
      <c r="U63" s="80">
        <f t="shared" si="22"/>
        <v>1</v>
      </c>
      <c r="V63" s="81">
        <f t="shared" si="22"/>
        <v>0</v>
      </c>
      <c r="W63" s="82">
        <f t="shared" si="22"/>
        <v>0</v>
      </c>
      <c r="X63" s="79">
        <f t="shared" si="22"/>
        <v>0</v>
      </c>
      <c r="Y63" s="80">
        <f t="shared" si="22"/>
        <v>0</v>
      </c>
      <c r="Z63" s="81">
        <f t="shared" si="22"/>
        <v>0</v>
      </c>
      <c r="AA63" s="82">
        <f t="shared" si="22"/>
        <v>0</v>
      </c>
      <c r="AB63" s="958"/>
      <c r="AC63" s="958"/>
      <c r="AD63" s="102"/>
      <c r="AE63" s="121">
        <f t="shared" si="18"/>
        <v>10</v>
      </c>
      <c r="AF63" s="121">
        <f t="shared" si="19"/>
        <v>9</v>
      </c>
      <c r="AG63" s="121">
        <f t="shared" si="20"/>
        <v>4</v>
      </c>
      <c r="AH63" s="121">
        <f t="shared" si="16"/>
        <v>3</v>
      </c>
      <c r="AI63" s="104"/>
      <c r="AJ63" s="104"/>
      <c r="AK63" s="104"/>
    </row>
    <row r="64" spans="1:37" ht="54.95" customHeight="1">
      <c r="A64" s="959" t="s">
        <v>29</v>
      </c>
      <c r="B64" s="960"/>
      <c r="C64" s="83">
        <f t="shared" ref="C64:AA64" si="23">SUM(C38:C41)</f>
        <v>0</v>
      </c>
      <c r="D64" s="84">
        <f t="shared" si="23"/>
        <v>1</v>
      </c>
      <c r="E64" s="85">
        <f t="shared" si="23"/>
        <v>0</v>
      </c>
      <c r="F64" s="86">
        <f t="shared" si="23"/>
        <v>0</v>
      </c>
      <c r="G64" s="83">
        <f t="shared" si="23"/>
        <v>1</v>
      </c>
      <c r="H64" s="84">
        <f t="shared" si="23"/>
        <v>0</v>
      </c>
      <c r="I64" s="85">
        <f t="shared" si="23"/>
        <v>0</v>
      </c>
      <c r="J64" s="86">
        <f t="shared" si="23"/>
        <v>0</v>
      </c>
      <c r="K64" s="83">
        <f t="shared" si="23"/>
        <v>0</v>
      </c>
      <c r="L64" s="84">
        <f t="shared" si="23"/>
        <v>0</v>
      </c>
      <c r="M64" s="85">
        <f t="shared" si="23"/>
        <v>1</v>
      </c>
      <c r="N64" s="86">
        <f t="shared" si="23"/>
        <v>1</v>
      </c>
      <c r="O64" s="633"/>
      <c r="P64" s="83">
        <f t="shared" si="23"/>
        <v>0</v>
      </c>
      <c r="Q64" s="84">
        <f t="shared" si="23"/>
        <v>0</v>
      </c>
      <c r="R64" s="85">
        <f t="shared" si="23"/>
        <v>0</v>
      </c>
      <c r="S64" s="86">
        <f t="shared" si="23"/>
        <v>0</v>
      </c>
      <c r="T64" s="83">
        <f t="shared" si="23"/>
        <v>0</v>
      </c>
      <c r="U64" s="84">
        <f t="shared" si="23"/>
        <v>0</v>
      </c>
      <c r="V64" s="85">
        <f t="shared" si="23"/>
        <v>0</v>
      </c>
      <c r="W64" s="86">
        <f t="shared" si="23"/>
        <v>0</v>
      </c>
      <c r="X64" s="83">
        <f t="shared" si="23"/>
        <v>0</v>
      </c>
      <c r="Y64" s="84">
        <f t="shared" si="23"/>
        <v>0</v>
      </c>
      <c r="Z64" s="85">
        <f t="shared" si="23"/>
        <v>0</v>
      </c>
      <c r="AA64" s="86">
        <f t="shared" si="23"/>
        <v>0</v>
      </c>
      <c r="AB64" s="958"/>
      <c r="AC64" s="958"/>
      <c r="AD64" s="102"/>
      <c r="AE64" s="123">
        <f t="shared" si="18"/>
        <v>4</v>
      </c>
      <c r="AF64" s="123">
        <f t="shared" si="19"/>
        <v>2</v>
      </c>
      <c r="AG64" s="123">
        <f t="shared" si="20"/>
        <v>1</v>
      </c>
      <c r="AH64" s="123">
        <f t="shared" si="16"/>
        <v>2</v>
      </c>
      <c r="AI64" s="104"/>
      <c r="AJ64" s="104"/>
      <c r="AK64" s="104"/>
    </row>
    <row r="65" spans="1:44" ht="54.95" customHeight="1">
      <c r="A65" s="950" t="s">
        <v>12</v>
      </c>
      <c r="B65" s="951"/>
      <c r="C65" s="87">
        <f t="shared" ref="C65:AA65" si="24">SUM(C30:C41)</f>
        <v>2</v>
      </c>
      <c r="D65" s="88">
        <f t="shared" si="24"/>
        <v>6</v>
      </c>
      <c r="E65" s="89">
        <f t="shared" si="24"/>
        <v>2</v>
      </c>
      <c r="F65" s="90">
        <f t="shared" si="24"/>
        <v>1</v>
      </c>
      <c r="G65" s="87">
        <f t="shared" si="24"/>
        <v>2</v>
      </c>
      <c r="H65" s="88">
        <f t="shared" si="24"/>
        <v>3</v>
      </c>
      <c r="I65" s="89">
        <f t="shared" si="24"/>
        <v>0</v>
      </c>
      <c r="J65" s="90">
        <f t="shared" si="24"/>
        <v>2</v>
      </c>
      <c r="K65" s="87">
        <f t="shared" si="24"/>
        <v>0</v>
      </c>
      <c r="L65" s="88">
        <f t="shared" si="24"/>
        <v>4</v>
      </c>
      <c r="M65" s="89">
        <f t="shared" si="24"/>
        <v>3</v>
      </c>
      <c r="N65" s="90">
        <f t="shared" si="24"/>
        <v>2</v>
      </c>
      <c r="O65" s="634"/>
      <c r="P65" s="87">
        <f t="shared" si="24"/>
        <v>1</v>
      </c>
      <c r="Q65" s="88">
        <f t="shared" si="24"/>
        <v>0</v>
      </c>
      <c r="R65" s="89">
        <f t="shared" si="24"/>
        <v>1</v>
      </c>
      <c r="S65" s="90">
        <f t="shared" si="24"/>
        <v>0</v>
      </c>
      <c r="T65" s="87">
        <f t="shared" si="24"/>
        <v>0</v>
      </c>
      <c r="U65" s="88">
        <f t="shared" si="24"/>
        <v>1</v>
      </c>
      <c r="V65" s="89">
        <f t="shared" si="24"/>
        <v>0</v>
      </c>
      <c r="W65" s="90">
        <f t="shared" si="24"/>
        <v>0</v>
      </c>
      <c r="X65" s="87">
        <f t="shared" si="24"/>
        <v>0</v>
      </c>
      <c r="Y65" s="88">
        <f t="shared" si="24"/>
        <v>0</v>
      </c>
      <c r="Z65" s="89">
        <f t="shared" si="24"/>
        <v>0</v>
      </c>
      <c r="AA65" s="90">
        <f t="shared" si="24"/>
        <v>0</v>
      </c>
      <c r="AB65" s="105"/>
      <c r="AC65" s="105"/>
      <c r="AD65" s="105"/>
      <c r="AE65" s="201">
        <f t="shared" si="18"/>
        <v>16</v>
      </c>
      <c r="AF65" s="201">
        <f t="shared" si="19"/>
        <v>19</v>
      </c>
      <c r="AG65" s="201">
        <f t="shared" si="20"/>
        <v>7</v>
      </c>
      <c r="AH65" s="201">
        <f t="shared" si="16"/>
        <v>15</v>
      </c>
      <c r="AI65" s="105"/>
      <c r="AJ65" s="105"/>
      <c r="AK65" s="105"/>
    </row>
    <row r="66" spans="1:44" ht="54.95" customHeight="1" thickBot="1">
      <c r="A66" s="954" t="str">
        <f>IF($AD$48=MAX($AD$48:$AD$52),A60,IF($AD$49=MAX($AD$48:$AD$52),A61,IF($AD$50=MAX($AD$48:$AD$52),A62,IF($AD$51=MAX($AD$48:$AD$52),A63,A64))))</f>
        <v>de 7:30 à 8:30</v>
      </c>
      <c r="B66" s="955"/>
      <c r="C66" s="93">
        <f t="shared" ref="C66" si="25">IF($AD$48=MAX($AD$48:$AD$52),C60,IF($AD$49=MAX($AD$48:$AD$52),C61,IF($AD$50=MAX($AD$48:$AD$52),C62,IF($AD$51=MAX($AD$48:$AD$52),C63,C64))))</f>
        <v>0</v>
      </c>
      <c r="D66" s="94">
        <f t="shared" ref="D66:N66" si="26">IF($AD$48=MAX($AD$48:$AD$52),D60,IF($AD$49=MAX($AD$48:$AD$52),D61,IF($AD$50=MAX($AD$48:$AD$52),D62,IF($AD$51=MAX($AD$48:$AD$52),D63,D64))))</f>
        <v>2</v>
      </c>
      <c r="E66" s="95">
        <f t="shared" si="26"/>
        <v>1</v>
      </c>
      <c r="F66" s="96">
        <f t="shared" si="26"/>
        <v>0</v>
      </c>
      <c r="G66" s="93">
        <f t="shared" si="26"/>
        <v>1</v>
      </c>
      <c r="H66" s="94">
        <f t="shared" si="26"/>
        <v>3</v>
      </c>
      <c r="I66" s="95">
        <f t="shared" si="26"/>
        <v>0</v>
      </c>
      <c r="J66" s="96">
        <f t="shared" si="26"/>
        <v>2</v>
      </c>
      <c r="K66" s="93">
        <f t="shared" si="26"/>
        <v>0</v>
      </c>
      <c r="L66" s="94">
        <f t="shared" si="26"/>
        <v>4</v>
      </c>
      <c r="M66" s="95">
        <f t="shared" si="26"/>
        <v>2</v>
      </c>
      <c r="N66" s="96">
        <f t="shared" si="26"/>
        <v>0</v>
      </c>
      <c r="O66" s="635"/>
      <c r="P66" s="93">
        <f t="shared" ref="P66:AA66" si="27">IF($AD$48=MAX($AD$48:$AD$52),P60,IF($AD$49=MAX($AD$48:$AD$52),P61,IF($AD$50=MAX($AD$48:$AD$52),P62,IF($AD$51=MAX($AD$48:$AD$52),P63,P64))))</f>
        <v>1</v>
      </c>
      <c r="Q66" s="94">
        <f t="shared" si="27"/>
        <v>0</v>
      </c>
      <c r="R66" s="95">
        <f t="shared" si="27"/>
        <v>1</v>
      </c>
      <c r="S66" s="96">
        <f t="shared" si="27"/>
        <v>0</v>
      </c>
      <c r="T66" s="93">
        <f t="shared" si="27"/>
        <v>0</v>
      </c>
      <c r="U66" s="94">
        <f t="shared" si="27"/>
        <v>1</v>
      </c>
      <c r="V66" s="95">
        <f t="shared" si="27"/>
        <v>0</v>
      </c>
      <c r="W66" s="96">
        <f t="shared" si="27"/>
        <v>0</v>
      </c>
      <c r="X66" s="93">
        <f t="shared" si="27"/>
        <v>0</v>
      </c>
      <c r="Y66" s="94">
        <f t="shared" si="27"/>
        <v>0</v>
      </c>
      <c r="Z66" s="95">
        <f t="shared" si="27"/>
        <v>0</v>
      </c>
      <c r="AA66" s="96">
        <f t="shared" si="27"/>
        <v>0</v>
      </c>
      <c r="AB66" s="105"/>
      <c r="AC66" s="105"/>
      <c r="AD66" s="105"/>
      <c r="AE66" s="202">
        <f t="shared" si="18"/>
        <v>8</v>
      </c>
      <c r="AF66" s="202">
        <f t="shared" si="19"/>
        <v>13</v>
      </c>
      <c r="AG66" s="202">
        <f t="shared" si="20"/>
        <v>4</v>
      </c>
      <c r="AH66" s="202">
        <f t="shared" si="16"/>
        <v>6</v>
      </c>
      <c r="AI66" s="105"/>
      <c r="AJ66" s="105"/>
      <c r="AK66" s="105"/>
    </row>
    <row r="67" spans="1:44" ht="9" customHeight="1" thickTop="1">
      <c r="A67" s="106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106"/>
      <c r="AC67" s="61"/>
      <c r="AD67" s="61"/>
      <c r="AE67" s="61"/>
      <c r="AF67" s="61"/>
      <c r="AG67" s="61"/>
      <c r="AH67" s="61"/>
      <c r="AI67" s="61"/>
      <c r="AJ67" s="61"/>
      <c r="AK67" s="61"/>
      <c r="AL67" s="7"/>
      <c r="AM67" s="1"/>
      <c r="AN67" s="7"/>
      <c r="AO67" s="7"/>
      <c r="AP67" s="7"/>
      <c r="AQ67" s="7"/>
      <c r="AR67" s="7"/>
    </row>
  </sheetData>
  <mergeCells count="135">
    <mergeCell ref="A17:A20"/>
    <mergeCell ref="A13:A16"/>
    <mergeCell ref="R46:S46"/>
    <mergeCell ref="T46:U46"/>
    <mergeCell ref="A52:B52"/>
    <mergeCell ref="AB52:AC52"/>
    <mergeCell ref="A53:B53"/>
    <mergeCell ref="AB53:AC53"/>
    <mergeCell ref="G28:H28"/>
    <mergeCell ref="A49:B49"/>
    <mergeCell ref="AB49:AC49"/>
    <mergeCell ref="A50:B50"/>
    <mergeCell ref="AB50:AC50"/>
    <mergeCell ref="A51:B51"/>
    <mergeCell ref="AB51:AC51"/>
    <mergeCell ref="V46:W46"/>
    <mergeCell ref="X46:Y46"/>
    <mergeCell ref="Z46:AA46"/>
    <mergeCell ref="A47:B47"/>
    <mergeCell ref="AB47:AC47"/>
    <mergeCell ref="A48:B48"/>
    <mergeCell ref="AB48:AC48"/>
    <mergeCell ref="AC13:AC16"/>
    <mergeCell ref="AC17:AC20"/>
    <mergeCell ref="A54:B54"/>
    <mergeCell ref="AB54:AC54"/>
    <mergeCell ref="G57:J57"/>
    <mergeCell ref="P57:S57"/>
    <mergeCell ref="T57:W57"/>
    <mergeCell ref="A64:B64"/>
    <mergeCell ref="AB64:AC64"/>
    <mergeCell ref="A32:A35"/>
    <mergeCell ref="A36:A39"/>
    <mergeCell ref="A65:B65"/>
    <mergeCell ref="V58:W58"/>
    <mergeCell ref="AB55:AC55"/>
    <mergeCell ref="C56:N56"/>
    <mergeCell ref="P56:AA56"/>
    <mergeCell ref="AB56:AC56"/>
    <mergeCell ref="K57:N57"/>
    <mergeCell ref="X57:AA57"/>
    <mergeCell ref="AB57:AC57"/>
    <mergeCell ref="C57:F57"/>
    <mergeCell ref="E58:F58"/>
    <mergeCell ref="G58:H58"/>
    <mergeCell ref="I58:J58"/>
    <mergeCell ref="R58:S58"/>
    <mergeCell ref="T58:U58"/>
    <mergeCell ref="A66:B66"/>
    <mergeCell ref="E9:F9"/>
    <mergeCell ref="G9:H9"/>
    <mergeCell ref="I9:J9"/>
    <mergeCell ref="R9:S9"/>
    <mergeCell ref="T9:U9"/>
    <mergeCell ref="C27:F27"/>
    <mergeCell ref="A61:B61"/>
    <mergeCell ref="AB61:AC61"/>
    <mergeCell ref="A62:B62"/>
    <mergeCell ref="AB62:AC62"/>
    <mergeCell ref="A63:B63"/>
    <mergeCell ref="AB63:AC63"/>
    <mergeCell ref="X58:Y58"/>
    <mergeCell ref="Z58:AA58"/>
    <mergeCell ref="AB58:AC58"/>
    <mergeCell ref="A59:B59"/>
    <mergeCell ref="AB59:AC59"/>
    <mergeCell ref="A60:B60"/>
    <mergeCell ref="AB60:AC60"/>
    <mergeCell ref="C58:D58"/>
    <mergeCell ref="K58:L58"/>
    <mergeCell ref="M58:N58"/>
    <mergeCell ref="P58:Q58"/>
    <mergeCell ref="AG44:AG47"/>
    <mergeCell ref="AH44:AH47"/>
    <mergeCell ref="K45:N45"/>
    <mergeCell ref="X45:AA45"/>
    <mergeCell ref="C46:D46"/>
    <mergeCell ref="X28:Y28"/>
    <mergeCell ref="Z28:AA28"/>
    <mergeCell ref="C44:N44"/>
    <mergeCell ref="P44:AA44"/>
    <mergeCell ref="AD44:AD47"/>
    <mergeCell ref="AE44:AE47"/>
    <mergeCell ref="K46:L46"/>
    <mergeCell ref="M46:N46"/>
    <mergeCell ref="P46:Q46"/>
    <mergeCell ref="C28:D28"/>
    <mergeCell ref="K28:L28"/>
    <mergeCell ref="M28:N28"/>
    <mergeCell ref="P28:Q28"/>
    <mergeCell ref="V28:W28"/>
    <mergeCell ref="E28:F28"/>
    <mergeCell ref="R28:S28"/>
    <mergeCell ref="T28:U28"/>
    <mergeCell ref="C45:F45"/>
    <mergeCell ref="G45:J45"/>
    <mergeCell ref="AG56:AG59"/>
    <mergeCell ref="AH56:AH59"/>
    <mergeCell ref="AI44:AK47"/>
    <mergeCell ref="C7:N7"/>
    <mergeCell ref="P7:AA7"/>
    <mergeCell ref="K8:N8"/>
    <mergeCell ref="X8:AA8"/>
    <mergeCell ref="C8:F8"/>
    <mergeCell ref="G8:J8"/>
    <mergeCell ref="P8:S8"/>
    <mergeCell ref="T8:W8"/>
    <mergeCell ref="X9:Y9"/>
    <mergeCell ref="Z9:AA9"/>
    <mergeCell ref="C26:N26"/>
    <mergeCell ref="P26:AA26"/>
    <mergeCell ref="K27:N27"/>
    <mergeCell ref="X27:AA27"/>
    <mergeCell ref="G27:J27"/>
    <mergeCell ref="P27:S27"/>
    <mergeCell ref="C9:D9"/>
    <mergeCell ref="K9:L9"/>
    <mergeCell ref="M9:N9"/>
    <mergeCell ref="P9:Q9"/>
    <mergeCell ref="V9:W9"/>
    <mergeCell ref="C5:N5"/>
    <mergeCell ref="R5:AA5"/>
    <mergeCell ref="C24:N24"/>
    <mergeCell ref="AE56:AE59"/>
    <mergeCell ref="AF56:AF59"/>
    <mergeCell ref="T27:W27"/>
    <mergeCell ref="AF44:AF47"/>
    <mergeCell ref="P45:S45"/>
    <mergeCell ref="T45:W45"/>
    <mergeCell ref="E46:F46"/>
    <mergeCell ref="G46:H46"/>
    <mergeCell ref="I46:J46"/>
    <mergeCell ref="I28:J28"/>
    <mergeCell ref="AC32:AC35"/>
    <mergeCell ref="AC36:AC39"/>
  </mergeCells>
  <pageMargins left="0.19685039370078741" right="0.19685039370078741" top="0.39370078740157483" bottom="0.39370078740157483" header="0.59055118110236227" footer="0.59055118110236227"/>
  <pageSetup paperSize="9" scale="39" fitToHeight="0" pageOrder="overThenDown" orientation="landscape" useFirstPageNumber="1" r:id="rId1"/>
  <headerFooter alignWithMargins="0"/>
  <rowBreaks count="2" manualBreakCount="2">
    <brk id="39" max="25" man="1"/>
    <brk id="67" max="27" man="1"/>
  </rowBreaks>
  <ignoredErrors>
    <ignoredError sqref="P48:AA52 P60:AA64 C60:N64 C48:N5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N48"/>
  <sheetViews>
    <sheetView view="pageBreakPreview" zoomScale="55" zoomScaleNormal="40" zoomScaleSheetLayoutView="55" workbookViewId="0">
      <pane xSplit="2" ySplit="10" topLeftCell="C11" activePane="bottomRight" state="frozen"/>
      <selection activeCell="N3" sqref="N3"/>
      <selection pane="topRight" activeCell="N3" sqref="N3"/>
      <selection pane="bottomLeft" activeCell="N3" sqref="N3"/>
      <selection pane="bottomRight" activeCell="M18" sqref="M18"/>
    </sheetView>
  </sheetViews>
  <sheetFormatPr baseColWidth="10" defaultRowHeight="14.25" outlineLevelRow="1"/>
  <cols>
    <col min="1" max="1" width="9.125" style="8" customWidth="1"/>
    <col min="2" max="2" width="13.75" style="8" customWidth="1"/>
    <col min="3" max="10" width="12.875" style="8" customWidth="1"/>
    <col min="11" max="11" width="2.625" style="8" customWidth="1"/>
    <col min="12" max="19" width="12.875" style="8" customWidth="1"/>
    <col min="20" max="20" width="2.625" style="8" customWidth="1"/>
    <col min="21" max="28" width="12.875" style="8" customWidth="1"/>
    <col min="29" max="29" width="9.125" style="8" customWidth="1"/>
    <col min="30" max="30" width="13.75" style="8" customWidth="1"/>
    <col min="31" max="38" width="21.125" style="8" customWidth="1"/>
    <col min="39" max="39" width="82.625" style="8" customWidth="1"/>
    <col min="40" max="40" width="21.125" style="8" customWidth="1"/>
    <col min="41" max="45" width="10.625" style="8" customWidth="1"/>
    <col min="46" max="16384" width="11" style="8"/>
  </cols>
  <sheetData>
    <row r="1" spans="1:38" ht="52.5" customHeight="1" thickBot="1">
      <c r="A1" s="283" t="s">
        <v>89</v>
      </c>
      <c r="B1" s="757" t="s">
        <v>60</v>
      </c>
      <c r="C1" s="758"/>
      <c r="D1" s="758"/>
      <c r="E1" s="758"/>
      <c r="F1" s="286"/>
      <c r="G1" s="286"/>
      <c r="H1" s="758"/>
      <c r="I1" s="758"/>
      <c r="J1" s="286"/>
      <c r="K1" s="286"/>
      <c r="L1" s="286"/>
      <c r="M1" s="240" t="s">
        <v>30</v>
      </c>
      <c r="N1" s="241" t="s">
        <v>139</v>
      </c>
      <c r="O1" s="241"/>
      <c r="P1" s="758"/>
      <c r="Q1" s="758"/>
      <c r="R1" s="758"/>
      <c r="S1" s="758"/>
      <c r="T1" s="758"/>
      <c r="U1" s="758"/>
      <c r="V1" s="758"/>
      <c r="W1" s="758"/>
      <c r="X1" s="770"/>
      <c r="Y1" s="289"/>
      <c r="Z1" s="289"/>
      <c r="AA1" s="289"/>
      <c r="AB1" s="290"/>
    </row>
    <row r="2" spans="1:38" ht="52.5" customHeight="1" thickBot="1">
      <c r="A2" s="227" t="s">
        <v>2</v>
      </c>
      <c r="B2" s="228"/>
      <c r="C2" s="228"/>
      <c r="D2" s="228"/>
      <c r="E2" s="228"/>
      <c r="F2" s="228"/>
      <c r="G2" s="757" t="s">
        <v>148</v>
      </c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70"/>
      <c r="Y2" s="228"/>
      <c r="Z2" s="228"/>
      <c r="AA2" s="228"/>
      <c r="AB2" s="228"/>
    </row>
    <row r="3" spans="1:38" ht="52.5" customHeight="1" thickBot="1">
      <c r="A3" s="227" t="s">
        <v>3</v>
      </c>
      <c r="B3" s="228"/>
      <c r="C3" s="757" t="s">
        <v>151</v>
      </c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70"/>
      <c r="Y3" s="228"/>
      <c r="Z3" s="228"/>
      <c r="AA3" s="228"/>
      <c r="AB3" s="245"/>
    </row>
    <row r="4" spans="1:38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45"/>
    </row>
    <row r="5" spans="1:38" s="642" customFormat="1" ht="75" customHeight="1">
      <c r="A5" s="639" t="s">
        <v>27</v>
      </c>
      <c r="B5" s="640"/>
      <c r="C5" s="866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755"/>
      <c r="AC5" s="755"/>
    </row>
    <row r="6" spans="1:38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597"/>
      <c r="L6" s="228"/>
      <c r="M6" s="228"/>
      <c r="N6" s="228"/>
      <c r="O6" s="228"/>
      <c r="P6" s="228"/>
      <c r="Q6" s="228"/>
      <c r="R6" s="228"/>
      <c r="S6" s="245"/>
      <c r="T6" s="598"/>
      <c r="U6" s="228"/>
      <c r="V6" s="228"/>
      <c r="W6" s="228"/>
      <c r="X6" s="228"/>
      <c r="Y6" s="228"/>
      <c r="Z6" s="228"/>
      <c r="AA6" s="228"/>
      <c r="AB6" s="245"/>
    </row>
    <row r="7" spans="1:38" ht="32.25" customHeight="1" thickTop="1">
      <c r="A7" s="227"/>
      <c r="B7" s="228"/>
      <c r="C7" s="875" t="s">
        <v>61</v>
      </c>
      <c r="D7" s="876"/>
      <c r="E7" s="876"/>
      <c r="F7" s="876"/>
      <c r="G7" s="876"/>
      <c r="H7" s="876"/>
      <c r="I7" s="876"/>
      <c r="J7" s="876"/>
      <c r="K7" s="664"/>
      <c r="L7" s="876" t="s">
        <v>46</v>
      </c>
      <c r="M7" s="876"/>
      <c r="N7" s="876"/>
      <c r="O7" s="876"/>
      <c r="P7" s="876"/>
      <c r="Q7" s="876"/>
      <c r="R7" s="876"/>
      <c r="S7" s="877"/>
      <c r="T7" s="665"/>
      <c r="U7" s="876" t="s">
        <v>39</v>
      </c>
      <c r="V7" s="876"/>
      <c r="W7" s="876"/>
      <c r="X7" s="876"/>
      <c r="Y7" s="876"/>
      <c r="Z7" s="876"/>
      <c r="AA7" s="876"/>
      <c r="AB7" s="877"/>
      <c r="AC7" s="765"/>
      <c r="AD7" s="765"/>
      <c r="AF7" s="9"/>
      <c r="AG7" s="9"/>
      <c r="AH7" s="9"/>
      <c r="AI7" s="9"/>
      <c r="AJ7" s="9"/>
      <c r="AK7" s="9"/>
      <c r="AL7" s="9"/>
    </row>
    <row r="8" spans="1:38" ht="22.7" customHeight="1">
      <c r="A8" s="227"/>
      <c r="B8" s="228"/>
      <c r="C8" s="878" t="s">
        <v>37</v>
      </c>
      <c r="D8" s="879"/>
      <c r="E8" s="879"/>
      <c r="F8" s="879"/>
      <c r="G8" s="1006" t="s">
        <v>45</v>
      </c>
      <c r="H8" s="1006"/>
      <c r="I8" s="1006"/>
      <c r="J8" s="1006"/>
      <c r="K8" s="756"/>
      <c r="L8" s="879" t="s">
        <v>37</v>
      </c>
      <c r="M8" s="879"/>
      <c r="N8" s="879"/>
      <c r="O8" s="879"/>
      <c r="P8" s="1006" t="s">
        <v>62</v>
      </c>
      <c r="Q8" s="1006"/>
      <c r="R8" s="1006"/>
      <c r="S8" s="1007"/>
      <c r="T8" s="656"/>
      <c r="U8" s="879" t="s">
        <v>62</v>
      </c>
      <c r="V8" s="879"/>
      <c r="W8" s="879"/>
      <c r="X8" s="879"/>
      <c r="Y8" s="1006" t="s">
        <v>45</v>
      </c>
      <c r="Z8" s="1006"/>
      <c r="AA8" s="1006"/>
      <c r="AB8" s="1007"/>
      <c r="AC8" s="765"/>
      <c r="AD8" s="765"/>
    </row>
    <row r="9" spans="1:38" ht="18.600000000000001" customHeight="1" thickBot="1">
      <c r="A9" s="227"/>
      <c r="B9" s="228"/>
      <c r="C9" s="913" t="s">
        <v>4</v>
      </c>
      <c r="D9" s="919"/>
      <c r="E9" s="920" t="s">
        <v>5</v>
      </c>
      <c r="F9" s="916"/>
      <c r="G9" s="917" t="s">
        <v>4</v>
      </c>
      <c r="H9" s="919"/>
      <c r="I9" s="920" t="s">
        <v>5</v>
      </c>
      <c r="J9" s="916"/>
      <c r="K9" s="624"/>
      <c r="L9" s="917" t="s">
        <v>4</v>
      </c>
      <c r="M9" s="919"/>
      <c r="N9" s="920" t="s">
        <v>5</v>
      </c>
      <c r="O9" s="916"/>
      <c r="P9" s="917" t="s">
        <v>4</v>
      </c>
      <c r="Q9" s="919"/>
      <c r="R9" s="920" t="s">
        <v>5</v>
      </c>
      <c r="S9" s="921"/>
      <c r="T9" s="624"/>
      <c r="U9" s="917" t="s">
        <v>4</v>
      </c>
      <c r="V9" s="919"/>
      <c r="W9" s="920" t="s">
        <v>5</v>
      </c>
      <c r="X9" s="916"/>
      <c r="Y9" s="917" t="s">
        <v>4</v>
      </c>
      <c r="Z9" s="919"/>
      <c r="AA9" s="920" t="s">
        <v>5</v>
      </c>
      <c r="AB9" s="921"/>
      <c r="AC9" s="765"/>
      <c r="AD9" s="765"/>
    </row>
    <row r="10" spans="1:38" ht="21" thickTop="1">
      <c r="A10" s="763" t="s">
        <v>6</v>
      </c>
      <c r="B10" s="764" t="s">
        <v>7</v>
      </c>
      <c r="C10" s="787" t="s">
        <v>8</v>
      </c>
      <c r="D10" s="829" t="s">
        <v>9</v>
      </c>
      <c r="E10" s="831" t="s">
        <v>8</v>
      </c>
      <c r="F10" s="804" t="s">
        <v>9</v>
      </c>
      <c r="G10" s="819" t="s">
        <v>8</v>
      </c>
      <c r="H10" s="829" t="s">
        <v>9</v>
      </c>
      <c r="I10" s="831" t="s">
        <v>8</v>
      </c>
      <c r="J10" s="804" t="s">
        <v>9</v>
      </c>
      <c r="K10" s="637"/>
      <c r="L10" s="819" t="s">
        <v>8</v>
      </c>
      <c r="M10" s="829" t="s">
        <v>9</v>
      </c>
      <c r="N10" s="831" t="s">
        <v>8</v>
      </c>
      <c r="O10" s="804" t="s">
        <v>9</v>
      </c>
      <c r="P10" s="819" t="s">
        <v>8</v>
      </c>
      <c r="Q10" s="829" t="s">
        <v>9</v>
      </c>
      <c r="R10" s="831" t="s">
        <v>8</v>
      </c>
      <c r="S10" s="833" t="s">
        <v>9</v>
      </c>
      <c r="T10" s="637"/>
      <c r="U10" s="819" t="s">
        <v>8</v>
      </c>
      <c r="V10" s="829" t="s">
        <v>9</v>
      </c>
      <c r="W10" s="831" t="s">
        <v>8</v>
      </c>
      <c r="X10" s="804" t="s">
        <v>9</v>
      </c>
      <c r="Y10" s="819" t="s">
        <v>8</v>
      </c>
      <c r="Z10" s="829" t="s">
        <v>9</v>
      </c>
      <c r="AA10" s="831" t="s">
        <v>8</v>
      </c>
      <c r="AB10" s="833" t="s">
        <v>9</v>
      </c>
      <c r="AC10" s="765"/>
      <c r="AD10" s="765"/>
      <c r="AE10" s="10"/>
    </row>
    <row r="11" spans="1:38" ht="54.95" hidden="1" customHeight="1" outlineLevel="1">
      <c r="A11" s="761">
        <v>6</v>
      </c>
      <c r="B11" s="762" t="s">
        <v>25</v>
      </c>
      <c r="C11" s="840"/>
      <c r="D11" s="841"/>
      <c r="E11" s="843"/>
      <c r="F11" s="844"/>
      <c r="G11" s="842"/>
      <c r="H11" s="841"/>
      <c r="I11" s="843"/>
      <c r="J11" s="844"/>
      <c r="K11" s="638"/>
      <c r="L11" s="842"/>
      <c r="M11" s="841"/>
      <c r="N11" s="843"/>
      <c r="O11" s="844"/>
      <c r="P11" s="842"/>
      <c r="Q11" s="841"/>
      <c r="R11" s="843"/>
      <c r="S11" s="845"/>
      <c r="T11" s="638"/>
      <c r="U11" s="842"/>
      <c r="V11" s="841"/>
      <c r="W11" s="843"/>
      <c r="X11" s="844"/>
      <c r="Y11" s="842"/>
      <c r="Z11" s="841"/>
      <c r="AA11" s="843"/>
      <c r="AB11" s="845"/>
      <c r="AC11" s="765"/>
      <c r="AD11" s="765"/>
      <c r="AE11" s="2"/>
      <c r="AF11" s="2"/>
      <c r="AG11" s="2"/>
      <c r="AH11" s="2"/>
      <c r="AI11" s="2"/>
      <c r="AJ11" s="2"/>
      <c r="AK11" s="2"/>
      <c r="AL11" s="2"/>
    </row>
    <row r="12" spans="1:38" ht="54.95" hidden="1" customHeight="1" outlineLevel="1">
      <c r="A12" s="761"/>
      <c r="B12" s="762" t="s">
        <v>26</v>
      </c>
      <c r="C12" s="840"/>
      <c r="D12" s="841"/>
      <c r="E12" s="843"/>
      <c r="F12" s="844"/>
      <c r="G12" s="842"/>
      <c r="H12" s="841"/>
      <c r="I12" s="843"/>
      <c r="J12" s="844"/>
      <c r="K12" s="638"/>
      <c r="L12" s="842"/>
      <c r="M12" s="841"/>
      <c r="N12" s="843"/>
      <c r="O12" s="844"/>
      <c r="P12" s="842"/>
      <c r="Q12" s="841"/>
      <c r="R12" s="843"/>
      <c r="S12" s="845"/>
      <c r="T12" s="638"/>
      <c r="U12" s="842"/>
      <c r="V12" s="841"/>
      <c r="W12" s="843"/>
      <c r="X12" s="844"/>
      <c r="Y12" s="842"/>
      <c r="Z12" s="841"/>
      <c r="AA12" s="843"/>
      <c r="AB12" s="845"/>
      <c r="AC12" s="765"/>
      <c r="AD12" s="765"/>
      <c r="AE12" s="2"/>
      <c r="AF12" s="2"/>
      <c r="AG12" s="2"/>
      <c r="AH12" s="2"/>
      <c r="AI12" s="2"/>
      <c r="AJ12" s="2"/>
      <c r="AK12" s="2"/>
      <c r="AL12" s="2"/>
    </row>
    <row r="13" spans="1:38" ht="54.95" customHeight="1" collapsed="1">
      <c r="A13" s="1008">
        <v>7</v>
      </c>
      <c r="B13" s="772" t="s">
        <v>140</v>
      </c>
      <c r="C13" s="791"/>
      <c r="D13" s="792"/>
      <c r="E13" s="807"/>
      <c r="F13" s="808"/>
      <c r="G13" s="823"/>
      <c r="H13" s="792"/>
      <c r="I13" s="807"/>
      <c r="J13" s="808"/>
      <c r="K13" s="638"/>
      <c r="L13" s="791"/>
      <c r="M13" s="792"/>
      <c r="N13" s="807"/>
      <c r="O13" s="808"/>
      <c r="P13" s="823"/>
      <c r="Q13" s="792"/>
      <c r="R13" s="807"/>
      <c r="S13" s="808"/>
      <c r="T13" s="638"/>
      <c r="U13" s="791"/>
      <c r="V13" s="792"/>
      <c r="W13" s="807"/>
      <c r="X13" s="808"/>
      <c r="Y13" s="823"/>
      <c r="Z13" s="792">
        <v>2</v>
      </c>
      <c r="AA13" s="807"/>
      <c r="AB13" s="808"/>
      <c r="AC13" s="765"/>
      <c r="AD13" s="765"/>
      <c r="AE13" s="2"/>
      <c r="AF13" s="2"/>
      <c r="AG13" s="2"/>
      <c r="AH13" s="2"/>
      <c r="AI13" s="2"/>
      <c r="AJ13" s="2"/>
      <c r="AK13" s="2"/>
      <c r="AL13" s="2"/>
    </row>
    <row r="14" spans="1:38" ht="54.95" customHeight="1">
      <c r="A14" s="1009"/>
      <c r="B14" s="773" t="s">
        <v>141</v>
      </c>
      <c r="C14" s="793"/>
      <c r="D14" s="794"/>
      <c r="E14" s="809">
        <v>1</v>
      </c>
      <c r="F14" s="810"/>
      <c r="G14" s="824"/>
      <c r="H14" s="794">
        <v>1</v>
      </c>
      <c r="I14" s="809"/>
      <c r="J14" s="810"/>
      <c r="K14" s="638"/>
      <c r="L14" s="793"/>
      <c r="M14" s="794"/>
      <c r="N14" s="809"/>
      <c r="O14" s="810"/>
      <c r="P14" s="824"/>
      <c r="Q14" s="794"/>
      <c r="R14" s="809"/>
      <c r="S14" s="810"/>
      <c r="T14" s="638"/>
      <c r="U14" s="793"/>
      <c r="V14" s="794"/>
      <c r="W14" s="809">
        <v>1</v>
      </c>
      <c r="X14" s="810"/>
      <c r="Y14" s="824"/>
      <c r="Z14" s="794">
        <v>1</v>
      </c>
      <c r="AA14" s="809">
        <v>2</v>
      </c>
      <c r="AB14" s="810"/>
      <c r="AC14" s="765"/>
      <c r="AD14" s="765"/>
      <c r="AE14" s="2"/>
      <c r="AF14" s="2"/>
      <c r="AG14" s="2"/>
      <c r="AH14" s="2"/>
      <c r="AI14" s="2"/>
      <c r="AJ14" s="2"/>
      <c r="AK14" s="2"/>
      <c r="AL14" s="2"/>
    </row>
    <row r="15" spans="1:38" ht="54.95" customHeight="1">
      <c r="A15" s="1009"/>
      <c r="B15" s="773" t="s">
        <v>142</v>
      </c>
      <c r="C15" s="795"/>
      <c r="D15" s="796"/>
      <c r="E15" s="811"/>
      <c r="F15" s="812"/>
      <c r="G15" s="825"/>
      <c r="H15" s="796"/>
      <c r="I15" s="811"/>
      <c r="J15" s="812"/>
      <c r="K15" s="638"/>
      <c r="L15" s="795"/>
      <c r="M15" s="796"/>
      <c r="N15" s="811"/>
      <c r="O15" s="812"/>
      <c r="P15" s="825"/>
      <c r="Q15" s="796"/>
      <c r="R15" s="811"/>
      <c r="S15" s="812"/>
      <c r="T15" s="638"/>
      <c r="U15" s="795"/>
      <c r="V15" s="796">
        <v>2</v>
      </c>
      <c r="W15" s="811"/>
      <c r="X15" s="812"/>
      <c r="Y15" s="825"/>
      <c r="Z15" s="796"/>
      <c r="AA15" s="811"/>
      <c r="AB15" s="812"/>
      <c r="AC15" s="765"/>
      <c r="AD15" s="765"/>
      <c r="AE15" s="2"/>
      <c r="AF15" s="2"/>
      <c r="AG15" s="2"/>
      <c r="AH15" s="2"/>
      <c r="AI15" s="2"/>
      <c r="AJ15" s="2"/>
      <c r="AK15" s="2"/>
      <c r="AL15" s="2"/>
    </row>
    <row r="16" spans="1:38" ht="54.95" customHeight="1" thickBot="1">
      <c r="A16" s="1010"/>
      <c r="B16" s="774" t="s">
        <v>143</v>
      </c>
      <c r="C16" s="797"/>
      <c r="D16" s="798"/>
      <c r="E16" s="813"/>
      <c r="F16" s="814"/>
      <c r="G16" s="826"/>
      <c r="H16" s="798"/>
      <c r="I16" s="813"/>
      <c r="J16" s="814"/>
      <c r="K16" s="638"/>
      <c r="L16" s="797"/>
      <c r="M16" s="798"/>
      <c r="N16" s="813"/>
      <c r="O16" s="814"/>
      <c r="P16" s="826"/>
      <c r="Q16" s="798"/>
      <c r="R16" s="848">
        <v>1</v>
      </c>
      <c r="S16" s="814"/>
      <c r="T16" s="638"/>
      <c r="U16" s="797"/>
      <c r="V16" s="798">
        <v>1</v>
      </c>
      <c r="W16" s="813">
        <v>1</v>
      </c>
      <c r="X16" s="814"/>
      <c r="Y16" s="826"/>
      <c r="Z16" s="798">
        <v>2</v>
      </c>
      <c r="AA16" s="813"/>
      <c r="AB16" s="814"/>
      <c r="AC16" s="765"/>
      <c r="AD16" s="765"/>
      <c r="AE16" s="2"/>
      <c r="AF16" s="2"/>
      <c r="AG16" s="2"/>
      <c r="AH16" s="2"/>
      <c r="AI16" s="2"/>
      <c r="AJ16" s="2"/>
      <c r="AK16" s="2"/>
      <c r="AL16" s="2"/>
    </row>
    <row r="17" spans="1:40" ht="54.95" customHeight="1">
      <c r="A17" s="1011">
        <v>8</v>
      </c>
      <c r="B17" s="775" t="s">
        <v>140</v>
      </c>
      <c r="C17" s="799"/>
      <c r="D17" s="800"/>
      <c r="E17" s="815">
        <v>1</v>
      </c>
      <c r="F17" s="816"/>
      <c r="G17" s="827"/>
      <c r="H17" s="800"/>
      <c r="I17" s="815"/>
      <c r="J17" s="816"/>
      <c r="K17" s="638"/>
      <c r="L17" s="799">
        <v>1</v>
      </c>
      <c r="M17" s="800">
        <v>1</v>
      </c>
      <c r="N17" s="815"/>
      <c r="O17" s="816"/>
      <c r="P17" s="827"/>
      <c r="Q17" s="800"/>
      <c r="R17" s="815"/>
      <c r="S17" s="816"/>
      <c r="T17" s="638"/>
      <c r="U17" s="799"/>
      <c r="V17" s="800"/>
      <c r="W17" s="815"/>
      <c r="X17" s="816"/>
      <c r="Y17" s="827">
        <v>1</v>
      </c>
      <c r="Z17" s="800"/>
      <c r="AA17" s="815"/>
      <c r="AB17" s="816"/>
      <c r="AC17" s="765"/>
      <c r="AD17" s="765"/>
      <c r="AE17" s="2"/>
      <c r="AF17" s="2"/>
      <c r="AG17" s="2"/>
      <c r="AH17" s="2"/>
      <c r="AI17" s="2"/>
      <c r="AJ17" s="2"/>
      <c r="AK17" s="2"/>
      <c r="AL17" s="2"/>
    </row>
    <row r="18" spans="1:40" ht="54.95" customHeight="1">
      <c r="A18" s="1009"/>
      <c r="B18" s="773" t="s">
        <v>141</v>
      </c>
      <c r="C18" s="793"/>
      <c r="D18" s="794"/>
      <c r="E18" s="809"/>
      <c r="F18" s="810"/>
      <c r="G18" s="824"/>
      <c r="H18" s="794"/>
      <c r="I18" s="809"/>
      <c r="J18" s="810"/>
      <c r="K18" s="638"/>
      <c r="L18" s="793"/>
      <c r="M18" s="794"/>
      <c r="N18" s="809"/>
      <c r="O18" s="810"/>
      <c r="P18" s="824"/>
      <c r="Q18" s="794"/>
      <c r="R18" s="809"/>
      <c r="S18" s="810"/>
      <c r="T18" s="638"/>
      <c r="U18" s="793"/>
      <c r="V18" s="794"/>
      <c r="W18" s="809">
        <v>1</v>
      </c>
      <c r="X18" s="810"/>
      <c r="Y18" s="824"/>
      <c r="Z18" s="794"/>
      <c r="AA18" s="809">
        <v>1</v>
      </c>
      <c r="AB18" s="810"/>
      <c r="AC18" s="765"/>
      <c r="AD18" s="765"/>
      <c r="AE18" s="2"/>
      <c r="AF18" s="2"/>
      <c r="AG18" s="2"/>
      <c r="AH18" s="2"/>
      <c r="AI18" s="2"/>
      <c r="AJ18" s="2"/>
      <c r="AK18" s="2"/>
      <c r="AL18" s="2"/>
    </row>
    <row r="19" spans="1:40" ht="54.95" customHeight="1">
      <c r="A19" s="1009"/>
      <c r="B19" s="773" t="s">
        <v>142</v>
      </c>
      <c r="C19" s="795"/>
      <c r="D19" s="796"/>
      <c r="E19" s="811"/>
      <c r="F19" s="812"/>
      <c r="G19" s="825"/>
      <c r="H19" s="796"/>
      <c r="I19" s="811"/>
      <c r="J19" s="812"/>
      <c r="K19" s="638"/>
      <c r="L19" s="795">
        <v>1</v>
      </c>
      <c r="M19" s="796"/>
      <c r="N19" s="811"/>
      <c r="O19" s="812"/>
      <c r="P19" s="825"/>
      <c r="Q19" s="796"/>
      <c r="R19" s="811"/>
      <c r="S19" s="812"/>
      <c r="T19" s="638"/>
      <c r="U19" s="795">
        <v>1</v>
      </c>
      <c r="V19" s="796">
        <v>1</v>
      </c>
      <c r="W19" s="811"/>
      <c r="X19" s="812"/>
      <c r="Y19" s="825"/>
      <c r="Z19" s="796"/>
      <c r="AA19" s="811"/>
      <c r="AB19" s="812"/>
      <c r="AC19" s="765"/>
      <c r="AD19" s="765"/>
      <c r="AE19" s="2"/>
      <c r="AF19" s="2"/>
      <c r="AG19" s="2"/>
      <c r="AH19" s="2"/>
      <c r="AI19" s="2"/>
      <c r="AJ19" s="2"/>
      <c r="AK19" s="2"/>
      <c r="AL19" s="2"/>
    </row>
    <row r="20" spans="1:40" ht="54.95" customHeight="1" thickBot="1">
      <c r="A20" s="1012"/>
      <c r="B20" s="776" t="s">
        <v>143</v>
      </c>
      <c r="C20" s="801"/>
      <c r="D20" s="802"/>
      <c r="E20" s="817"/>
      <c r="F20" s="818"/>
      <c r="G20" s="828"/>
      <c r="H20" s="802"/>
      <c r="I20" s="817"/>
      <c r="J20" s="818"/>
      <c r="K20" s="638"/>
      <c r="L20" s="801"/>
      <c r="M20" s="802">
        <v>1</v>
      </c>
      <c r="N20" s="817"/>
      <c r="O20" s="818"/>
      <c r="P20" s="828"/>
      <c r="Q20" s="802"/>
      <c r="R20" s="817"/>
      <c r="S20" s="818"/>
      <c r="T20" s="638"/>
      <c r="U20" s="801"/>
      <c r="V20" s="802">
        <v>1</v>
      </c>
      <c r="W20" s="817"/>
      <c r="X20" s="818"/>
      <c r="Y20" s="828"/>
      <c r="Z20" s="802">
        <v>2</v>
      </c>
      <c r="AA20" s="817"/>
      <c r="AB20" s="818"/>
      <c r="AC20" s="765"/>
      <c r="AD20" s="765"/>
      <c r="AE20" s="2"/>
      <c r="AF20" s="2"/>
      <c r="AG20" s="2"/>
      <c r="AH20" s="2"/>
      <c r="AI20" s="2"/>
      <c r="AJ20" s="2"/>
      <c r="AK20" s="2"/>
      <c r="AL20" s="2"/>
    </row>
    <row r="21" spans="1:40" ht="54.95" hidden="1" customHeight="1" outlineLevel="1">
      <c r="A21" s="297">
        <v>9</v>
      </c>
      <c r="B21" s="298" t="s">
        <v>23</v>
      </c>
      <c r="C21" s="356"/>
      <c r="D21" s="357"/>
      <c r="E21" s="358"/>
      <c r="F21" s="359"/>
      <c r="G21" s="360"/>
      <c r="H21" s="357"/>
      <c r="I21" s="358"/>
      <c r="J21" s="359"/>
      <c r="K21" s="638"/>
      <c r="L21" s="360"/>
      <c r="M21" s="357"/>
      <c r="N21" s="358"/>
      <c r="O21" s="359"/>
      <c r="P21" s="360"/>
      <c r="Q21" s="357"/>
      <c r="R21" s="358"/>
      <c r="S21" s="361"/>
      <c r="T21" s="638"/>
      <c r="U21" s="360"/>
      <c r="V21" s="357"/>
      <c r="W21" s="358"/>
      <c r="X21" s="359"/>
      <c r="Y21" s="360"/>
      <c r="Z21" s="357"/>
      <c r="AA21" s="358"/>
      <c r="AB21" s="361"/>
      <c r="AC21" s="765"/>
      <c r="AD21" s="765"/>
      <c r="AE21" s="2"/>
      <c r="AF21" s="2"/>
      <c r="AG21" s="2"/>
      <c r="AH21" s="2"/>
      <c r="AI21" s="2"/>
      <c r="AJ21" s="2"/>
      <c r="AK21" s="2"/>
      <c r="AL21" s="2"/>
    </row>
    <row r="22" spans="1:40" ht="54.95" hidden="1" customHeight="1" outlineLevel="1" thickBot="1">
      <c r="A22" s="300"/>
      <c r="B22" s="301" t="s">
        <v>24</v>
      </c>
      <c r="C22" s="362"/>
      <c r="D22" s="363"/>
      <c r="E22" s="364"/>
      <c r="F22" s="365"/>
      <c r="G22" s="366"/>
      <c r="H22" s="363"/>
      <c r="I22" s="364"/>
      <c r="J22" s="365"/>
      <c r="K22" s="638"/>
      <c r="L22" s="366"/>
      <c r="M22" s="363"/>
      <c r="N22" s="364"/>
      <c r="O22" s="365"/>
      <c r="P22" s="366"/>
      <c r="Q22" s="363"/>
      <c r="R22" s="364"/>
      <c r="S22" s="367"/>
      <c r="T22" s="638"/>
      <c r="U22" s="366"/>
      <c r="V22" s="363"/>
      <c r="W22" s="364"/>
      <c r="X22" s="365"/>
      <c r="Y22" s="366"/>
      <c r="Z22" s="363"/>
      <c r="AA22" s="364"/>
      <c r="AB22" s="367"/>
      <c r="AC22" s="765"/>
      <c r="AD22" s="765"/>
      <c r="AE22" s="2"/>
      <c r="AF22" s="2"/>
      <c r="AG22" s="2"/>
      <c r="AH22" s="2"/>
      <c r="AI22" s="2"/>
      <c r="AJ22" s="2"/>
      <c r="AK22" s="2"/>
      <c r="AL22" s="2"/>
    </row>
    <row r="23" spans="1:40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638"/>
      <c r="L23" s="596"/>
      <c r="M23" s="596"/>
      <c r="N23" s="596"/>
      <c r="O23" s="596"/>
      <c r="P23" s="596"/>
      <c r="Q23" s="596"/>
      <c r="R23" s="596"/>
      <c r="S23" s="596"/>
      <c r="T23" s="638"/>
      <c r="U23" s="596"/>
      <c r="V23" s="596"/>
      <c r="W23" s="596"/>
      <c r="X23" s="596"/>
      <c r="Y23" s="596"/>
      <c r="Z23" s="596"/>
      <c r="AA23" s="596"/>
      <c r="AB23" s="596"/>
      <c r="AC23" s="2"/>
      <c r="AD23" s="2"/>
      <c r="AE23" s="2"/>
      <c r="AF23" s="2"/>
      <c r="AG23" s="2"/>
      <c r="AH23" s="2"/>
    </row>
    <row r="24" spans="1:40" ht="75" customHeight="1" outlineLevel="1" thickBot="1">
      <c r="A24" s="639"/>
      <c r="B24" s="640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986"/>
      <c r="P24" s="594"/>
      <c r="Q24" s="594"/>
      <c r="R24" s="594"/>
      <c r="S24" s="594"/>
      <c r="T24" s="594"/>
      <c r="U24" s="594"/>
      <c r="V24" s="594"/>
      <c r="W24" s="594"/>
      <c r="X24" s="594"/>
      <c r="Y24" s="594"/>
      <c r="Z24" s="594"/>
      <c r="AA24" s="594"/>
      <c r="AB24" s="595"/>
    </row>
    <row r="25" spans="1:40" ht="32.25" customHeight="1" thickTop="1">
      <c r="A25" s="26"/>
      <c r="B25" s="27"/>
      <c r="C25" s="947" t="str">
        <f>C7</f>
        <v>Depuis 'Arthaz'</v>
      </c>
      <c r="D25" s="948"/>
      <c r="E25" s="948"/>
      <c r="F25" s="948"/>
      <c r="G25" s="948"/>
      <c r="H25" s="948"/>
      <c r="I25" s="948"/>
      <c r="J25" s="948"/>
      <c r="K25" s="754"/>
      <c r="L25" s="948" t="str">
        <f>L7</f>
        <v>Depuis 'Annemasse'</v>
      </c>
      <c r="M25" s="948"/>
      <c r="N25" s="948"/>
      <c r="O25" s="948"/>
      <c r="P25" s="948"/>
      <c r="Q25" s="948"/>
      <c r="R25" s="948"/>
      <c r="S25" s="949"/>
      <c r="T25" s="657"/>
      <c r="U25" s="948" t="str">
        <f>U7</f>
        <v>Depuis 'Reignier'</v>
      </c>
      <c r="V25" s="948"/>
      <c r="W25" s="948"/>
      <c r="X25" s="948"/>
      <c r="Y25" s="948"/>
      <c r="Z25" s="948"/>
      <c r="AA25" s="948"/>
      <c r="AB25" s="949"/>
      <c r="AC25" s="26"/>
      <c r="AD25" s="27"/>
      <c r="AE25" s="928" t="s">
        <v>12</v>
      </c>
      <c r="AF25" s="869" t="s">
        <v>14</v>
      </c>
      <c r="AG25" s="869" t="s">
        <v>15</v>
      </c>
      <c r="AH25" s="869" t="s">
        <v>18</v>
      </c>
      <c r="AI25" s="869" t="s">
        <v>16</v>
      </c>
      <c r="AJ25" s="1003" t="s">
        <v>20</v>
      </c>
      <c r="AK25" s="995" t="s">
        <v>63</v>
      </c>
      <c r="AL25" s="1013" t="s">
        <v>22</v>
      </c>
      <c r="AM25" s="1014"/>
      <c r="AN25" s="1015"/>
    </row>
    <row r="26" spans="1:40" ht="22.7" customHeight="1">
      <c r="A26" s="26"/>
      <c r="B26" s="27"/>
      <c r="C26" s="944" t="str">
        <f>C8</f>
        <v>vers 'Reignier'</v>
      </c>
      <c r="D26" s="945"/>
      <c r="E26" s="945"/>
      <c r="F26" s="945"/>
      <c r="G26" s="944" t="str">
        <f>G8</f>
        <v>vers 'Annemasse'</v>
      </c>
      <c r="H26" s="945"/>
      <c r="I26" s="945"/>
      <c r="J26" s="945"/>
      <c r="K26" s="766"/>
      <c r="L26" s="944" t="str">
        <f>L8</f>
        <v>vers 'Reignier'</v>
      </c>
      <c r="M26" s="945"/>
      <c r="N26" s="945"/>
      <c r="O26" s="945"/>
      <c r="P26" s="944" t="str">
        <f>P8</f>
        <v>vers 'Arthaz'</v>
      </c>
      <c r="Q26" s="945"/>
      <c r="R26" s="945"/>
      <c r="S26" s="945"/>
      <c r="T26" s="766"/>
      <c r="U26" s="944" t="str">
        <f>U8</f>
        <v>vers 'Arthaz'</v>
      </c>
      <c r="V26" s="945"/>
      <c r="W26" s="945"/>
      <c r="X26" s="945"/>
      <c r="Y26" s="944" t="str">
        <f>Y8</f>
        <v>vers 'Annemasse'</v>
      </c>
      <c r="Z26" s="945"/>
      <c r="AA26" s="945"/>
      <c r="AB26" s="946"/>
      <c r="AC26" s="26"/>
      <c r="AD26" s="27"/>
      <c r="AE26" s="929"/>
      <c r="AF26" s="870"/>
      <c r="AG26" s="870"/>
      <c r="AH26" s="870"/>
      <c r="AI26" s="870"/>
      <c r="AJ26" s="1004"/>
      <c r="AK26" s="996"/>
      <c r="AL26" s="1016"/>
      <c r="AM26" s="1017"/>
      <c r="AN26" s="1018"/>
    </row>
    <row r="27" spans="1:40" ht="18.600000000000001" customHeight="1" thickBot="1">
      <c r="A27" s="26"/>
      <c r="B27" s="27"/>
      <c r="C27" s="1024" t="s">
        <v>4</v>
      </c>
      <c r="D27" s="973"/>
      <c r="E27" s="976" t="s">
        <v>5</v>
      </c>
      <c r="F27" s="977"/>
      <c r="G27" s="972" t="s">
        <v>4</v>
      </c>
      <c r="H27" s="973"/>
      <c r="I27" s="976" t="s">
        <v>5</v>
      </c>
      <c r="J27" s="977"/>
      <c r="K27" s="658"/>
      <c r="L27" s="972" t="s">
        <v>4</v>
      </c>
      <c r="M27" s="973"/>
      <c r="N27" s="976" t="s">
        <v>5</v>
      </c>
      <c r="O27" s="977"/>
      <c r="P27" s="972" t="s">
        <v>4</v>
      </c>
      <c r="Q27" s="973"/>
      <c r="R27" s="976" t="s">
        <v>5</v>
      </c>
      <c r="S27" s="978"/>
      <c r="T27" s="658"/>
      <c r="U27" s="972" t="s">
        <v>4</v>
      </c>
      <c r="V27" s="973"/>
      <c r="W27" s="976" t="s">
        <v>5</v>
      </c>
      <c r="X27" s="977"/>
      <c r="Y27" s="972" t="s">
        <v>4</v>
      </c>
      <c r="Z27" s="973"/>
      <c r="AA27" s="974" t="s">
        <v>5</v>
      </c>
      <c r="AB27" s="975"/>
      <c r="AC27" s="26"/>
      <c r="AD27" s="27"/>
      <c r="AE27" s="929"/>
      <c r="AF27" s="870"/>
      <c r="AG27" s="870"/>
      <c r="AH27" s="870"/>
      <c r="AI27" s="870"/>
      <c r="AJ27" s="1004"/>
      <c r="AK27" s="996"/>
      <c r="AL27" s="1016"/>
      <c r="AM27" s="1017"/>
      <c r="AN27" s="1018"/>
    </row>
    <row r="28" spans="1:40" ht="21" thickTop="1">
      <c r="A28" s="931" t="s">
        <v>13</v>
      </c>
      <c r="B28" s="932"/>
      <c r="C28" s="15" t="s">
        <v>8</v>
      </c>
      <c r="D28" s="4" t="s">
        <v>9</v>
      </c>
      <c r="E28" s="5" t="s">
        <v>8</v>
      </c>
      <c r="F28" s="6" t="s">
        <v>9</v>
      </c>
      <c r="G28" s="3" t="s">
        <v>8</v>
      </c>
      <c r="H28" s="4" t="s">
        <v>9</v>
      </c>
      <c r="I28" s="5" t="s">
        <v>8</v>
      </c>
      <c r="J28" s="6" t="s">
        <v>9</v>
      </c>
      <c r="K28" s="630"/>
      <c r="L28" s="3" t="s">
        <v>8</v>
      </c>
      <c r="M28" s="4" t="s">
        <v>9</v>
      </c>
      <c r="N28" s="5" t="s">
        <v>8</v>
      </c>
      <c r="O28" s="6" t="s">
        <v>9</v>
      </c>
      <c r="P28" s="3" t="s">
        <v>8</v>
      </c>
      <c r="Q28" s="4" t="s">
        <v>9</v>
      </c>
      <c r="R28" s="5" t="s">
        <v>8</v>
      </c>
      <c r="S28" s="16" t="s">
        <v>9</v>
      </c>
      <c r="T28" s="630"/>
      <c r="U28" s="3" t="s">
        <v>8</v>
      </c>
      <c r="V28" s="4" t="s">
        <v>9</v>
      </c>
      <c r="W28" s="5" t="s">
        <v>8</v>
      </c>
      <c r="X28" s="6" t="s">
        <v>9</v>
      </c>
      <c r="Y28" s="3" t="s">
        <v>8</v>
      </c>
      <c r="Z28" s="4" t="s">
        <v>9</v>
      </c>
      <c r="AA28" s="5" t="s">
        <v>8</v>
      </c>
      <c r="AB28" s="16" t="s">
        <v>9</v>
      </c>
      <c r="AC28" s="933" t="s">
        <v>13</v>
      </c>
      <c r="AD28" s="934"/>
      <c r="AE28" s="929"/>
      <c r="AF28" s="871"/>
      <c r="AG28" s="871"/>
      <c r="AH28" s="871"/>
      <c r="AI28" s="871"/>
      <c r="AJ28" s="1005"/>
      <c r="AK28" s="997"/>
      <c r="AL28" s="1019"/>
      <c r="AM28" s="1020"/>
      <c r="AN28" s="1021"/>
    </row>
    <row r="29" spans="1:40" ht="54.95" customHeight="1">
      <c r="A29" s="935" t="s">
        <v>28</v>
      </c>
      <c r="B29" s="936"/>
      <c r="C29" s="31">
        <f t="shared" ref="C29:AB29" si="0">SUM(C11:C14)</f>
        <v>0</v>
      </c>
      <c r="D29" s="32">
        <f t="shared" si="0"/>
        <v>0</v>
      </c>
      <c r="E29" s="33">
        <f t="shared" si="0"/>
        <v>1</v>
      </c>
      <c r="F29" s="34">
        <f t="shared" si="0"/>
        <v>0</v>
      </c>
      <c r="G29" s="35">
        <f t="shared" si="0"/>
        <v>0</v>
      </c>
      <c r="H29" s="32">
        <f t="shared" si="0"/>
        <v>1</v>
      </c>
      <c r="I29" s="33">
        <f t="shared" si="0"/>
        <v>0</v>
      </c>
      <c r="J29" s="34">
        <f t="shared" si="0"/>
        <v>0</v>
      </c>
      <c r="K29" s="659"/>
      <c r="L29" s="35">
        <f t="shared" si="0"/>
        <v>0</v>
      </c>
      <c r="M29" s="32">
        <f t="shared" si="0"/>
        <v>0</v>
      </c>
      <c r="N29" s="33">
        <f t="shared" si="0"/>
        <v>0</v>
      </c>
      <c r="O29" s="34">
        <f t="shared" si="0"/>
        <v>0</v>
      </c>
      <c r="P29" s="35">
        <f t="shared" si="0"/>
        <v>0</v>
      </c>
      <c r="Q29" s="32">
        <f t="shared" si="0"/>
        <v>0</v>
      </c>
      <c r="R29" s="33">
        <f t="shared" si="0"/>
        <v>0</v>
      </c>
      <c r="S29" s="36">
        <f t="shared" si="0"/>
        <v>0</v>
      </c>
      <c r="T29" s="659"/>
      <c r="U29" s="35">
        <f t="shared" si="0"/>
        <v>0</v>
      </c>
      <c r="V29" s="32">
        <f t="shared" si="0"/>
        <v>0</v>
      </c>
      <c r="W29" s="33">
        <f t="shared" si="0"/>
        <v>1</v>
      </c>
      <c r="X29" s="34">
        <f t="shared" si="0"/>
        <v>0</v>
      </c>
      <c r="Y29" s="35">
        <f t="shared" si="0"/>
        <v>0</v>
      </c>
      <c r="Z29" s="32">
        <f t="shared" si="0"/>
        <v>3</v>
      </c>
      <c r="AA29" s="33">
        <f t="shared" si="0"/>
        <v>2</v>
      </c>
      <c r="AB29" s="36">
        <f t="shared" si="0"/>
        <v>0</v>
      </c>
      <c r="AC29" s="987" t="s">
        <v>28</v>
      </c>
      <c r="AD29" s="988"/>
      <c r="AE29" s="62">
        <f t="shared" ref="AE29:AE35" si="1">SUM(C29:AB29)</f>
        <v>8</v>
      </c>
      <c r="AF29" s="118">
        <f>IF(AE29=0,0,AF41/AE29)</f>
        <v>0.5</v>
      </c>
      <c r="AG29" s="118">
        <f>IF(AE29=0,0,AG41/AE29)</f>
        <v>0.5</v>
      </c>
      <c r="AH29" s="118">
        <f>IF(AG41=0,0,AH41/AG41)</f>
        <v>1</v>
      </c>
      <c r="AI29" s="118">
        <f t="shared" ref="AI29:AI35" si="2">IF(AE29=0,0,AI41/AE29)</f>
        <v>0.75</v>
      </c>
      <c r="AJ29" s="63">
        <f>SUM(U29:AB29)</f>
        <v>6</v>
      </c>
      <c r="AK29" s="63">
        <f>RE_Eglise!AH60</f>
        <v>7</v>
      </c>
      <c r="AL29" s="64">
        <f>AK29-AJ29</f>
        <v>1</v>
      </c>
      <c r="AM29" s="1022"/>
      <c r="AN29" s="1023"/>
    </row>
    <row r="30" spans="1:40" ht="54.95" customHeight="1">
      <c r="A30" s="939" t="s">
        <v>11</v>
      </c>
      <c r="B30" s="940"/>
      <c r="C30" s="37">
        <f t="shared" ref="C30:AB30" si="3">SUM(C13:C16)</f>
        <v>0</v>
      </c>
      <c r="D30" s="38">
        <f t="shared" si="3"/>
        <v>0</v>
      </c>
      <c r="E30" s="39">
        <f t="shared" si="3"/>
        <v>1</v>
      </c>
      <c r="F30" s="40">
        <f t="shared" si="3"/>
        <v>0</v>
      </c>
      <c r="G30" s="41">
        <f t="shared" si="3"/>
        <v>0</v>
      </c>
      <c r="H30" s="38">
        <f t="shared" si="3"/>
        <v>1</v>
      </c>
      <c r="I30" s="39">
        <f t="shared" si="3"/>
        <v>0</v>
      </c>
      <c r="J30" s="40">
        <f t="shared" si="3"/>
        <v>0</v>
      </c>
      <c r="K30" s="660"/>
      <c r="L30" s="41">
        <f t="shared" si="3"/>
        <v>0</v>
      </c>
      <c r="M30" s="38">
        <f t="shared" si="3"/>
        <v>0</v>
      </c>
      <c r="N30" s="39">
        <f t="shared" si="3"/>
        <v>0</v>
      </c>
      <c r="O30" s="40">
        <f t="shared" si="3"/>
        <v>0</v>
      </c>
      <c r="P30" s="41">
        <f t="shared" si="3"/>
        <v>0</v>
      </c>
      <c r="Q30" s="38">
        <f t="shared" si="3"/>
        <v>0</v>
      </c>
      <c r="R30" s="39">
        <f t="shared" si="3"/>
        <v>1</v>
      </c>
      <c r="S30" s="42">
        <f t="shared" si="3"/>
        <v>0</v>
      </c>
      <c r="T30" s="660"/>
      <c r="U30" s="41">
        <f t="shared" si="3"/>
        <v>0</v>
      </c>
      <c r="V30" s="38">
        <f t="shared" si="3"/>
        <v>3</v>
      </c>
      <c r="W30" s="39">
        <f t="shared" si="3"/>
        <v>2</v>
      </c>
      <c r="X30" s="40">
        <f t="shared" si="3"/>
        <v>0</v>
      </c>
      <c r="Y30" s="41">
        <f t="shared" si="3"/>
        <v>0</v>
      </c>
      <c r="Z30" s="38">
        <f t="shared" si="3"/>
        <v>5</v>
      </c>
      <c r="AA30" s="39">
        <f t="shared" si="3"/>
        <v>2</v>
      </c>
      <c r="AB30" s="42">
        <f t="shared" si="3"/>
        <v>0</v>
      </c>
      <c r="AC30" s="970" t="s">
        <v>11</v>
      </c>
      <c r="AD30" s="971"/>
      <c r="AE30" s="65">
        <f t="shared" si="1"/>
        <v>15</v>
      </c>
      <c r="AF30" s="120">
        <f t="shared" ref="AF30:AF35" si="4">IF(AE30=0,0,AF42/AE30)</f>
        <v>0.4</v>
      </c>
      <c r="AG30" s="120">
        <f t="shared" ref="AG30:AG35" si="5">IF(AE30=0,0,AG42/AE30)</f>
        <v>0.4</v>
      </c>
      <c r="AH30" s="120">
        <f t="shared" ref="AH30:AH35" si="6">IF(AG42=0,0,AH42/AG42)</f>
        <v>1</v>
      </c>
      <c r="AI30" s="120">
        <f t="shared" si="2"/>
        <v>0.53333333333333333</v>
      </c>
      <c r="AJ30" s="66">
        <f t="shared" ref="AJ30:AJ35" si="7">SUM(U30:AB30)</f>
        <v>12</v>
      </c>
      <c r="AK30" s="66">
        <f>RE_Eglise!AH61</f>
        <v>12</v>
      </c>
      <c r="AL30" s="67">
        <f t="shared" ref="AL30:AL35" si="8">AK30-AJ30</f>
        <v>0</v>
      </c>
      <c r="AM30" s="989"/>
      <c r="AN30" s="990"/>
    </row>
    <row r="31" spans="1:40" ht="54.95" customHeight="1">
      <c r="A31" s="939" t="s">
        <v>17</v>
      </c>
      <c r="B31" s="940"/>
      <c r="C31" s="37">
        <f t="shared" ref="C31:AB31" si="9">SUM(C15:C18)</f>
        <v>0</v>
      </c>
      <c r="D31" s="38">
        <f t="shared" si="9"/>
        <v>0</v>
      </c>
      <c r="E31" s="39">
        <f t="shared" si="9"/>
        <v>1</v>
      </c>
      <c r="F31" s="40">
        <f t="shared" si="9"/>
        <v>0</v>
      </c>
      <c r="G31" s="41">
        <f t="shared" si="9"/>
        <v>0</v>
      </c>
      <c r="H31" s="38">
        <f t="shared" si="9"/>
        <v>0</v>
      </c>
      <c r="I31" s="39">
        <f t="shared" si="9"/>
        <v>0</v>
      </c>
      <c r="J31" s="40">
        <f t="shared" si="9"/>
        <v>0</v>
      </c>
      <c r="K31" s="660"/>
      <c r="L31" s="41">
        <f t="shared" si="9"/>
        <v>1</v>
      </c>
      <c r="M31" s="38">
        <f t="shared" si="9"/>
        <v>1</v>
      </c>
      <c r="N31" s="39">
        <f t="shared" si="9"/>
        <v>0</v>
      </c>
      <c r="O31" s="40">
        <f t="shared" si="9"/>
        <v>0</v>
      </c>
      <c r="P31" s="41">
        <f t="shared" si="9"/>
        <v>0</v>
      </c>
      <c r="Q31" s="38">
        <f t="shared" si="9"/>
        <v>0</v>
      </c>
      <c r="R31" s="39">
        <f t="shared" si="9"/>
        <v>1</v>
      </c>
      <c r="S31" s="42">
        <f t="shared" si="9"/>
        <v>0</v>
      </c>
      <c r="T31" s="660"/>
      <c r="U31" s="41">
        <f t="shared" si="9"/>
        <v>0</v>
      </c>
      <c r="V31" s="38">
        <f t="shared" si="9"/>
        <v>3</v>
      </c>
      <c r="W31" s="39">
        <f t="shared" si="9"/>
        <v>2</v>
      </c>
      <c r="X31" s="40">
        <f t="shared" si="9"/>
        <v>0</v>
      </c>
      <c r="Y31" s="41">
        <f t="shared" si="9"/>
        <v>1</v>
      </c>
      <c r="Z31" s="38">
        <f t="shared" si="9"/>
        <v>2</v>
      </c>
      <c r="AA31" s="39">
        <f t="shared" si="9"/>
        <v>1</v>
      </c>
      <c r="AB31" s="42">
        <f t="shared" si="9"/>
        <v>0</v>
      </c>
      <c r="AC31" s="970" t="s">
        <v>17</v>
      </c>
      <c r="AD31" s="971"/>
      <c r="AE31" s="65">
        <f t="shared" si="1"/>
        <v>13</v>
      </c>
      <c r="AF31" s="120">
        <f t="shared" si="4"/>
        <v>0.53846153846153844</v>
      </c>
      <c r="AG31" s="120">
        <f t="shared" si="5"/>
        <v>0.38461538461538464</v>
      </c>
      <c r="AH31" s="120">
        <f t="shared" si="6"/>
        <v>1</v>
      </c>
      <c r="AI31" s="120">
        <f t="shared" si="2"/>
        <v>0.30769230769230771</v>
      </c>
      <c r="AJ31" s="66">
        <f t="shared" si="7"/>
        <v>9</v>
      </c>
      <c r="AK31" s="66">
        <f>RE_Eglise!AH62</f>
        <v>6</v>
      </c>
      <c r="AL31" s="67">
        <f t="shared" si="8"/>
        <v>-3</v>
      </c>
      <c r="AM31" s="989"/>
      <c r="AN31" s="990"/>
    </row>
    <row r="32" spans="1:40" ht="54.95" customHeight="1">
      <c r="A32" s="939" t="s">
        <v>10</v>
      </c>
      <c r="B32" s="940"/>
      <c r="C32" s="37">
        <f t="shared" ref="C32:AB32" si="10">SUM(C17:C20)</f>
        <v>0</v>
      </c>
      <c r="D32" s="38">
        <f t="shared" si="10"/>
        <v>0</v>
      </c>
      <c r="E32" s="39">
        <f t="shared" si="10"/>
        <v>1</v>
      </c>
      <c r="F32" s="40">
        <f t="shared" si="10"/>
        <v>0</v>
      </c>
      <c r="G32" s="41">
        <f t="shared" si="10"/>
        <v>0</v>
      </c>
      <c r="H32" s="38">
        <f t="shared" si="10"/>
        <v>0</v>
      </c>
      <c r="I32" s="39">
        <f t="shared" si="10"/>
        <v>0</v>
      </c>
      <c r="J32" s="40">
        <f t="shared" si="10"/>
        <v>0</v>
      </c>
      <c r="K32" s="660"/>
      <c r="L32" s="41">
        <f t="shared" si="10"/>
        <v>2</v>
      </c>
      <c r="M32" s="38">
        <f t="shared" si="10"/>
        <v>2</v>
      </c>
      <c r="N32" s="39">
        <f t="shared" si="10"/>
        <v>0</v>
      </c>
      <c r="O32" s="40">
        <f t="shared" si="10"/>
        <v>0</v>
      </c>
      <c r="P32" s="41">
        <f t="shared" si="10"/>
        <v>0</v>
      </c>
      <c r="Q32" s="38">
        <f t="shared" si="10"/>
        <v>0</v>
      </c>
      <c r="R32" s="39">
        <f t="shared" si="10"/>
        <v>0</v>
      </c>
      <c r="S32" s="42">
        <f t="shared" si="10"/>
        <v>0</v>
      </c>
      <c r="T32" s="660"/>
      <c r="U32" s="41">
        <f t="shared" si="10"/>
        <v>1</v>
      </c>
      <c r="V32" s="38">
        <f t="shared" si="10"/>
        <v>2</v>
      </c>
      <c r="W32" s="39">
        <f t="shared" si="10"/>
        <v>1</v>
      </c>
      <c r="X32" s="40">
        <f t="shared" si="10"/>
        <v>0</v>
      </c>
      <c r="Y32" s="41">
        <f t="shared" si="10"/>
        <v>1</v>
      </c>
      <c r="Z32" s="38">
        <f t="shared" si="10"/>
        <v>2</v>
      </c>
      <c r="AA32" s="39">
        <f t="shared" si="10"/>
        <v>1</v>
      </c>
      <c r="AB32" s="42">
        <f t="shared" si="10"/>
        <v>0</v>
      </c>
      <c r="AC32" s="970" t="s">
        <v>10</v>
      </c>
      <c r="AD32" s="971"/>
      <c r="AE32" s="65">
        <f t="shared" si="1"/>
        <v>13</v>
      </c>
      <c r="AF32" s="120">
        <f t="shared" si="4"/>
        <v>0.53846153846153844</v>
      </c>
      <c r="AG32" s="120">
        <f t="shared" si="5"/>
        <v>0.23076923076923078</v>
      </c>
      <c r="AH32" s="120">
        <f t="shared" si="6"/>
        <v>1</v>
      </c>
      <c r="AI32" s="120">
        <f t="shared" si="2"/>
        <v>0.30769230769230771</v>
      </c>
      <c r="AJ32" s="66">
        <f t="shared" si="7"/>
        <v>8</v>
      </c>
      <c r="AK32" s="66">
        <f>RE_Eglise!AH63</f>
        <v>3</v>
      </c>
      <c r="AL32" s="67">
        <f t="shared" si="8"/>
        <v>-5</v>
      </c>
      <c r="AM32" s="989"/>
      <c r="AN32" s="990"/>
    </row>
    <row r="33" spans="1:40" ht="54.95" customHeight="1">
      <c r="A33" s="959" t="s">
        <v>29</v>
      </c>
      <c r="B33" s="960"/>
      <c r="C33" s="43">
        <f t="shared" ref="C33:AB33" si="11">SUM(C19:C22)</f>
        <v>0</v>
      </c>
      <c r="D33" s="44">
        <f t="shared" si="11"/>
        <v>0</v>
      </c>
      <c r="E33" s="45">
        <f t="shared" si="11"/>
        <v>0</v>
      </c>
      <c r="F33" s="46">
        <f t="shared" si="11"/>
        <v>0</v>
      </c>
      <c r="G33" s="47">
        <f t="shared" si="11"/>
        <v>0</v>
      </c>
      <c r="H33" s="44">
        <f t="shared" si="11"/>
        <v>0</v>
      </c>
      <c r="I33" s="45">
        <f t="shared" si="11"/>
        <v>0</v>
      </c>
      <c r="J33" s="46">
        <f t="shared" si="11"/>
        <v>0</v>
      </c>
      <c r="K33" s="661"/>
      <c r="L33" s="47">
        <f t="shared" si="11"/>
        <v>1</v>
      </c>
      <c r="M33" s="44">
        <f t="shared" si="11"/>
        <v>1</v>
      </c>
      <c r="N33" s="45">
        <f t="shared" si="11"/>
        <v>0</v>
      </c>
      <c r="O33" s="46">
        <f t="shared" si="11"/>
        <v>0</v>
      </c>
      <c r="P33" s="47">
        <f t="shared" si="11"/>
        <v>0</v>
      </c>
      <c r="Q33" s="44">
        <f t="shared" si="11"/>
        <v>0</v>
      </c>
      <c r="R33" s="45">
        <f t="shared" si="11"/>
        <v>0</v>
      </c>
      <c r="S33" s="48">
        <f t="shared" si="11"/>
        <v>0</v>
      </c>
      <c r="T33" s="661"/>
      <c r="U33" s="47">
        <f t="shared" si="11"/>
        <v>1</v>
      </c>
      <c r="V33" s="44">
        <f t="shared" si="11"/>
        <v>2</v>
      </c>
      <c r="W33" s="45">
        <f t="shared" si="11"/>
        <v>0</v>
      </c>
      <c r="X33" s="46">
        <f t="shared" si="11"/>
        <v>0</v>
      </c>
      <c r="Y33" s="47">
        <f t="shared" si="11"/>
        <v>0</v>
      </c>
      <c r="Z33" s="44">
        <f t="shared" si="11"/>
        <v>2</v>
      </c>
      <c r="AA33" s="45">
        <f t="shared" si="11"/>
        <v>0</v>
      </c>
      <c r="AB33" s="48">
        <f t="shared" si="11"/>
        <v>0</v>
      </c>
      <c r="AC33" s="993" t="s">
        <v>29</v>
      </c>
      <c r="AD33" s="994"/>
      <c r="AE33" s="68">
        <f t="shared" si="1"/>
        <v>7</v>
      </c>
      <c r="AF33" s="122">
        <f t="shared" si="4"/>
        <v>0.2857142857142857</v>
      </c>
      <c r="AG33" s="122">
        <f t="shared" si="5"/>
        <v>0</v>
      </c>
      <c r="AH33" s="122">
        <f t="shared" si="6"/>
        <v>0</v>
      </c>
      <c r="AI33" s="122">
        <f t="shared" si="2"/>
        <v>0.2857142857142857</v>
      </c>
      <c r="AJ33" s="69">
        <f t="shared" si="7"/>
        <v>5</v>
      </c>
      <c r="AK33" s="69">
        <f>RE_Eglise!AH64</f>
        <v>2</v>
      </c>
      <c r="AL33" s="70">
        <f t="shared" si="8"/>
        <v>-3</v>
      </c>
      <c r="AM33" s="991"/>
      <c r="AN33" s="992"/>
    </row>
    <row r="34" spans="1:40" ht="54.95" customHeight="1">
      <c r="A34" s="950" t="s">
        <v>12</v>
      </c>
      <c r="B34" s="951"/>
      <c r="C34" s="49">
        <f t="shared" ref="C34:AB34" si="12">SUM(C11:C22)</f>
        <v>0</v>
      </c>
      <c r="D34" s="50">
        <f t="shared" si="12"/>
        <v>0</v>
      </c>
      <c r="E34" s="51">
        <f t="shared" si="12"/>
        <v>2</v>
      </c>
      <c r="F34" s="52">
        <f t="shared" si="12"/>
        <v>0</v>
      </c>
      <c r="G34" s="53">
        <f t="shared" si="12"/>
        <v>0</v>
      </c>
      <c r="H34" s="50">
        <f t="shared" si="12"/>
        <v>1</v>
      </c>
      <c r="I34" s="51">
        <f t="shared" si="12"/>
        <v>0</v>
      </c>
      <c r="J34" s="52">
        <f t="shared" si="12"/>
        <v>0</v>
      </c>
      <c r="K34" s="662"/>
      <c r="L34" s="53">
        <f t="shared" si="12"/>
        <v>2</v>
      </c>
      <c r="M34" s="50">
        <f t="shared" si="12"/>
        <v>2</v>
      </c>
      <c r="N34" s="51">
        <f t="shared" si="12"/>
        <v>0</v>
      </c>
      <c r="O34" s="52">
        <f t="shared" si="12"/>
        <v>0</v>
      </c>
      <c r="P34" s="53">
        <f t="shared" si="12"/>
        <v>0</v>
      </c>
      <c r="Q34" s="50">
        <f t="shared" si="12"/>
        <v>0</v>
      </c>
      <c r="R34" s="51">
        <f t="shared" si="12"/>
        <v>1</v>
      </c>
      <c r="S34" s="54">
        <f t="shared" si="12"/>
        <v>0</v>
      </c>
      <c r="T34" s="662"/>
      <c r="U34" s="53">
        <f t="shared" si="12"/>
        <v>1</v>
      </c>
      <c r="V34" s="50">
        <f t="shared" si="12"/>
        <v>5</v>
      </c>
      <c r="W34" s="51">
        <f t="shared" si="12"/>
        <v>3</v>
      </c>
      <c r="X34" s="52">
        <f t="shared" si="12"/>
        <v>0</v>
      </c>
      <c r="Y34" s="53">
        <f t="shared" si="12"/>
        <v>1</v>
      </c>
      <c r="Z34" s="50">
        <f t="shared" si="12"/>
        <v>7</v>
      </c>
      <c r="AA34" s="51">
        <f t="shared" si="12"/>
        <v>3</v>
      </c>
      <c r="AB34" s="54">
        <f t="shared" si="12"/>
        <v>0</v>
      </c>
      <c r="AC34" s="968" t="s">
        <v>12</v>
      </c>
      <c r="AD34" s="969"/>
      <c r="AE34" s="20">
        <f t="shared" si="1"/>
        <v>28</v>
      </c>
      <c r="AF34" s="193">
        <f t="shared" si="4"/>
        <v>0.4642857142857143</v>
      </c>
      <c r="AG34" s="193">
        <f t="shared" si="5"/>
        <v>0.32142857142857145</v>
      </c>
      <c r="AH34" s="193">
        <f t="shared" si="6"/>
        <v>1</v>
      </c>
      <c r="AI34" s="193">
        <f t="shared" si="2"/>
        <v>0.42857142857142855</v>
      </c>
      <c r="AJ34" s="22">
        <f t="shared" si="7"/>
        <v>20</v>
      </c>
      <c r="AK34" s="22">
        <f>RE_Eglise!AH65</f>
        <v>15</v>
      </c>
      <c r="AL34" s="24">
        <f t="shared" si="8"/>
        <v>-5</v>
      </c>
      <c r="AM34" s="982"/>
      <c r="AN34" s="983"/>
    </row>
    <row r="35" spans="1:40" ht="54.95" customHeight="1" thickBot="1">
      <c r="A35" s="954" t="str">
        <f>IF($AE$29=MAX($AE$29:$AE$33),A29,IF($AE$30=MAX($AE$29:$AE$33),A30,IF($AE$31=MAX($AE$29:$AE$33),A31,IF($AE$32=MAX($AE$29:$AE$33),A32,A33))))</f>
        <v>de 7:00 à 8:00</v>
      </c>
      <c r="B35" s="955"/>
      <c r="C35" s="55">
        <f t="shared" ref="C35:J35" si="13">IF($AE$29=MAX($AE$29:$AE$33),C29,IF($AE$30=MAX($AE$29:$AE$33),C30,IF($AE$31=MAX($AE$29:$AE$33),C31,IF($AE$32=MAX($AE$29:$AE$33),C32,C33))))</f>
        <v>0</v>
      </c>
      <c r="D35" s="56">
        <f t="shared" si="13"/>
        <v>0</v>
      </c>
      <c r="E35" s="57">
        <f t="shared" si="13"/>
        <v>1</v>
      </c>
      <c r="F35" s="58">
        <f t="shared" si="13"/>
        <v>0</v>
      </c>
      <c r="G35" s="59">
        <f t="shared" si="13"/>
        <v>0</v>
      </c>
      <c r="H35" s="56">
        <f t="shared" si="13"/>
        <v>1</v>
      </c>
      <c r="I35" s="57">
        <f t="shared" si="13"/>
        <v>0</v>
      </c>
      <c r="J35" s="58">
        <f t="shared" si="13"/>
        <v>0</v>
      </c>
      <c r="K35" s="663"/>
      <c r="L35" s="59">
        <f t="shared" ref="L35:S35" si="14">IF($AE$29=MAX($AE$29:$AE$33),L29,IF($AE$30=MAX($AE$29:$AE$33),L30,IF($AE$31=MAX($AE$29:$AE$33),L31,IF($AE$32=MAX($AE$29:$AE$33),L32,L33))))</f>
        <v>0</v>
      </c>
      <c r="M35" s="56">
        <f t="shared" si="14"/>
        <v>0</v>
      </c>
      <c r="N35" s="57">
        <f t="shared" si="14"/>
        <v>0</v>
      </c>
      <c r="O35" s="58">
        <f t="shared" si="14"/>
        <v>0</v>
      </c>
      <c r="P35" s="59">
        <f t="shared" si="14"/>
        <v>0</v>
      </c>
      <c r="Q35" s="56">
        <f t="shared" si="14"/>
        <v>0</v>
      </c>
      <c r="R35" s="57">
        <f t="shared" si="14"/>
        <v>1</v>
      </c>
      <c r="S35" s="60">
        <f t="shared" si="14"/>
        <v>0</v>
      </c>
      <c r="T35" s="663"/>
      <c r="U35" s="59">
        <f t="shared" ref="U35:AB35" si="15">IF($AE$29=MAX($AE$29:$AE$33),U29,IF($AE$30=MAX($AE$29:$AE$33),U30,IF($AE$31=MAX($AE$29:$AE$33),U31,IF($AE$32=MAX($AE$29:$AE$33),U32,U33))))</f>
        <v>0</v>
      </c>
      <c r="V35" s="56">
        <f t="shared" si="15"/>
        <v>3</v>
      </c>
      <c r="W35" s="57">
        <f t="shared" si="15"/>
        <v>2</v>
      </c>
      <c r="X35" s="58">
        <f t="shared" si="15"/>
        <v>0</v>
      </c>
      <c r="Y35" s="59">
        <f t="shared" si="15"/>
        <v>0</v>
      </c>
      <c r="Z35" s="56">
        <f t="shared" si="15"/>
        <v>5</v>
      </c>
      <c r="AA35" s="57">
        <f t="shared" si="15"/>
        <v>2</v>
      </c>
      <c r="AB35" s="60">
        <f t="shared" si="15"/>
        <v>0</v>
      </c>
      <c r="AC35" s="998" t="str">
        <f>A35</f>
        <v>de 7:00 à 8:00</v>
      </c>
      <c r="AD35" s="999"/>
      <c r="AE35" s="21">
        <f t="shared" si="1"/>
        <v>15</v>
      </c>
      <c r="AF35" s="194">
        <f t="shared" si="4"/>
        <v>0.4</v>
      </c>
      <c r="AG35" s="194">
        <f t="shared" si="5"/>
        <v>0.4</v>
      </c>
      <c r="AH35" s="194">
        <f t="shared" si="6"/>
        <v>1</v>
      </c>
      <c r="AI35" s="194">
        <f t="shared" si="2"/>
        <v>0.53333333333333333</v>
      </c>
      <c r="AJ35" s="23">
        <f t="shared" si="7"/>
        <v>12</v>
      </c>
      <c r="AK35" s="23">
        <f>RE_Eglise!AH66</f>
        <v>6</v>
      </c>
      <c r="AL35" s="25">
        <f t="shared" si="8"/>
        <v>-6</v>
      </c>
      <c r="AM35" s="984"/>
      <c r="AN35" s="985"/>
    </row>
    <row r="36" spans="1:40" ht="12.75" customHeight="1" thickTop="1" thickBot="1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0"/>
      <c r="V36" s="101"/>
      <c r="W36" s="101"/>
      <c r="X36" s="101"/>
      <c r="Y36" s="101"/>
      <c r="Z36" s="101"/>
      <c r="AA36" s="101"/>
      <c r="AB36" s="101"/>
      <c r="AC36" s="61"/>
      <c r="AD36" s="61"/>
      <c r="AE36" s="101"/>
      <c r="AF36" s="101"/>
      <c r="AG36" s="100"/>
      <c r="AH36" s="101"/>
      <c r="AI36" s="101"/>
      <c r="AJ36" s="101"/>
      <c r="AK36" s="101"/>
      <c r="AL36" s="101"/>
      <c r="AM36" s="61"/>
      <c r="AN36" s="105"/>
    </row>
    <row r="37" spans="1:40" ht="32.25" customHeight="1" thickTop="1">
      <c r="A37" s="106"/>
      <c r="B37" s="61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106"/>
      <c r="AD37" s="61"/>
      <c r="AE37" s="205"/>
      <c r="AF37" s="1000" t="s">
        <v>108</v>
      </c>
      <c r="AG37" s="1000" t="s">
        <v>109</v>
      </c>
      <c r="AH37" s="1000" t="s">
        <v>110</v>
      </c>
      <c r="AI37" s="979" t="s">
        <v>19</v>
      </c>
      <c r="AJ37" s="208"/>
      <c r="AK37" s="209"/>
      <c r="AL37" s="209"/>
      <c r="AM37" s="209"/>
      <c r="AN37" s="209"/>
    </row>
    <row r="38" spans="1:40" ht="22.7" customHeight="1">
      <c r="A38" s="106"/>
      <c r="B38" s="61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106"/>
      <c r="AD38" s="61"/>
      <c r="AE38" s="205"/>
      <c r="AF38" s="1001"/>
      <c r="AG38" s="1001"/>
      <c r="AH38" s="1001"/>
      <c r="AI38" s="980"/>
      <c r="AJ38" s="208"/>
      <c r="AK38" s="209"/>
      <c r="AL38" s="209"/>
      <c r="AM38" s="209"/>
      <c r="AN38" s="209"/>
    </row>
    <row r="39" spans="1:40" ht="18.600000000000001" customHeight="1">
      <c r="A39" s="106"/>
      <c r="B39" s="61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106"/>
      <c r="AD39" s="61"/>
      <c r="AE39" s="205"/>
      <c r="AF39" s="1001"/>
      <c r="AG39" s="1001"/>
      <c r="AH39" s="1001"/>
      <c r="AI39" s="980"/>
      <c r="AJ39" s="208"/>
      <c r="AK39" s="209"/>
      <c r="AL39" s="209"/>
      <c r="AM39" s="209"/>
      <c r="AN39" s="209"/>
    </row>
    <row r="40" spans="1:40" ht="20.25">
      <c r="A40" s="206"/>
      <c r="B40" s="206"/>
      <c r="C40" s="747"/>
      <c r="D40" s="747"/>
      <c r="E40" s="747"/>
      <c r="F40" s="747"/>
      <c r="G40" s="747"/>
      <c r="H40" s="747"/>
      <c r="I40" s="747"/>
      <c r="J40" s="747"/>
      <c r="K40" s="747"/>
      <c r="L40" s="747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  <c r="AA40" s="747"/>
      <c r="AB40" s="747"/>
      <c r="AC40" s="206"/>
      <c r="AD40" s="206"/>
      <c r="AE40" s="205"/>
      <c r="AF40" s="1002"/>
      <c r="AG40" s="1002"/>
      <c r="AH40" s="1002"/>
      <c r="AI40" s="981"/>
      <c r="AJ40" s="208"/>
      <c r="AK40" s="209"/>
      <c r="AL40" s="209"/>
      <c r="AM40" s="209"/>
      <c r="AN40" s="209"/>
    </row>
    <row r="41" spans="1:40" ht="54.95" customHeight="1">
      <c r="A41" s="206"/>
      <c r="B41" s="206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206"/>
      <c r="AD41" s="206"/>
      <c r="AE41" s="207"/>
      <c r="AF41" s="196">
        <f>(C29+E29+G29+I29+L29+N29+P29+R29+U29+W29+Y29+AA29)</f>
        <v>4</v>
      </c>
      <c r="AG41" s="196">
        <f>(E29+F29+I29+J29+N29+O29+R29+S29+W29+X29+AA29+AB29)</f>
        <v>4</v>
      </c>
      <c r="AH41" s="196">
        <f>(E29+I29+N29+R29+W29+AA29)</f>
        <v>4</v>
      </c>
      <c r="AI41" s="196">
        <f>SUM(G29:J29,Y29:AB29)</f>
        <v>6</v>
      </c>
      <c r="AJ41" s="210"/>
      <c r="AK41" s="104"/>
      <c r="AL41" s="104"/>
      <c r="AM41" s="211"/>
      <c r="AN41" s="211"/>
    </row>
    <row r="42" spans="1:40" ht="54.95" customHeight="1">
      <c r="A42" s="206"/>
      <c r="B42" s="206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206"/>
      <c r="AD42" s="206"/>
      <c r="AE42" s="207"/>
      <c r="AF42" s="197">
        <f t="shared" ref="AF42:AF47" si="16">(C30+E30+G30+I30+L30+N30+P30+R30+U30+W30+Y30+AA30)</f>
        <v>6</v>
      </c>
      <c r="AG42" s="197">
        <f t="shared" ref="AG42:AG47" si="17">(E30+F30+I30+J30+N30+O30+R30+S30+W30+X30+AA30+AB30)</f>
        <v>6</v>
      </c>
      <c r="AH42" s="197">
        <f t="shared" ref="AH42:AH47" si="18">(E30+I30+N30+R30+W30+AA30)</f>
        <v>6</v>
      </c>
      <c r="AI42" s="197">
        <f t="shared" ref="AI42:AI47" si="19">SUM(G30:J30,Y30:AB30)</f>
        <v>8</v>
      </c>
      <c r="AJ42" s="210"/>
      <c r="AK42" s="104"/>
      <c r="AL42" s="104"/>
      <c r="AM42" s="211"/>
      <c r="AN42" s="211"/>
    </row>
    <row r="43" spans="1:40" ht="54.95" customHeight="1">
      <c r="A43" s="206"/>
      <c r="B43" s="206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206"/>
      <c r="AD43" s="206"/>
      <c r="AE43" s="207"/>
      <c r="AF43" s="197">
        <f t="shared" si="16"/>
        <v>7</v>
      </c>
      <c r="AG43" s="197">
        <f t="shared" si="17"/>
        <v>5</v>
      </c>
      <c r="AH43" s="197">
        <f t="shared" si="18"/>
        <v>5</v>
      </c>
      <c r="AI43" s="197">
        <f t="shared" si="19"/>
        <v>4</v>
      </c>
      <c r="AJ43" s="210"/>
      <c r="AK43" s="104"/>
      <c r="AL43" s="104"/>
      <c r="AM43" s="211"/>
      <c r="AN43" s="211"/>
    </row>
    <row r="44" spans="1:40" ht="54.95" customHeight="1">
      <c r="A44" s="206"/>
      <c r="B44" s="206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206"/>
      <c r="AD44" s="206"/>
      <c r="AE44" s="207"/>
      <c r="AF44" s="197">
        <f t="shared" si="16"/>
        <v>7</v>
      </c>
      <c r="AG44" s="197">
        <f t="shared" si="17"/>
        <v>3</v>
      </c>
      <c r="AH44" s="197">
        <f t="shared" si="18"/>
        <v>3</v>
      </c>
      <c r="AI44" s="197">
        <f t="shared" si="19"/>
        <v>4</v>
      </c>
      <c r="AJ44" s="210"/>
      <c r="AK44" s="104"/>
      <c r="AL44" s="104"/>
      <c r="AM44" s="211"/>
      <c r="AN44" s="211"/>
    </row>
    <row r="45" spans="1:40" ht="54.95" customHeight="1">
      <c r="A45" s="206"/>
      <c r="B45" s="206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206"/>
      <c r="AD45" s="206"/>
      <c r="AE45" s="207"/>
      <c r="AF45" s="198">
        <f t="shared" si="16"/>
        <v>2</v>
      </c>
      <c r="AG45" s="198">
        <f t="shared" si="17"/>
        <v>0</v>
      </c>
      <c r="AH45" s="198">
        <f t="shared" si="18"/>
        <v>0</v>
      </c>
      <c r="AI45" s="198">
        <f t="shared" si="19"/>
        <v>2</v>
      </c>
      <c r="AJ45" s="210"/>
      <c r="AK45" s="104"/>
      <c r="AL45" s="104"/>
      <c r="AM45" s="211"/>
      <c r="AN45" s="211"/>
    </row>
    <row r="46" spans="1:40" ht="54.95" customHeight="1">
      <c r="A46" s="206"/>
      <c r="B46" s="206"/>
      <c r="C46" s="747"/>
      <c r="D46" s="747"/>
      <c r="E46" s="747"/>
      <c r="F46" s="747"/>
      <c r="G46" s="747"/>
      <c r="H46" s="747"/>
      <c r="I46" s="747"/>
      <c r="J46" s="747"/>
      <c r="K46" s="747"/>
      <c r="L46" s="747"/>
      <c r="M46" s="747"/>
      <c r="N46" s="747"/>
      <c r="O46" s="747"/>
      <c r="P46" s="747"/>
      <c r="Q46" s="747"/>
      <c r="R46" s="747"/>
      <c r="S46" s="747"/>
      <c r="T46" s="747"/>
      <c r="U46" s="747"/>
      <c r="V46" s="747"/>
      <c r="W46" s="747"/>
      <c r="X46" s="747"/>
      <c r="Y46" s="747"/>
      <c r="Z46" s="747"/>
      <c r="AA46" s="747"/>
      <c r="AB46" s="747"/>
      <c r="AC46" s="206"/>
      <c r="AD46" s="206"/>
      <c r="AE46" s="207"/>
      <c r="AF46" s="199">
        <f t="shared" si="16"/>
        <v>13</v>
      </c>
      <c r="AG46" s="199">
        <f t="shared" si="17"/>
        <v>9</v>
      </c>
      <c r="AH46" s="199">
        <f t="shared" si="18"/>
        <v>9</v>
      </c>
      <c r="AI46" s="199">
        <f t="shared" si="19"/>
        <v>12</v>
      </c>
      <c r="AJ46" s="210"/>
      <c r="AK46" s="104"/>
      <c r="AL46" s="104"/>
      <c r="AM46" s="211"/>
      <c r="AN46" s="211"/>
    </row>
    <row r="47" spans="1:40" ht="54.95" customHeight="1" thickBot="1">
      <c r="A47" s="206"/>
      <c r="B47" s="206"/>
      <c r="C47" s="747"/>
      <c r="D47" s="747"/>
      <c r="E47" s="747"/>
      <c r="F47" s="747"/>
      <c r="G47" s="747"/>
      <c r="H47" s="747"/>
      <c r="I47" s="747"/>
      <c r="J47" s="747"/>
      <c r="K47" s="747"/>
      <c r="L47" s="747"/>
      <c r="M47" s="747"/>
      <c r="N47" s="747"/>
      <c r="O47" s="747"/>
      <c r="P47" s="747"/>
      <c r="Q47" s="747"/>
      <c r="R47" s="747"/>
      <c r="S47" s="747"/>
      <c r="T47" s="747"/>
      <c r="U47" s="747"/>
      <c r="V47" s="747"/>
      <c r="W47" s="747"/>
      <c r="X47" s="747"/>
      <c r="Y47" s="747"/>
      <c r="Z47" s="747"/>
      <c r="AA47" s="747"/>
      <c r="AB47" s="747"/>
      <c r="AC47" s="206"/>
      <c r="AD47" s="206"/>
      <c r="AE47" s="207"/>
      <c r="AF47" s="200">
        <f t="shared" si="16"/>
        <v>6</v>
      </c>
      <c r="AG47" s="200">
        <f t="shared" si="17"/>
        <v>6</v>
      </c>
      <c r="AH47" s="200">
        <f t="shared" si="18"/>
        <v>6</v>
      </c>
      <c r="AI47" s="200">
        <f t="shared" si="19"/>
        <v>8</v>
      </c>
      <c r="AJ47" s="210"/>
      <c r="AK47" s="104"/>
      <c r="AL47" s="104"/>
      <c r="AM47" s="211"/>
      <c r="AN47" s="211"/>
    </row>
    <row r="48" spans="1:40" ht="25.5" customHeight="1" thickTop="1">
      <c r="A48" s="20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U48" s="7"/>
      <c r="V48" s="7"/>
      <c r="W48" s="7"/>
      <c r="X48" s="7"/>
      <c r="Y48" s="7"/>
      <c r="Z48" s="7"/>
      <c r="AA48" s="7"/>
    </row>
  </sheetData>
  <mergeCells count="82">
    <mergeCell ref="A13:A16"/>
    <mergeCell ref="A17:A20"/>
    <mergeCell ref="A34:B34"/>
    <mergeCell ref="AC34:AD34"/>
    <mergeCell ref="AM34:AN34"/>
    <mergeCell ref="AM29:AN29"/>
    <mergeCell ref="A30:B30"/>
    <mergeCell ref="AC30:AD30"/>
    <mergeCell ref="AM30:AN30"/>
    <mergeCell ref="A31:B31"/>
    <mergeCell ref="AC31:AD31"/>
    <mergeCell ref="AM31:AN31"/>
    <mergeCell ref="A29:B29"/>
    <mergeCell ref="AC29:AD29"/>
    <mergeCell ref="A28:B28"/>
    <mergeCell ref="AC28:AD28"/>
    <mergeCell ref="AI25:AI28"/>
    <mergeCell ref="U26:X26"/>
    <mergeCell ref="W27:X27"/>
    <mergeCell ref="Y27:Z27"/>
    <mergeCell ref="A32:B32"/>
    <mergeCell ref="AC32:AD32"/>
    <mergeCell ref="C27:D27"/>
    <mergeCell ref="E27:F27"/>
    <mergeCell ref="G27:H27"/>
    <mergeCell ref="I27:J27"/>
    <mergeCell ref="C25:J25"/>
    <mergeCell ref="C26:F26"/>
    <mergeCell ref="G26:J26"/>
    <mergeCell ref="A33:B33"/>
    <mergeCell ref="AC33:AD33"/>
    <mergeCell ref="AM33:AN33"/>
    <mergeCell ref="AC35:AD35"/>
    <mergeCell ref="A35:B35"/>
    <mergeCell ref="AJ25:AJ28"/>
    <mergeCell ref="AK25:AK28"/>
    <mergeCell ref="AL25:AN28"/>
    <mergeCell ref="L27:M27"/>
    <mergeCell ref="AM35:AN35"/>
    <mergeCell ref="N27:O27"/>
    <mergeCell ref="P27:Q27"/>
    <mergeCell ref="R27:S27"/>
    <mergeCell ref="U27:V27"/>
    <mergeCell ref="AH25:AH28"/>
    <mergeCell ref="AF25:AF28"/>
    <mergeCell ref="L25:S25"/>
    <mergeCell ref="L26:O26"/>
    <mergeCell ref="P26:S26"/>
    <mergeCell ref="AA27:AB27"/>
    <mergeCell ref="AM32:AN32"/>
    <mergeCell ref="AH37:AH40"/>
    <mergeCell ref="AI37:AI40"/>
    <mergeCell ref="C7:J7"/>
    <mergeCell ref="L7:S7"/>
    <mergeCell ref="U7:AB7"/>
    <mergeCell ref="C8:F8"/>
    <mergeCell ref="G8:J8"/>
    <mergeCell ref="L8:O8"/>
    <mergeCell ref="P8:S8"/>
    <mergeCell ref="U8:X8"/>
    <mergeCell ref="Y8:AB8"/>
    <mergeCell ref="AA9:AB9"/>
    <mergeCell ref="C9:D9"/>
    <mergeCell ref="E9:F9"/>
    <mergeCell ref="G9:H9"/>
    <mergeCell ref="I9:J9"/>
    <mergeCell ref="C5:O5"/>
    <mergeCell ref="C24:O24"/>
    <mergeCell ref="R5:AA5"/>
    <mergeCell ref="AF37:AF40"/>
    <mergeCell ref="AG37:AG40"/>
    <mergeCell ref="L9:M9"/>
    <mergeCell ref="N9:O9"/>
    <mergeCell ref="P9:Q9"/>
    <mergeCell ref="R9:S9"/>
    <mergeCell ref="U9:V9"/>
    <mergeCell ref="W9:X9"/>
    <mergeCell ref="Y9:Z9"/>
    <mergeCell ref="AG25:AG28"/>
    <mergeCell ref="Y26:AB26"/>
    <mergeCell ref="U25:AB25"/>
    <mergeCell ref="AE25:AE28"/>
  </mergeCells>
  <pageMargins left="0.19685039370078741" right="0.19685039370078741" top="0.39370078740157483" bottom="0.39370078740157483" header="0.59055118110236227" footer="0.59055118110236227"/>
  <pageSetup paperSize="9" scale="39" fitToHeight="0" pageOrder="overThenDown" orientation="landscape" useFirstPageNumber="1" r:id="rId1"/>
  <headerFooter alignWithMargins="0"/>
  <colBreaks count="1" manualBreakCount="1">
    <brk id="28" max="22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N48"/>
  <sheetViews>
    <sheetView view="pageBreakPreview" zoomScale="55" zoomScaleNormal="40" zoomScaleSheetLayoutView="55" workbookViewId="0">
      <pane xSplit="2" ySplit="10" topLeftCell="C11" activePane="bottomRight" state="frozen"/>
      <selection activeCell="N3" sqref="N3"/>
      <selection pane="topRight" activeCell="N3" sqref="N3"/>
      <selection pane="bottomLeft" activeCell="N3" sqref="N3"/>
      <selection pane="bottomRight" activeCell="N3" sqref="N3"/>
    </sheetView>
  </sheetViews>
  <sheetFormatPr baseColWidth="10" defaultRowHeight="14.25" outlineLevelRow="1"/>
  <cols>
    <col min="1" max="1" width="9.125" style="8" customWidth="1"/>
    <col min="2" max="2" width="13.75" style="8" customWidth="1"/>
    <col min="3" max="10" width="12.875" style="8" customWidth="1"/>
    <col min="11" max="11" width="2.625" style="8" customWidth="1"/>
    <col min="12" max="19" width="12.875" style="8" customWidth="1"/>
    <col min="20" max="20" width="2.625" style="8" customWidth="1"/>
    <col min="21" max="28" width="12.875" style="8" customWidth="1"/>
    <col min="29" max="29" width="9.125" style="8" customWidth="1"/>
    <col min="30" max="30" width="13.75" style="8" customWidth="1"/>
    <col min="31" max="38" width="21.125" style="8" customWidth="1"/>
    <col min="39" max="39" width="82.625" style="8" customWidth="1"/>
    <col min="40" max="40" width="21.125" style="8" customWidth="1"/>
    <col min="41" max="45" width="10.625" style="8" customWidth="1"/>
    <col min="46" max="16384" width="11" style="8"/>
  </cols>
  <sheetData>
    <row r="1" spans="1:38" ht="52.5" customHeight="1" thickBot="1">
      <c r="A1" s="283" t="s">
        <v>89</v>
      </c>
      <c r="B1" s="757" t="s">
        <v>93</v>
      </c>
      <c r="C1" s="758"/>
      <c r="D1" s="758"/>
      <c r="E1" s="758"/>
      <c r="F1" s="286"/>
      <c r="G1" s="286"/>
      <c r="H1" s="758"/>
      <c r="I1" s="758"/>
      <c r="J1" s="286"/>
      <c r="K1" s="286"/>
      <c r="L1" s="286"/>
      <c r="M1" s="240" t="s">
        <v>30</v>
      </c>
      <c r="N1" s="241" t="s">
        <v>139</v>
      </c>
      <c r="O1" s="241"/>
      <c r="P1" s="758"/>
      <c r="Q1" s="758"/>
      <c r="R1" s="758"/>
      <c r="S1" s="758"/>
      <c r="T1" s="758"/>
      <c r="U1" s="758"/>
      <c r="V1" s="758"/>
      <c r="W1" s="758"/>
      <c r="X1" s="770"/>
      <c r="Y1" s="289"/>
      <c r="Z1" s="289"/>
      <c r="AA1" s="289"/>
      <c r="AB1" s="290"/>
    </row>
    <row r="2" spans="1:38" ht="52.5" customHeight="1" thickBot="1">
      <c r="A2" s="227" t="s">
        <v>2</v>
      </c>
      <c r="B2" s="228"/>
      <c r="C2" s="228"/>
      <c r="D2" s="228"/>
      <c r="E2" s="228"/>
      <c r="F2" s="228"/>
      <c r="G2" s="757" t="s">
        <v>146</v>
      </c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758"/>
      <c r="S2" s="758"/>
      <c r="T2" s="758"/>
      <c r="U2" s="758"/>
      <c r="V2" s="758"/>
      <c r="W2" s="758"/>
      <c r="X2" s="770"/>
      <c r="Y2" s="228"/>
      <c r="Z2" s="228"/>
      <c r="AA2" s="228"/>
      <c r="AB2" s="228"/>
    </row>
    <row r="3" spans="1:38" ht="52.5" customHeight="1" thickBot="1">
      <c r="A3" s="227" t="s">
        <v>3</v>
      </c>
      <c r="B3" s="228"/>
      <c r="C3" s="757" t="s">
        <v>151</v>
      </c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70"/>
      <c r="Y3" s="228"/>
      <c r="Z3" s="228"/>
      <c r="AA3" s="228"/>
      <c r="AB3" s="245"/>
    </row>
    <row r="4" spans="1:38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45"/>
    </row>
    <row r="5" spans="1:38" s="642" customFormat="1" ht="75" customHeight="1">
      <c r="A5" s="639" t="s">
        <v>27</v>
      </c>
      <c r="B5" s="640"/>
      <c r="C5" s="866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755"/>
      <c r="AC5" s="755"/>
    </row>
    <row r="6" spans="1:38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597"/>
      <c r="L6" s="228"/>
      <c r="M6" s="228"/>
      <c r="N6" s="228"/>
      <c r="O6" s="228"/>
      <c r="P6" s="228"/>
      <c r="Q6" s="228"/>
      <c r="R6" s="228"/>
      <c r="S6" s="245"/>
      <c r="T6" s="598"/>
      <c r="U6" s="228"/>
      <c r="V6" s="228"/>
      <c r="W6" s="228"/>
      <c r="X6" s="228"/>
      <c r="Y6" s="228"/>
      <c r="Z6" s="228"/>
      <c r="AA6" s="228"/>
      <c r="AB6" s="245"/>
    </row>
    <row r="7" spans="1:38" ht="32.25" customHeight="1" thickTop="1">
      <c r="A7" s="227"/>
      <c r="B7" s="228"/>
      <c r="C7" s="875" t="s">
        <v>81</v>
      </c>
      <c r="D7" s="876"/>
      <c r="E7" s="876"/>
      <c r="F7" s="876"/>
      <c r="G7" s="876"/>
      <c r="H7" s="876"/>
      <c r="I7" s="876"/>
      <c r="J7" s="876"/>
      <c r="K7" s="664"/>
      <c r="L7" s="876" t="s">
        <v>39</v>
      </c>
      <c r="M7" s="876"/>
      <c r="N7" s="876"/>
      <c r="O7" s="876"/>
      <c r="P7" s="876"/>
      <c r="Q7" s="876"/>
      <c r="R7" s="876"/>
      <c r="S7" s="877"/>
      <c r="T7" s="665"/>
      <c r="U7" s="876" t="s">
        <v>46</v>
      </c>
      <c r="V7" s="876"/>
      <c r="W7" s="876"/>
      <c r="X7" s="876"/>
      <c r="Y7" s="876"/>
      <c r="Z7" s="876"/>
      <c r="AA7" s="876"/>
      <c r="AB7" s="877"/>
      <c r="AC7" s="765"/>
      <c r="AD7" s="765"/>
      <c r="AF7" s="9"/>
      <c r="AG7" s="9"/>
      <c r="AH7" s="9"/>
      <c r="AI7" s="9"/>
      <c r="AJ7" s="9"/>
      <c r="AK7" s="9"/>
      <c r="AL7" s="9"/>
    </row>
    <row r="8" spans="1:38" ht="22.7" customHeight="1">
      <c r="A8" s="227"/>
      <c r="B8" s="228"/>
      <c r="C8" s="878" t="s">
        <v>37</v>
      </c>
      <c r="D8" s="879"/>
      <c r="E8" s="879"/>
      <c r="F8" s="879"/>
      <c r="G8" s="1006" t="s">
        <v>45</v>
      </c>
      <c r="H8" s="1006"/>
      <c r="I8" s="1006"/>
      <c r="J8" s="1006"/>
      <c r="K8" s="756"/>
      <c r="L8" s="879" t="s">
        <v>82</v>
      </c>
      <c r="M8" s="879"/>
      <c r="N8" s="879"/>
      <c r="O8" s="879"/>
      <c r="P8" s="1006" t="s">
        <v>45</v>
      </c>
      <c r="Q8" s="1006"/>
      <c r="R8" s="1006"/>
      <c r="S8" s="1007"/>
      <c r="T8" s="656"/>
      <c r="U8" s="879" t="s">
        <v>37</v>
      </c>
      <c r="V8" s="879"/>
      <c r="W8" s="879"/>
      <c r="X8" s="879"/>
      <c r="Y8" s="1006" t="s">
        <v>82</v>
      </c>
      <c r="Z8" s="1006"/>
      <c r="AA8" s="1006"/>
      <c r="AB8" s="1007"/>
      <c r="AC8" s="765"/>
      <c r="AD8" s="765"/>
    </row>
    <row r="9" spans="1:38" ht="18.600000000000001" customHeight="1" thickBot="1">
      <c r="A9" s="227"/>
      <c r="B9" s="228"/>
      <c r="C9" s="913" t="s">
        <v>4</v>
      </c>
      <c r="D9" s="919"/>
      <c r="E9" s="920" t="s">
        <v>5</v>
      </c>
      <c r="F9" s="916"/>
      <c r="G9" s="917" t="s">
        <v>4</v>
      </c>
      <c r="H9" s="919"/>
      <c r="I9" s="920" t="s">
        <v>5</v>
      </c>
      <c r="J9" s="916"/>
      <c r="K9" s="624"/>
      <c r="L9" s="917" t="s">
        <v>4</v>
      </c>
      <c r="M9" s="919"/>
      <c r="N9" s="920" t="s">
        <v>5</v>
      </c>
      <c r="O9" s="916"/>
      <c r="P9" s="917" t="s">
        <v>4</v>
      </c>
      <c r="Q9" s="919"/>
      <c r="R9" s="920" t="s">
        <v>5</v>
      </c>
      <c r="S9" s="921"/>
      <c r="T9" s="624"/>
      <c r="U9" s="917" t="s">
        <v>4</v>
      </c>
      <c r="V9" s="919"/>
      <c r="W9" s="920" t="s">
        <v>5</v>
      </c>
      <c r="X9" s="916"/>
      <c r="Y9" s="917" t="s">
        <v>4</v>
      </c>
      <c r="Z9" s="919"/>
      <c r="AA9" s="920" t="s">
        <v>5</v>
      </c>
      <c r="AB9" s="921"/>
      <c r="AC9" s="765"/>
      <c r="AD9" s="765"/>
    </row>
    <row r="10" spans="1:38" ht="21" thickTop="1">
      <c r="A10" s="763" t="s">
        <v>6</v>
      </c>
      <c r="B10" s="764" t="s">
        <v>7</v>
      </c>
      <c r="C10" s="787" t="s">
        <v>8</v>
      </c>
      <c r="D10" s="829" t="s">
        <v>9</v>
      </c>
      <c r="E10" s="831" t="s">
        <v>8</v>
      </c>
      <c r="F10" s="804" t="s">
        <v>9</v>
      </c>
      <c r="G10" s="819" t="s">
        <v>8</v>
      </c>
      <c r="H10" s="829" t="s">
        <v>9</v>
      </c>
      <c r="I10" s="831" t="s">
        <v>8</v>
      </c>
      <c r="J10" s="804" t="s">
        <v>9</v>
      </c>
      <c r="K10" s="637"/>
      <c r="L10" s="819" t="s">
        <v>8</v>
      </c>
      <c r="M10" s="829" t="s">
        <v>9</v>
      </c>
      <c r="N10" s="831" t="s">
        <v>8</v>
      </c>
      <c r="O10" s="804" t="s">
        <v>9</v>
      </c>
      <c r="P10" s="819" t="s">
        <v>8</v>
      </c>
      <c r="Q10" s="829" t="s">
        <v>9</v>
      </c>
      <c r="R10" s="831" t="s">
        <v>8</v>
      </c>
      <c r="S10" s="833" t="s">
        <v>9</v>
      </c>
      <c r="T10" s="637"/>
      <c r="U10" s="819" t="s">
        <v>8</v>
      </c>
      <c r="V10" s="829" t="s">
        <v>9</v>
      </c>
      <c r="W10" s="831" t="s">
        <v>8</v>
      </c>
      <c r="X10" s="804" t="s">
        <v>9</v>
      </c>
      <c r="Y10" s="819" t="s">
        <v>8</v>
      </c>
      <c r="Z10" s="829" t="s">
        <v>9</v>
      </c>
      <c r="AA10" s="831" t="s">
        <v>8</v>
      </c>
      <c r="AB10" s="833" t="s">
        <v>9</v>
      </c>
      <c r="AC10" s="765"/>
      <c r="AD10" s="765"/>
      <c r="AE10" s="10"/>
    </row>
    <row r="11" spans="1:38" ht="54.95" hidden="1" customHeight="1" outlineLevel="1">
      <c r="A11" s="761">
        <v>6</v>
      </c>
      <c r="B11" s="762" t="s">
        <v>25</v>
      </c>
      <c r="C11" s="840"/>
      <c r="D11" s="841"/>
      <c r="E11" s="843"/>
      <c r="F11" s="844"/>
      <c r="G11" s="842"/>
      <c r="H11" s="841"/>
      <c r="I11" s="843"/>
      <c r="J11" s="844"/>
      <c r="K11" s="638"/>
      <c r="L11" s="842"/>
      <c r="M11" s="841"/>
      <c r="N11" s="843"/>
      <c r="O11" s="844"/>
      <c r="P11" s="842"/>
      <c r="Q11" s="841"/>
      <c r="R11" s="843"/>
      <c r="S11" s="845"/>
      <c r="T11" s="638"/>
      <c r="U11" s="842"/>
      <c r="V11" s="841"/>
      <c r="W11" s="843"/>
      <c r="X11" s="844"/>
      <c r="Y11" s="842"/>
      <c r="Z11" s="841"/>
      <c r="AA11" s="843"/>
      <c r="AB11" s="845"/>
      <c r="AC11" s="765"/>
      <c r="AD11" s="765"/>
      <c r="AE11" s="2"/>
      <c r="AF11" s="2"/>
      <c r="AG11" s="2"/>
      <c r="AH11" s="2"/>
      <c r="AI11" s="2"/>
      <c r="AJ11" s="2"/>
      <c r="AK11" s="2"/>
      <c r="AL11" s="2"/>
    </row>
    <row r="12" spans="1:38" ht="54.95" hidden="1" customHeight="1" outlineLevel="1">
      <c r="A12" s="761"/>
      <c r="B12" s="762" t="s">
        <v>26</v>
      </c>
      <c r="C12" s="840"/>
      <c r="D12" s="841"/>
      <c r="E12" s="843"/>
      <c r="F12" s="844"/>
      <c r="G12" s="842"/>
      <c r="H12" s="841"/>
      <c r="I12" s="843"/>
      <c r="J12" s="844"/>
      <c r="K12" s="638"/>
      <c r="L12" s="842"/>
      <c r="M12" s="841"/>
      <c r="N12" s="843"/>
      <c r="O12" s="844"/>
      <c r="P12" s="842"/>
      <c r="Q12" s="841"/>
      <c r="R12" s="843"/>
      <c r="S12" s="845"/>
      <c r="T12" s="638"/>
      <c r="U12" s="842"/>
      <c r="V12" s="841"/>
      <c r="W12" s="843"/>
      <c r="X12" s="844"/>
      <c r="Y12" s="842"/>
      <c r="Z12" s="841"/>
      <c r="AA12" s="843"/>
      <c r="AB12" s="845"/>
      <c r="AC12" s="765"/>
      <c r="AD12" s="765"/>
      <c r="AE12" s="2"/>
      <c r="AF12" s="2"/>
      <c r="AG12" s="2"/>
      <c r="AH12" s="2"/>
      <c r="AI12" s="2"/>
      <c r="AJ12" s="2"/>
      <c r="AK12" s="2"/>
      <c r="AL12" s="2"/>
    </row>
    <row r="13" spans="1:38" ht="54.95" customHeight="1" collapsed="1">
      <c r="A13" s="1008">
        <v>7</v>
      </c>
      <c r="B13" s="772" t="s">
        <v>140</v>
      </c>
      <c r="C13" s="791"/>
      <c r="D13" s="792"/>
      <c r="E13" s="807"/>
      <c r="F13" s="808"/>
      <c r="G13" s="823">
        <v>1</v>
      </c>
      <c r="H13" s="792">
        <v>2</v>
      </c>
      <c r="I13" s="807">
        <v>2</v>
      </c>
      <c r="J13" s="808"/>
      <c r="K13" s="638"/>
      <c r="L13" s="791"/>
      <c r="M13" s="792">
        <v>1</v>
      </c>
      <c r="N13" s="807"/>
      <c r="O13" s="808"/>
      <c r="P13" s="823"/>
      <c r="Q13" s="792">
        <v>4</v>
      </c>
      <c r="R13" s="807"/>
      <c r="S13" s="808"/>
      <c r="T13" s="638"/>
      <c r="U13" s="791"/>
      <c r="V13" s="792"/>
      <c r="W13" s="807"/>
      <c r="X13" s="808"/>
      <c r="Y13" s="823"/>
      <c r="Z13" s="792"/>
      <c r="AA13" s="807"/>
      <c r="AB13" s="808"/>
      <c r="AC13" s="765"/>
      <c r="AD13" s="765"/>
      <c r="AE13" s="2"/>
      <c r="AF13" s="2"/>
      <c r="AG13" s="2"/>
      <c r="AH13" s="2"/>
      <c r="AI13" s="2"/>
      <c r="AJ13" s="2"/>
      <c r="AK13" s="2"/>
      <c r="AL13" s="2"/>
    </row>
    <row r="14" spans="1:38" ht="54.95" customHeight="1">
      <c r="A14" s="1009"/>
      <c r="B14" s="773" t="s">
        <v>141</v>
      </c>
      <c r="C14" s="793"/>
      <c r="D14" s="794"/>
      <c r="E14" s="809"/>
      <c r="F14" s="810"/>
      <c r="G14" s="824">
        <v>2</v>
      </c>
      <c r="H14" s="794">
        <v>3</v>
      </c>
      <c r="I14" s="809">
        <v>3</v>
      </c>
      <c r="J14" s="810"/>
      <c r="K14" s="638"/>
      <c r="L14" s="793"/>
      <c r="M14" s="794"/>
      <c r="N14" s="809"/>
      <c r="O14" s="810"/>
      <c r="P14" s="824"/>
      <c r="Q14" s="794">
        <v>2</v>
      </c>
      <c r="R14" s="809">
        <v>2</v>
      </c>
      <c r="S14" s="810">
        <v>1</v>
      </c>
      <c r="T14" s="638"/>
      <c r="U14" s="793"/>
      <c r="V14" s="794"/>
      <c r="W14" s="809"/>
      <c r="X14" s="810"/>
      <c r="Y14" s="824"/>
      <c r="Z14" s="794"/>
      <c r="AA14" s="809"/>
      <c r="AB14" s="810"/>
      <c r="AC14" s="765"/>
      <c r="AD14" s="765"/>
      <c r="AE14" s="2"/>
      <c r="AF14" s="2"/>
      <c r="AG14" s="2"/>
      <c r="AH14" s="2"/>
      <c r="AI14" s="2"/>
      <c r="AJ14" s="2"/>
      <c r="AK14" s="2"/>
      <c r="AL14" s="2"/>
    </row>
    <row r="15" spans="1:38" ht="54.95" customHeight="1">
      <c r="A15" s="1009"/>
      <c r="B15" s="773" t="s">
        <v>142</v>
      </c>
      <c r="C15" s="795"/>
      <c r="D15" s="796"/>
      <c r="E15" s="811"/>
      <c r="F15" s="812"/>
      <c r="G15" s="825">
        <v>1</v>
      </c>
      <c r="H15" s="796"/>
      <c r="I15" s="811">
        <v>1</v>
      </c>
      <c r="J15" s="812"/>
      <c r="K15" s="638"/>
      <c r="L15" s="795"/>
      <c r="M15" s="796"/>
      <c r="N15" s="811"/>
      <c r="O15" s="812"/>
      <c r="P15" s="825"/>
      <c r="Q15" s="796"/>
      <c r="R15" s="811">
        <v>1</v>
      </c>
      <c r="S15" s="812"/>
      <c r="T15" s="638"/>
      <c r="U15" s="795"/>
      <c r="V15" s="796"/>
      <c r="W15" s="811"/>
      <c r="X15" s="812"/>
      <c r="Y15" s="825"/>
      <c r="Z15" s="796">
        <v>2</v>
      </c>
      <c r="AA15" s="811"/>
      <c r="AB15" s="812"/>
      <c r="AC15" s="765"/>
      <c r="AD15" s="765"/>
      <c r="AE15" s="2"/>
      <c r="AF15" s="2"/>
      <c r="AG15" s="2"/>
      <c r="AH15" s="2"/>
      <c r="AI15" s="2"/>
      <c r="AJ15" s="2"/>
      <c r="AK15" s="2"/>
      <c r="AL15" s="2"/>
    </row>
    <row r="16" spans="1:38" ht="54.95" customHeight="1" thickBot="1">
      <c r="A16" s="1010"/>
      <c r="B16" s="774" t="s">
        <v>143</v>
      </c>
      <c r="C16" s="797"/>
      <c r="D16" s="798">
        <v>1</v>
      </c>
      <c r="E16" s="813"/>
      <c r="F16" s="814"/>
      <c r="G16" s="826"/>
      <c r="H16" s="798"/>
      <c r="I16" s="813"/>
      <c r="J16" s="814"/>
      <c r="K16" s="638"/>
      <c r="L16" s="797"/>
      <c r="M16" s="798"/>
      <c r="N16" s="813"/>
      <c r="O16" s="814"/>
      <c r="P16" s="826"/>
      <c r="Q16" s="798">
        <v>1</v>
      </c>
      <c r="R16" s="813">
        <v>1</v>
      </c>
      <c r="S16" s="814"/>
      <c r="T16" s="638"/>
      <c r="U16" s="797">
        <v>1</v>
      </c>
      <c r="V16" s="798"/>
      <c r="W16" s="813">
        <v>1</v>
      </c>
      <c r="X16" s="814"/>
      <c r="Y16" s="826"/>
      <c r="Z16" s="798"/>
      <c r="AA16" s="813"/>
      <c r="AB16" s="814"/>
      <c r="AC16" s="765"/>
      <c r="AD16" s="765"/>
      <c r="AE16" s="2"/>
      <c r="AF16" s="2"/>
      <c r="AG16" s="2"/>
      <c r="AH16" s="2"/>
      <c r="AI16" s="2"/>
      <c r="AJ16" s="2"/>
      <c r="AK16" s="2"/>
      <c r="AL16" s="2"/>
    </row>
    <row r="17" spans="1:40" ht="54.95" customHeight="1">
      <c r="A17" s="1011">
        <v>8</v>
      </c>
      <c r="B17" s="775" t="s">
        <v>140</v>
      </c>
      <c r="C17" s="799"/>
      <c r="D17" s="800"/>
      <c r="E17" s="815"/>
      <c r="F17" s="816"/>
      <c r="G17" s="827">
        <v>3</v>
      </c>
      <c r="H17" s="800">
        <v>2</v>
      </c>
      <c r="I17" s="815">
        <v>1</v>
      </c>
      <c r="J17" s="816"/>
      <c r="K17" s="638"/>
      <c r="L17" s="799"/>
      <c r="M17" s="800"/>
      <c r="N17" s="815"/>
      <c r="O17" s="816"/>
      <c r="P17" s="827">
        <v>2</v>
      </c>
      <c r="Q17" s="800">
        <v>1</v>
      </c>
      <c r="R17" s="815"/>
      <c r="S17" s="816"/>
      <c r="T17" s="638"/>
      <c r="U17" s="799"/>
      <c r="V17" s="800"/>
      <c r="W17" s="815"/>
      <c r="X17" s="816"/>
      <c r="Y17" s="827"/>
      <c r="Z17" s="800"/>
      <c r="AA17" s="815"/>
      <c r="AB17" s="816"/>
      <c r="AC17" s="765"/>
      <c r="AD17" s="765"/>
      <c r="AE17" s="2"/>
      <c r="AF17" s="2"/>
      <c r="AG17" s="2"/>
      <c r="AH17" s="2"/>
      <c r="AI17" s="2"/>
      <c r="AJ17" s="2"/>
      <c r="AK17" s="2"/>
      <c r="AL17" s="2"/>
    </row>
    <row r="18" spans="1:40" ht="54.95" customHeight="1">
      <c r="A18" s="1009"/>
      <c r="B18" s="773" t="s">
        <v>141</v>
      </c>
      <c r="C18" s="793"/>
      <c r="D18" s="794"/>
      <c r="E18" s="809"/>
      <c r="F18" s="810"/>
      <c r="G18" s="824">
        <v>1</v>
      </c>
      <c r="H18" s="794">
        <v>1</v>
      </c>
      <c r="I18" s="809"/>
      <c r="J18" s="810">
        <v>1</v>
      </c>
      <c r="K18" s="638"/>
      <c r="L18" s="793"/>
      <c r="M18" s="794"/>
      <c r="N18" s="809"/>
      <c r="O18" s="810"/>
      <c r="P18" s="824"/>
      <c r="Q18" s="794"/>
      <c r="R18" s="809">
        <v>1</v>
      </c>
      <c r="S18" s="810"/>
      <c r="T18" s="638"/>
      <c r="U18" s="793"/>
      <c r="V18" s="794">
        <v>1</v>
      </c>
      <c r="W18" s="809"/>
      <c r="X18" s="810"/>
      <c r="Y18" s="824"/>
      <c r="Z18" s="794"/>
      <c r="AA18" s="809"/>
      <c r="AB18" s="810"/>
      <c r="AC18" s="765"/>
      <c r="AD18" s="765"/>
      <c r="AE18" s="2"/>
      <c r="AF18" s="2"/>
      <c r="AG18" s="2"/>
      <c r="AH18" s="2"/>
      <c r="AI18" s="2"/>
      <c r="AJ18" s="2"/>
      <c r="AK18" s="2"/>
      <c r="AL18" s="2"/>
    </row>
    <row r="19" spans="1:40" ht="54.95" customHeight="1">
      <c r="A19" s="1009"/>
      <c r="B19" s="773" t="s">
        <v>142</v>
      </c>
      <c r="C19" s="795"/>
      <c r="D19" s="796">
        <v>1</v>
      </c>
      <c r="E19" s="811"/>
      <c r="F19" s="812"/>
      <c r="G19" s="825"/>
      <c r="H19" s="796">
        <v>3</v>
      </c>
      <c r="I19" s="811"/>
      <c r="J19" s="812"/>
      <c r="K19" s="638"/>
      <c r="L19" s="795"/>
      <c r="M19" s="796"/>
      <c r="N19" s="811"/>
      <c r="O19" s="812"/>
      <c r="P19" s="825"/>
      <c r="Q19" s="796"/>
      <c r="R19" s="811"/>
      <c r="S19" s="812"/>
      <c r="T19" s="638"/>
      <c r="U19" s="795"/>
      <c r="V19" s="796"/>
      <c r="W19" s="811"/>
      <c r="X19" s="812"/>
      <c r="Y19" s="825"/>
      <c r="Z19" s="796"/>
      <c r="AA19" s="811"/>
      <c r="AB19" s="812"/>
      <c r="AC19" s="765"/>
      <c r="AD19" s="765"/>
      <c r="AE19" s="2"/>
      <c r="AF19" s="2"/>
      <c r="AG19" s="2"/>
      <c r="AH19" s="2"/>
      <c r="AI19" s="2"/>
      <c r="AJ19" s="2"/>
      <c r="AK19" s="2"/>
      <c r="AL19" s="2"/>
    </row>
    <row r="20" spans="1:40" ht="54.95" customHeight="1" thickBot="1">
      <c r="A20" s="1012"/>
      <c r="B20" s="776" t="s">
        <v>143</v>
      </c>
      <c r="C20" s="801"/>
      <c r="D20" s="802"/>
      <c r="E20" s="817"/>
      <c r="F20" s="818"/>
      <c r="G20" s="828">
        <v>1</v>
      </c>
      <c r="H20" s="802"/>
      <c r="I20" s="817">
        <v>1</v>
      </c>
      <c r="J20" s="818"/>
      <c r="K20" s="638"/>
      <c r="L20" s="801"/>
      <c r="M20" s="802"/>
      <c r="N20" s="817"/>
      <c r="O20" s="818"/>
      <c r="P20" s="828">
        <v>1</v>
      </c>
      <c r="Q20" s="802">
        <v>1</v>
      </c>
      <c r="R20" s="817"/>
      <c r="S20" s="818"/>
      <c r="T20" s="638"/>
      <c r="U20" s="801"/>
      <c r="V20" s="802">
        <v>1</v>
      </c>
      <c r="W20" s="817"/>
      <c r="X20" s="818"/>
      <c r="Y20" s="828">
        <v>1</v>
      </c>
      <c r="Z20" s="802"/>
      <c r="AA20" s="817"/>
      <c r="AB20" s="818"/>
      <c r="AC20" s="765"/>
      <c r="AD20" s="765"/>
      <c r="AE20" s="2"/>
      <c r="AF20" s="2"/>
      <c r="AG20" s="2"/>
      <c r="AH20" s="2"/>
      <c r="AI20" s="2"/>
      <c r="AJ20" s="2"/>
      <c r="AK20" s="2"/>
      <c r="AL20" s="2"/>
    </row>
    <row r="21" spans="1:40" ht="54.95" hidden="1" customHeight="1" outlineLevel="1">
      <c r="A21" s="297">
        <v>9</v>
      </c>
      <c r="B21" s="298" t="s">
        <v>23</v>
      </c>
      <c r="C21" s="356"/>
      <c r="D21" s="357"/>
      <c r="E21" s="358"/>
      <c r="F21" s="359"/>
      <c r="G21" s="360"/>
      <c r="H21" s="357"/>
      <c r="I21" s="358"/>
      <c r="J21" s="359"/>
      <c r="K21" s="638"/>
      <c r="L21" s="360"/>
      <c r="M21" s="357"/>
      <c r="N21" s="358"/>
      <c r="O21" s="359"/>
      <c r="P21" s="360"/>
      <c r="Q21" s="357"/>
      <c r="R21" s="358"/>
      <c r="S21" s="361"/>
      <c r="T21" s="638"/>
      <c r="U21" s="360"/>
      <c r="V21" s="357"/>
      <c r="W21" s="358"/>
      <c r="X21" s="359"/>
      <c r="Y21" s="360"/>
      <c r="Z21" s="357"/>
      <c r="AA21" s="358"/>
      <c r="AB21" s="361"/>
      <c r="AC21" s="765"/>
      <c r="AD21" s="765"/>
      <c r="AE21" s="2"/>
      <c r="AF21" s="2"/>
      <c r="AG21" s="2"/>
      <c r="AH21" s="2"/>
      <c r="AI21" s="2"/>
      <c r="AJ21" s="2"/>
      <c r="AK21" s="2"/>
      <c r="AL21" s="2"/>
    </row>
    <row r="22" spans="1:40" ht="54.95" hidden="1" customHeight="1" outlineLevel="1" thickBot="1">
      <c r="A22" s="300"/>
      <c r="B22" s="301" t="s">
        <v>24</v>
      </c>
      <c r="C22" s="362"/>
      <c r="D22" s="363"/>
      <c r="E22" s="364"/>
      <c r="F22" s="365"/>
      <c r="G22" s="366"/>
      <c r="H22" s="363"/>
      <c r="I22" s="364"/>
      <c r="J22" s="365"/>
      <c r="K22" s="638"/>
      <c r="L22" s="366"/>
      <c r="M22" s="363"/>
      <c r="N22" s="364"/>
      <c r="O22" s="365"/>
      <c r="P22" s="366"/>
      <c r="Q22" s="363"/>
      <c r="R22" s="364"/>
      <c r="S22" s="367"/>
      <c r="T22" s="638"/>
      <c r="U22" s="366"/>
      <c r="V22" s="363"/>
      <c r="W22" s="364"/>
      <c r="X22" s="365"/>
      <c r="Y22" s="366"/>
      <c r="Z22" s="363"/>
      <c r="AA22" s="364"/>
      <c r="AB22" s="367"/>
      <c r="AC22" s="765"/>
      <c r="AD22" s="765"/>
      <c r="AE22" s="2"/>
      <c r="AF22" s="2"/>
      <c r="AG22" s="2"/>
      <c r="AH22" s="2"/>
      <c r="AI22" s="2"/>
      <c r="AJ22" s="2"/>
      <c r="AK22" s="2"/>
      <c r="AL22" s="2"/>
    </row>
    <row r="23" spans="1:40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638"/>
      <c r="L23" s="596"/>
      <c r="M23" s="596"/>
      <c r="N23" s="596"/>
      <c r="O23" s="596"/>
      <c r="P23" s="596"/>
      <c r="Q23" s="596"/>
      <c r="R23" s="596"/>
      <c r="S23" s="596"/>
      <c r="T23" s="638"/>
      <c r="U23" s="596"/>
      <c r="V23" s="596"/>
      <c r="W23" s="596"/>
      <c r="X23" s="596"/>
      <c r="Y23" s="596"/>
      <c r="Z23" s="596"/>
      <c r="AA23" s="596"/>
      <c r="AB23" s="596"/>
      <c r="AC23" s="2"/>
      <c r="AD23" s="2"/>
      <c r="AE23" s="2"/>
      <c r="AF23" s="2"/>
      <c r="AG23" s="2"/>
      <c r="AH23" s="2"/>
    </row>
    <row r="24" spans="1:40" ht="75" customHeight="1" outlineLevel="1" thickBot="1">
      <c r="A24" s="639"/>
      <c r="B24" s="640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986"/>
      <c r="P24" s="594"/>
      <c r="Q24" s="594"/>
      <c r="R24" s="594"/>
      <c r="S24" s="594"/>
      <c r="T24" s="594"/>
      <c r="U24" s="594"/>
      <c r="V24" s="594"/>
      <c r="W24" s="594"/>
      <c r="X24" s="594"/>
      <c r="Y24" s="594"/>
      <c r="Z24" s="594"/>
      <c r="AA24" s="594"/>
      <c r="AB24" s="595"/>
    </row>
    <row r="25" spans="1:40" ht="32.25" customHeight="1" thickTop="1">
      <c r="A25" s="26"/>
      <c r="B25" s="27"/>
      <c r="C25" s="947" t="str">
        <f>C7</f>
        <v>Depuis 'Esery'</v>
      </c>
      <c r="D25" s="948"/>
      <c r="E25" s="948"/>
      <c r="F25" s="948"/>
      <c r="G25" s="948"/>
      <c r="H25" s="948"/>
      <c r="I25" s="948"/>
      <c r="J25" s="948"/>
      <c r="K25" s="754"/>
      <c r="L25" s="948" t="str">
        <f>L7</f>
        <v>Depuis 'Reignier'</v>
      </c>
      <c r="M25" s="948"/>
      <c r="N25" s="948"/>
      <c r="O25" s="948"/>
      <c r="P25" s="948"/>
      <c r="Q25" s="948"/>
      <c r="R25" s="948"/>
      <c r="S25" s="949"/>
      <c r="T25" s="657"/>
      <c r="U25" s="948" t="str">
        <f>U7</f>
        <v>Depuis 'Annemasse'</v>
      </c>
      <c r="V25" s="948"/>
      <c r="W25" s="948"/>
      <c r="X25" s="948"/>
      <c r="Y25" s="948"/>
      <c r="Z25" s="948"/>
      <c r="AA25" s="948"/>
      <c r="AB25" s="949"/>
      <c r="AC25" s="26"/>
      <c r="AD25" s="27"/>
      <c r="AE25" s="928" t="s">
        <v>12</v>
      </c>
      <c r="AF25" s="869" t="s">
        <v>14</v>
      </c>
      <c r="AG25" s="869" t="s">
        <v>15</v>
      </c>
      <c r="AH25" s="869" t="s">
        <v>18</v>
      </c>
      <c r="AI25" s="869" t="s">
        <v>16</v>
      </c>
      <c r="AJ25" s="1003" t="s">
        <v>20</v>
      </c>
      <c r="AK25" s="995" t="s">
        <v>63</v>
      </c>
      <c r="AL25" s="1013" t="s">
        <v>22</v>
      </c>
      <c r="AM25" s="1014"/>
      <c r="AN25" s="1015"/>
    </row>
    <row r="26" spans="1:40" ht="22.7" customHeight="1">
      <c r="A26" s="26"/>
      <c r="B26" s="27"/>
      <c r="C26" s="944" t="str">
        <f>C8</f>
        <v>vers 'Reignier'</v>
      </c>
      <c r="D26" s="945"/>
      <c r="E26" s="945"/>
      <c r="F26" s="945"/>
      <c r="G26" s="944" t="str">
        <f>G8</f>
        <v>vers 'Annemasse'</v>
      </c>
      <c r="H26" s="945"/>
      <c r="I26" s="945"/>
      <c r="J26" s="945"/>
      <c r="K26" s="766"/>
      <c r="L26" s="944" t="str">
        <f>L8</f>
        <v>vers 'Esery'</v>
      </c>
      <c r="M26" s="945"/>
      <c r="N26" s="945"/>
      <c r="O26" s="945"/>
      <c r="P26" s="944" t="str">
        <f>P8</f>
        <v>vers 'Annemasse'</v>
      </c>
      <c r="Q26" s="945"/>
      <c r="R26" s="945"/>
      <c r="S26" s="945"/>
      <c r="T26" s="766"/>
      <c r="U26" s="944" t="str">
        <f>U8</f>
        <v>vers 'Reignier'</v>
      </c>
      <c r="V26" s="945"/>
      <c r="W26" s="945"/>
      <c r="X26" s="945"/>
      <c r="Y26" s="944" t="str">
        <f>Y8</f>
        <v>vers 'Esery'</v>
      </c>
      <c r="Z26" s="945"/>
      <c r="AA26" s="945"/>
      <c r="AB26" s="946"/>
      <c r="AC26" s="26"/>
      <c r="AD26" s="27"/>
      <c r="AE26" s="929"/>
      <c r="AF26" s="870"/>
      <c r="AG26" s="870"/>
      <c r="AH26" s="870"/>
      <c r="AI26" s="870"/>
      <c r="AJ26" s="1004"/>
      <c r="AK26" s="996"/>
      <c r="AL26" s="1016"/>
      <c r="AM26" s="1017"/>
      <c r="AN26" s="1018"/>
    </row>
    <row r="27" spans="1:40" ht="18.600000000000001" customHeight="1" thickBot="1">
      <c r="A27" s="26"/>
      <c r="B27" s="27"/>
      <c r="C27" s="1024" t="s">
        <v>4</v>
      </c>
      <c r="D27" s="973"/>
      <c r="E27" s="976" t="s">
        <v>5</v>
      </c>
      <c r="F27" s="977"/>
      <c r="G27" s="972" t="s">
        <v>4</v>
      </c>
      <c r="H27" s="973"/>
      <c r="I27" s="976" t="s">
        <v>5</v>
      </c>
      <c r="J27" s="977"/>
      <c r="K27" s="658"/>
      <c r="L27" s="972" t="s">
        <v>4</v>
      </c>
      <c r="M27" s="973"/>
      <c r="N27" s="976" t="s">
        <v>5</v>
      </c>
      <c r="O27" s="977"/>
      <c r="P27" s="972" t="s">
        <v>4</v>
      </c>
      <c r="Q27" s="973"/>
      <c r="R27" s="976" t="s">
        <v>5</v>
      </c>
      <c r="S27" s="978"/>
      <c r="T27" s="658"/>
      <c r="U27" s="972" t="s">
        <v>4</v>
      </c>
      <c r="V27" s="973"/>
      <c r="W27" s="976" t="s">
        <v>5</v>
      </c>
      <c r="X27" s="977"/>
      <c r="Y27" s="972" t="s">
        <v>4</v>
      </c>
      <c r="Z27" s="973"/>
      <c r="AA27" s="974" t="s">
        <v>5</v>
      </c>
      <c r="AB27" s="975"/>
      <c r="AC27" s="26"/>
      <c r="AD27" s="27"/>
      <c r="AE27" s="929"/>
      <c r="AF27" s="870"/>
      <c r="AG27" s="870"/>
      <c r="AH27" s="870"/>
      <c r="AI27" s="870"/>
      <c r="AJ27" s="1004"/>
      <c r="AK27" s="996"/>
      <c r="AL27" s="1016"/>
      <c r="AM27" s="1017"/>
      <c r="AN27" s="1018"/>
    </row>
    <row r="28" spans="1:40" ht="21" thickTop="1">
      <c r="A28" s="931" t="s">
        <v>13</v>
      </c>
      <c r="B28" s="932"/>
      <c r="C28" s="15" t="s">
        <v>8</v>
      </c>
      <c r="D28" s="4" t="s">
        <v>9</v>
      </c>
      <c r="E28" s="5" t="s">
        <v>8</v>
      </c>
      <c r="F28" s="6" t="s">
        <v>9</v>
      </c>
      <c r="G28" s="3" t="s">
        <v>8</v>
      </c>
      <c r="H28" s="4" t="s">
        <v>9</v>
      </c>
      <c r="I28" s="5" t="s">
        <v>8</v>
      </c>
      <c r="J28" s="6" t="s">
        <v>9</v>
      </c>
      <c r="K28" s="630"/>
      <c r="L28" s="3" t="s">
        <v>8</v>
      </c>
      <c r="M28" s="4" t="s">
        <v>9</v>
      </c>
      <c r="N28" s="5" t="s">
        <v>8</v>
      </c>
      <c r="O28" s="6" t="s">
        <v>9</v>
      </c>
      <c r="P28" s="3" t="s">
        <v>8</v>
      </c>
      <c r="Q28" s="4" t="s">
        <v>9</v>
      </c>
      <c r="R28" s="5" t="s">
        <v>8</v>
      </c>
      <c r="S28" s="16" t="s">
        <v>9</v>
      </c>
      <c r="T28" s="630"/>
      <c r="U28" s="3" t="s">
        <v>8</v>
      </c>
      <c r="V28" s="4" t="s">
        <v>9</v>
      </c>
      <c r="W28" s="5" t="s">
        <v>8</v>
      </c>
      <c r="X28" s="6" t="s">
        <v>9</v>
      </c>
      <c r="Y28" s="3" t="s">
        <v>8</v>
      </c>
      <c r="Z28" s="4" t="s">
        <v>9</v>
      </c>
      <c r="AA28" s="5" t="s">
        <v>8</v>
      </c>
      <c r="AB28" s="16" t="s">
        <v>9</v>
      </c>
      <c r="AC28" s="933" t="s">
        <v>13</v>
      </c>
      <c r="AD28" s="934"/>
      <c r="AE28" s="929"/>
      <c r="AF28" s="871"/>
      <c r="AG28" s="871"/>
      <c r="AH28" s="871"/>
      <c r="AI28" s="871"/>
      <c r="AJ28" s="1005"/>
      <c r="AK28" s="997"/>
      <c r="AL28" s="1019"/>
      <c r="AM28" s="1020"/>
      <c r="AN28" s="1021"/>
    </row>
    <row r="29" spans="1:40" ht="54.95" customHeight="1">
      <c r="A29" s="935" t="s">
        <v>28</v>
      </c>
      <c r="B29" s="936"/>
      <c r="C29" s="31">
        <f t="shared" ref="C29:AB29" si="0">SUM(C11:C14)</f>
        <v>0</v>
      </c>
      <c r="D29" s="32">
        <f t="shared" si="0"/>
        <v>0</v>
      </c>
      <c r="E29" s="33">
        <f t="shared" si="0"/>
        <v>0</v>
      </c>
      <c r="F29" s="34">
        <f t="shared" si="0"/>
        <v>0</v>
      </c>
      <c r="G29" s="35">
        <f t="shared" si="0"/>
        <v>3</v>
      </c>
      <c r="H29" s="32">
        <f t="shared" si="0"/>
        <v>5</v>
      </c>
      <c r="I29" s="33">
        <f t="shared" si="0"/>
        <v>5</v>
      </c>
      <c r="J29" s="34">
        <f t="shared" si="0"/>
        <v>0</v>
      </c>
      <c r="K29" s="659"/>
      <c r="L29" s="35">
        <f t="shared" si="0"/>
        <v>0</v>
      </c>
      <c r="M29" s="32">
        <f t="shared" si="0"/>
        <v>1</v>
      </c>
      <c r="N29" s="33">
        <f t="shared" si="0"/>
        <v>0</v>
      </c>
      <c r="O29" s="34">
        <f t="shared" si="0"/>
        <v>0</v>
      </c>
      <c r="P29" s="35">
        <f t="shared" si="0"/>
        <v>0</v>
      </c>
      <c r="Q29" s="32">
        <f t="shared" si="0"/>
        <v>6</v>
      </c>
      <c r="R29" s="33">
        <f t="shared" si="0"/>
        <v>2</v>
      </c>
      <c r="S29" s="36">
        <f t="shared" si="0"/>
        <v>1</v>
      </c>
      <c r="T29" s="659"/>
      <c r="U29" s="35">
        <f t="shared" si="0"/>
        <v>0</v>
      </c>
      <c r="V29" s="32">
        <f t="shared" si="0"/>
        <v>0</v>
      </c>
      <c r="W29" s="33">
        <f t="shared" si="0"/>
        <v>0</v>
      </c>
      <c r="X29" s="34">
        <f t="shared" si="0"/>
        <v>0</v>
      </c>
      <c r="Y29" s="35">
        <f t="shared" si="0"/>
        <v>0</v>
      </c>
      <c r="Z29" s="32">
        <f t="shared" si="0"/>
        <v>0</v>
      </c>
      <c r="AA29" s="33">
        <f t="shared" si="0"/>
        <v>0</v>
      </c>
      <c r="AB29" s="36">
        <f t="shared" si="0"/>
        <v>0</v>
      </c>
      <c r="AC29" s="987" t="s">
        <v>28</v>
      </c>
      <c r="AD29" s="988"/>
      <c r="AE29" s="62">
        <f t="shared" ref="AE29:AE35" si="1">SUM(C29:AB29)</f>
        <v>23</v>
      </c>
      <c r="AF29" s="118">
        <f>IF(AE29=0,0,AF41/AE29)</f>
        <v>0.43478260869565216</v>
      </c>
      <c r="AG29" s="118">
        <f>IF(AE29=0,0,AG41/AE29)</f>
        <v>0.34782608695652173</v>
      </c>
      <c r="AH29" s="118">
        <f>IF(AG41=0,0,AH41/AG41)</f>
        <v>0.875</v>
      </c>
      <c r="AI29" s="118">
        <f t="shared" ref="AI29:AI35" si="2">IF(AE29=0,0,AI41/AE29)</f>
        <v>0.56521739130434778</v>
      </c>
      <c r="AJ29" s="63">
        <f>SUM(U29:AB29)</f>
        <v>0</v>
      </c>
      <c r="AK29" s="63">
        <f>RE_Eglise!AH60</f>
        <v>7</v>
      </c>
      <c r="AL29" s="64">
        <f>AK29-AJ29</f>
        <v>7</v>
      </c>
      <c r="AM29" s="1022"/>
      <c r="AN29" s="1023"/>
    </row>
    <row r="30" spans="1:40" ht="54.95" customHeight="1">
      <c r="A30" s="939" t="s">
        <v>11</v>
      </c>
      <c r="B30" s="940"/>
      <c r="C30" s="37">
        <f t="shared" ref="C30:AB30" si="3">SUM(C13:C16)</f>
        <v>0</v>
      </c>
      <c r="D30" s="38">
        <f t="shared" si="3"/>
        <v>1</v>
      </c>
      <c r="E30" s="39">
        <f t="shared" si="3"/>
        <v>0</v>
      </c>
      <c r="F30" s="40">
        <f t="shared" si="3"/>
        <v>0</v>
      </c>
      <c r="G30" s="41">
        <f t="shared" si="3"/>
        <v>4</v>
      </c>
      <c r="H30" s="38">
        <f t="shared" si="3"/>
        <v>5</v>
      </c>
      <c r="I30" s="39">
        <f t="shared" si="3"/>
        <v>6</v>
      </c>
      <c r="J30" s="40">
        <f t="shared" si="3"/>
        <v>0</v>
      </c>
      <c r="K30" s="660"/>
      <c r="L30" s="41">
        <f t="shared" si="3"/>
        <v>0</v>
      </c>
      <c r="M30" s="38">
        <f t="shared" si="3"/>
        <v>1</v>
      </c>
      <c r="N30" s="39">
        <f t="shared" si="3"/>
        <v>0</v>
      </c>
      <c r="O30" s="40">
        <f t="shared" si="3"/>
        <v>0</v>
      </c>
      <c r="P30" s="41">
        <f t="shared" si="3"/>
        <v>0</v>
      </c>
      <c r="Q30" s="38">
        <f t="shared" si="3"/>
        <v>7</v>
      </c>
      <c r="R30" s="39">
        <f t="shared" si="3"/>
        <v>4</v>
      </c>
      <c r="S30" s="42">
        <f t="shared" si="3"/>
        <v>1</v>
      </c>
      <c r="T30" s="660"/>
      <c r="U30" s="41">
        <f t="shared" si="3"/>
        <v>1</v>
      </c>
      <c r="V30" s="38">
        <f t="shared" si="3"/>
        <v>0</v>
      </c>
      <c r="W30" s="39">
        <f t="shared" si="3"/>
        <v>1</v>
      </c>
      <c r="X30" s="40">
        <f t="shared" si="3"/>
        <v>0</v>
      </c>
      <c r="Y30" s="41">
        <f t="shared" si="3"/>
        <v>0</v>
      </c>
      <c r="Z30" s="38">
        <f t="shared" si="3"/>
        <v>2</v>
      </c>
      <c r="AA30" s="39">
        <f t="shared" si="3"/>
        <v>0</v>
      </c>
      <c r="AB30" s="42">
        <f t="shared" si="3"/>
        <v>0</v>
      </c>
      <c r="AC30" s="970" t="s">
        <v>11</v>
      </c>
      <c r="AD30" s="971"/>
      <c r="AE30" s="65">
        <f t="shared" si="1"/>
        <v>33</v>
      </c>
      <c r="AF30" s="120">
        <f t="shared" ref="AF30:AF35" si="4">IF(AE30=0,0,AF42/AE30)</f>
        <v>0.48484848484848486</v>
      </c>
      <c r="AG30" s="120">
        <f t="shared" ref="AG30:AG35" si="5">IF(AE30=0,0,AG42/AE30)</f>
        <v>0.36363636363636365</v>
      </c>
      <c r="AH30" s="120">
        <f t="shared" ref="AH30:AH35" si="6">IF(AG42=0,0,AH42/AG42)</f>
        <v>0.91666666666666663</v>
      </c>
      <c r="AI30" s="120">
        <f t="shared" si="2"/>
        <v>0.51515151515151514</v>
      </c>
      <c r="AJ30" s="66">
        <f t="shared" ref="AJ30:AJ35" si="7">SUM(U30:AB30)</f>
        <v>4</v>
      </c>
      <c r="AK30" s="66">
        <f>RE_Eglise!AH61</f>
        <v>12</v>
      </c>
      <c r="AL30" s="67">
        <f t="shared" ref="AL30:AL35" si="8">AK30-AJ30</f>
        <v>8</v>
      </c>
      <c r="AM30" s="989"/>
      <c r="AN30" s="990"/>
    </row>
    <row r="31" spans="1:40" ht="54.95" customHeight="1">
      <c r="A31" s="939" t="s">
        <v>17</v>
      </c>
      <c r="B31" s="940"/>
      <c r="C31" s="37">
        <f t="shared" ref="C31:AB31" si="9">SUM(C15:C18)</f>
        <v>0</v>
      </c>
      <c r="D31" s="38">
        <f t="shared" si="9"/>
        <v>1</v>
      </c>
      <c r="E31" s="39">
        <f t="shared" si="9"/>
        <v>0</v>
      </c>
      <c r="F31" s="40">
        <f t="shared" si="9"/>
        <v>0</v>
      </c>
      <c r="G31" s="41">
        <f t="shared" si="9"/>
        <v>5</v>
      </c>
      <c r="H31" s="38">
        <f t="shared" si="9"/>
        <v>3</v>
      </c>
      <c r="I31" s="39">
        <f t="shared" si="9"/>
        <v>2</v>
      </c>
      <c r="J31" s="40">
        <f t="shared" si="9"/>
        <v>1</v>
      </c>
      <c r="K31" s="660"/>
      <c r="L31" s="41">
        <f t="shared" si="9"/>
        <v>0</v>
      </c>
      <c r="M31" s="38">
        <f t="shared" si="9"/>
        <v>0</v>
      </c>
      <c r="N31" s="39">
        <f t="shared" si="9"/>
        <v>0</v>
      </c>
      <c r="O31" s="40">
        <f t="shared" si="9"/>
        <v>0</v>
      </c>
      <c r="P31" s="41">
        <f t="shared" si="9"/>
        <v>2</v>
      </c>
      <c r="Q31" s="38">
        <f t="shared" si="9"/>
        <v>2</v>
      </c>
      <c r="R31" s="39">
        <f t="shared" si="9"/>
        <v>3</v>
      </c>
      <c r="S31" s="42">
        <f t="shared" si="9"/>
        <v>0</v>
      </c>
      <c r="T31" s="660"/>
      <c r="U31" s="41">
        <f t="shared" si="9"/>
        <v>1</v>
      </c>
      <c r="V31" s="38">
        <f t="shared" si="9"/>
        <v>1</v>
      </c>
      <c r="W31" s="39">
        <f t="shared" si="9"/>
        <v>1</v>
      </c>
      <c r="X31" s="40">
        <f t="shared" si="9"/>
        <v>0</v>
      </c>
      <c r="Y31" s="41">
        <f t="shared" si="9"/>
        <v>0</v>
      </c>
      <c r="Z31" s="38">
        <f t="shared" si="9"/>
        <v>2</v>
      </c>
      <c r="AA31" s="39">
        <f t="shared" si="9"/>
        <v>0</v>
      </c>
      <c r="AB31" s="42">
        <f t="shared" si="9"/>
        <v>0</v>
      </c>
      <c r="AC31" s="970" t="s">
        <v>17</v>
      </c>
      <c r="AD31" s="971"/>
      <c r="AE31" s="65">
        <f t="shared" si="1"/>
        <v>24</v>
      </c>
      <c r="AF31" s="120">
        <f t="shared" si="4"/>
        <v>0.58333333333333337</v>
      </c>
      <c r="AG31" s="120">
        <f t="shared" si="5"/>
        <v>0.29166666666666669</v>
      </c>
      <c r="AH31" s="120">
        <f t="shared" si="6"/>
        <v>0.8571428571428571</v>
      </c>
      <c r="AI31" s="120">
        <f t="shared" si="2"/>
        <v>0.54166666666666663</v>
      </c>
      <c r="AJ31" s="66">
        <f t="shared" si="7"/>
        <v>5</v>
      </c>
      <c r="AK31" s="66">
        <f>RE_Eglise!AH62</f>
        <v>6</v>
      </c>
      <c r="AL31" s="67">
        <f t="shared" si="8"/>
        <v>1</v>
      </c>
      <c r="AM31" s="989"/>
      <c r="AN31" s="990"/>
    </row>
    <row r="32" spans="1:40" ht="54.95" customHeight="1">
      <c r="A32" s="939" t="s">
        <v>10</v>
      </c>
      <c r="B32" s="940"/>
      <c r="C32" s="37">
        <f t="shared" ref="C32:AB32" si="10">SUM(C17:C20)</f>
        <v>0</v>
      </c>
      <c r="D32" s="38">
        <f t="shared" si="10"/>
        <v>1</v>
      </c>
      <c r="E32" s="39">
        <f t="shared" si="10"/>
        <v>0</v>
      </c>
      <c r="F32" s="40">
        <f t="shared" si="10"/>
        <v>0</v>
      </c>
      <c r="G32" s="41">
        <f t="shared" si="10"/>
        <v>5</v>
      </c>
      <c r="H32" s="38">
        <f t="shared" si="10"/>
        <v>6</v>
      </c>
      <c r="I32" s="39">
        <f t="shared" si="10"/>
        <v>2</v>
      </c>
      <c r="J32" s="40">
        <f t="shared" si="10"/>
        <v>1</v>
      </c>
      <c r="K32" s="660"/>
      <c r="L32" s="41">
        <f t="shared" si="10"/>
        <v>0</v>
      </c>
      <c r="M32" s="38">
        <f t="shared" si="10"/>
        <v>0</v>
      </c>
      <c r="N32" s="39">
        <f t="shared" si="10"/>
        <v>0</v>
      </c>
      <c r="O32" s="40">
        <f t="shared" si="10"/>
        <v>0</v>
      </c>
      <c r="P32" s="41">
        <f t="shared" si="10"/>
        <v>3</v>
      </c>
      <c r="Q32" s="38">
        <f t="shared" si="10"/>
        <v>2</v>
      </c>
      <c r="R32" s="39">
        <f t="shared" si="10"/>
        <v>1</v>
      </c>
      <c r="S32" s="42">
        <f t="shared" si="10"/>
        <v>0</v>
      </c>
      <c r="T32" s="660"/>
      <c r="U32" s="41">
        <f t="shared" si="10"/>
        <v>0</v>
      </c>
      <c r="V32" s="38">
        <f t="shared" si="10"/>
        <v>2</v>
      </c>
      <c r="W32" s="39">
        <f t="shared" si="10"/>
        <v>0</v>
      </c>
      <c r="X32" s="40">
        <f t="shared" si="10"/>
        <v>0</v>
      </c>
      <c r="Y32" s="41">
        <f t="shared" si="10"/>
        <v>1</v>
      </c>
      <c r="Z32" s="38">
        <f t="shared" si="10"/>
        <v>0</v>
      </c>
      <c r="AA32" s="39">
        <f t="shared" si="10"/>
        <v>0</v>
      </c>
      <c r="AB32" s="42">
        <f t="shared" si="10"/>
        <v>0</v>
      </c>
      <c r="AC32" s="970" t="s">
        <v>10</v>
      </c>
      <c r="AD32" s="971"/>
      <c r="AE32" s="65">
        <f t="shared" si="1"/>
        <v>24</v>
      </c>
      <c r="AF32" s="120">
        <f t="shared" si="4"/>
        <v>0.5</v>
      </c>
      <c r="AG32" s="120">
        <f t="shared" si="5"/>
        <v>0.16666666666666666</v>
      </c>
      <c r="AH32" s="120">
        <f t="shared" si="6"/>
        <v>0.75</v>
      </c>
      <c r="AI32" s="120">
        <f t="shared" si="2"/>
        <v>0.625</v>
      </c>
      <c r="AJ32" s="66">
        <f t="shared" si="7"/>
        <v>3</v>
      </c>
      <c r="AK32" s="66">
        <f>RE_Eglise!AH63</f>
        <v>3</v>
      </c>
      <c r="AL32" s="67">
        <f t="shared" si="8"/>
        <v>0</v>
      </c>
      <c r="AM32" s="989"/>
      <c r="AN32" s="990"/>
    </row>
    <row r="33" spans="1:40" ht="54.95" customHeight="1">
      <c r="A33" s="959" t="s">
        <v>29</v>
      </c>
      <c r="B33" s="960"/>
      <c r="C33" s="43">
        <f t="shared" ref="C33:AB33" si="11">SUM(C19:C22)</f>
        <v>0</v>
      </c>
      <c r="D33" s="44">
        <f t="shared" si="11"/>
        <v>1</v>
      </c>
      <c r="E33" s="45">
        <f t="shared" si="11"/>
        <v>0</v>
      </c>
      <c r="F33" s="46">
        <f t="shared" si="11"/>
        <v>0</v>
      </c>
      <c r="G33" s="47">
        <f t="shared" si="11"/>
        <v>1</v>
      </c>
      <c r="H33" s="44">
        <f t="shared" si="11"/>
        <v>3</v>
      </c>
      <c r="I33" s="45">
        <f t="shared" si="11"/>
        <v>1</v>
      </c>
      <c r="J33" s="46">
        <f t="shared" si="11"/>
        <v>0</v>
      </c>
      <c r="K33" s="661"/>
      <c r="L33" s="47">
        <f t="shared" si="11"/>
        <v>0</v>
      </c>
      <c r="M33" s="44">
        <f t="shared" si="11"/>
        <v>0</v>
      </c>
      <c r="N33" s="45">
        <f t="shared" si="11"/>
        <v>0</v>
      </c>
      <c r="O33" s="46">
        <f t="shared" si="11"/>
        <v>0</v>
      </c>
      <c r="P33" s="47">
        <f t="shared" si="11"/>
        <v>1</v>
      </c>
      <c r="Q33" s="44">
        <f t="shared" si="11"/>
        <v>1</v>
      </c>
      <c r="R33" s="45">
        <f t="shared" si="11"/>
        <v>0</v>
      </c>
      <c r="S33" s="48">
        <f t="shared" si="11"/>
        <v>0</v>
      </c>
      <c r="T33" s="661"/>
      <c r="U33" s="47">
        <f t="shared" si="11"/>
        <v>0</v>
      </c>
      <c r="V33" s="44">
        <f t="shared" si="11"/>
        <v>1</v>
      </c>
      <c r="W33" s="45">
        <f t="shared" si="11"/>
        <v>0</v>
      </c>
      <c r="X33" s="46">
        <f t="shared" si="11"/>
        <v>0</v>
      </c>
      <c r="Y33" s="47">
        <f t="shared" si="11"/>
        <v>1</v>
      </c>
      <c r="Z33" s="44">
        <f t="shared" si="11"/>
        <v>0</v>
      </c>
      <c r="AA33" s="45">
        <f t="shared" si="11"/>
        <v>0</v>
      </c>
      <c r="AB33" s="48">
        <f t="shared" si="11"/>
        <v>0</v>
      </c>
      <c r="AC33" s="993" t="s">
        <v>29</v>
      </c>
      <c r="AD33" s="994"/>
      <c r="AE33" s="68">
        <f t="shared" si="1"/>
        <v>10</v>
      </c>
      <c r="AF33" s="122">
        <f t="shared" si="4"/>
        <v>0.4</v>
      </c>
      <c r="AG33" s="122">
        <f t="shared" si="5"/>
        <v>0.1</v>
      </c>
      <c r="AH33" s="122">
        <f t="shared" si="6"/>
        <v>1</v>
      </c>
      <c r="AI33" s="122">
        <f t="shared" si="2"/>
        <v>0.6</v>
      </c>
      <c r="AJ33" s="69">
        <f t="shared" si="7"/>
        <v>2</v>
      </c>
      <c r="AK33" s="69">
        <f>RE_Eglise!AH64</f>
        <v>2</v>
      </c>
      <c r="AL33" s="70">
        <f t="shared" si="8"/>
        <v>0</v>
      </c>
      <c r="AM33" s="991"/>
      <c r="AN33" s="992"/>
    </row>
    <row r="34" spans="1:40" ht="54.95" customHeight="1">
      <c r="A34" s="950" t="s">
        <v>12</v>
      </c>
      <c r="B34" s="951"/>
      <c r="C34" s="49">
        <f t="shared" ref="C34:AB34" si="12">SUM(C11:C22)</f>
        <v>0</v>
      </c>
      <c r="D34" s="50">
        <f t="shared" si="12"/>
        <v>2</v>
      </c>
      <c r="E34" s="51">
        <f t="shared" si="12"/>
        <v>0</v>
      </c>
      <c r="F34" s="52">
        <f t="shared" si="12"/>
        <v>0</v>
      </c>
      <c r="G34" s="53">
        <f t="shared" si="12"/>
        <v>9</v>
      </c>
      <c r="H34" s="50">
        <f t="shared" si="12"/>
        <v>11</v>
      </c>
      <c r="I34" s="51">
        <f t="shared" si="12"/>
        <v>8</v>
      </c>
      <c r="J34" s="52">
        <f t="shared" si="12"/>
        <v>1</v>
      </c>
      <c r="K34" s="662"/>
      <c r="L34" s="53">
        <f t="shared" si="12"/>
        <v>0</v>
      </c>
      <c r="M34" s="50">
        <f t="shared" si="12"/>
        <v>1</v>
      </c>
      <c r="N34" s="51">
        <f t="shared" si="12"/>
        <v>0</v>
      </c>
      <c r="O34" s="52">
        <f t="shared" si="12"/>
        <v>0</v>
      </c>
      <c r="P34" s="53">
        <f t="shared" si="12"/>
        <v>3</v>
      </c>
      <c r="Q34" s="50">
        <f t="shared" si="12"/>
        <v>9</v>
      </c>
      <c r="R34" s="51">
        <f t="shared" si="12"/>
        <v>5</v>
      </c>
      <c r="S34" s="54">
        <f t="shared" si="12"/>
        <v>1</v>
      </c>
      <c r="T34" s="662"/>
      <c r="U34" s="53">
        <f t="shared" si="12"/>
        <v>1</v>
      </c>
      <c r="V34" s="50">
        <f t="shared" si="12"/>
        <v>2</v>
      </c>
      <c r="W34" s="51">
        <f t="shared" si="12"/>
        <v>1</v>
      </c>
      <c r="X34" s="52">
        <f t="shared" si="12"/>
        <v>0</v>
      </c>
      <c r="Y34" s="53">
        <f t="shared" si="12"/>
        <v>1</v>
      </c>
      <c r="Z34" s="50">
        <f t="shared" si="12"/>
        <v>2</v>
      </c>
      <c r="AA34" s="51">
        <f t="shared" si="12"/>
        <v>0</v>
      </c>
      <c r="AB34" s="54">
        <f t="shared" si="12"/>
        <v>0</v>
      </c>
      <c r="AC34" s="968" t="s">
        <v>12</v>
      </c>
      <c r="AD34" s="969"/>
      <c r="AE34" s="20">
        <f t="shared" si="1"/>
        <v>57</v>
      </c>
      <c r="AF34" s="193">
        <f t="shared" si="4"/>
        <v>0.49122807017543857</v>
      </c>
      <c r="AG34" s="193">
        <f t="shared" si="5"/>
        <v>0.2807017543859649</v>
      </c>
      <c r="AH34" s="193">
        <f t="shared" si="6"/>
        <v>0.875</v>
      </c>
      <c r="AI34" s="193">
        <f t="shared" si="2"/>
        <v>0.56140350877192979</v>
      </c>
      <c r="AJ34" s="22">
        <f t="shared" si="7"/>
        <v>7</v>
      </c>
      <c r="AK34" s="22">
        <f>RE_Eglise!AH65</f>
        <v>15</v>
      </c>
      <c r="AL34" s="24">
        <f t="shared" si="8"/>
        <v>8</v>
      </c>
      <c r="AM34" s="982"/>
      <c r="AN34" s="983"/>
    </row>
    <row r="35" spans="1:40" ht="54.95" customHeight="1" thickBot="1">
      <c r="A35" s="954" t="str">
        <f>IF($AE$29=MAX($AE$29:$AE$33),A29,IF($AE$30=MAX($AE$29:$AE$33),A30,IF($AE$31=MAX($AE$29:$AE$33),A31,IF($AE$32=MAX($AE$29:$AE$33),A32,A33))))</f>
        <v>de 7:00 à 8:00</v>
      </c>
      <c r="B35" s="955"/>
      <c r="C35" s="55">
        <f t="shared" ref="C35:J35" si="13">IF($AE$29=MAX($AE$29:$AE$33),C29,IF($AE$30=MAX($AE$29:$AE$33),C30,IF($AE$31=MAX($AE$29:$AE$33),C31,IF($AE$32=MAX($AE$29:$AE$33),C32,C33))))</f>
        <v>0</v>
      </c>
      <c r="D35" s="56">
        <f t="shared" si="13"/>
        <v>1</v>
      </c>
      <c r="E35" s="57">
        <f t="shared" si="13"/>
        <v>0</v>
      </c>
      <c r="F35" s="58">
        <f t="shared" si="13"/>
        <v>0</v>
      </c>
      <c r="G35" s="59">
        <f t="shared" si="13"/>
        <v>4</v>
      </c>
      <c r="H35" s="56">
        <f t="shared" si="13"/>
        <v>5</v>
      </c>
      <c r="I35" s="57">
        <f t="shared" si="13"/>
        <v>6</v>
      </c>
      <c r="J35" s="58">
        <f t="shared" si="13"/>
        <v>0</v>
      </c>
      <c r="K35" s="663"/>
      <c r="L35" s="59">
        <f t="shared" ref="L35:S35" si="14">IF($AE$29=MAX($AE$29:$AE$33),L29,IF($AE$30=MAX($AE$29:$AE$33),L30,IF($AE$31=MAX($AE$29:$AE$33),L31,IF($AE$32=MAX($AE$29:$AE$33),L32,L33))))</f>
        <v>0</v>
      </c>
      <c r="M35" s="56">
        <f t="shared" si="14"/>
        <v>1</v>
      </c>
      <c r="N35" s="57">
        <f t="shared" si="14"/>
        <v>0</v>
      </c>
      <c r="O35" s="58">
        <f t="shared" si="14"/>
        <v>0</v>
      </c>
      <c r="P35" s="59">
        <f t="shared" si="14"/>
        <v>0</v>
      </c>
      <c r="Q35" s="56">
        <f t="shared" si="14"/>
        <v>7</v>
      </c>
      <c r="R35" s="57">
        <f t="shared" si="14"/>
        <v>4</v>
      </c>
      <c r="S35" s="60">
        <f t="shared" si="14"/>
        <v>1</v>
      </c>
      <c r="T35" s="663"/>
      <c r="U35" s="59">
        <f t="shared" ref="U35:AB35" si="15">IF($AE$29=MAX($AE$29:$AE$33),U29,IF($AE$30=MAX($AE$29:$AE$33),U30,IF($AE$31=MAX($AE$29:$AE$33),U31,IF($AE$32=MAX($AE$29:$AE$33),U32,U33))))</f>
        <v>1</v>
      </c>
      <c r="V35" s="56">
        <f t="shared" si="15"/>
        <v>0</v>
      </c>
      <c r="W35" s="57">
        <f t="shared" si="15"/>
        <v>1</v>
      </c>
      <c r="X35" s="58">
        <f t="shared" si="15"/>
        <v>0</v>
      </c>
      <c r="Y35" s="59">
        <f t="shared" si="15"/>
        <v>0</v>
      </c>
      <c r="Z35" s="56">
        <f t="shared" si="15"/>
        <v>2</v>
      </c>
      <c r="AA35" s="57">
        <f t="shared" si="15"/>
        <v>0</v>
      </c>
      <c r="AB35" s="60">
        <f t="shared" si="15"/>
        <v>0</v>
      </c>
      <c r="AC35" s="998" t="str">
        <f>A35</f>
        <v>de 7:00 à 8:00</v>
      </c>
      <c r="AD35" s="999"/>
      <c r="AE35" s="21">
        <f t="shared" si="1"/>
        <v>33</v>
      </c>
      <c r="AF35" s="194">
        <f t="shared" si="4"/>
        <v>0.48484848484848486</v>
      </c>
      <c r="AG35" s="194">
        <f t="shared" si="5"/>
        <v>0.36363636363636365</v>
      </c>
      <c r="AH35" s="194">
        <f t="shared" si="6"/>
        <v>0.91666666666666663</v>
      </c>
      <c r="AI35" s="194">
        <f t="shared" si="2"/>
        <v>0.51515151515151514</v>
      </c>
      <c r="AJ35" s="23">
        <f t="shared" si="7"/>
        <v>4</v>
      </c>
      <c r="AK35" s="23">
        <f>RE_Eglise!AH66</f>
        <v>6</v>
      </c>
      <c r="AL35" s="25">
        <f t="shared" si="8"/>
        <v>2</v>
      </c>
      <c r="AM35" s="984"/>
      <c r="AN35" s="985"/>
    </row>
    <row r="36" spans="1:40" ht="12.75" customHeight="1" thickTop="1" thickBot="1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0"/>
      <c r="V36" s="101"/>
      <c r="W36" s="101"/>
      <c r="X36" s="101"/>
      <c r="Y36" s="101"/>
      <c r="Z36" s="101"/>
      <c r="AA36" s="101"/>
      <c r="AB36" s="101"/>
      <c r="AC36" s="61"/>
      <c r="AD36" s="61"/>
      <c r="AE36" s="101"/>
      <c r="AF36" s="101"/>
      <c r="AG36" s="100"/>
      <c r="AH36" s="101"/>
      <c r="AI36" s="101"/>
      <c r="AJ36" s="101"/>
      <c r="AK36" s="101"/>
      <c r="AL36" s="101"/>
      <c r="AM36" s="61"/>
      <c r="AN36" s="105"/>
    </row>
    <row r="37" spans="1:40" ht="32.25" customHeight="1" thickTop="1">
      <c r="A37" s="106"/>
      <c r="B37" s="61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106"/>
      <c r="AD37" s="61"/>
      <c r="AE37" s="205"/>
      <c r="AF37" s="1000" t="s">
        <v>108</v>
      </c>
      <c r="AG37" s="1000" t="s">
        <v>109</v>
      </c>
      <c r="AH37" s="1000" t="s">
        <v>110</v>
      </c>
      <c r="AI37" s="979" t="s">
        <v>19</v>
      </c>
      <c r="AJ37" s="208"/>
      <c r="AK37" s="209"/>
      <c r="AL37" s="209"/>
      <c r="AM37" s="209"/>
      <c r="AN37" s="209"/>
    </row>
    <row r="38" spans="1:40" ht="22.7" customHeight="1">
      <c r="A38" s="106"/>
      <c r="B38" s="61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106"/>
      <c r="AD38" s="61"/>
      <c r="AE38" s="205"/>
      <c r="AF38" s="1001"/>
      <c r="AG38" s="1001"/>
      <c r="AH38" s="1001"/>
      <c r="AI38" s="980"/>
      <c r="AJ38" s="208"/>
      <c r="AK38" s="209"/>
      <c r="AL38" s="209"/>
      <c r="AM38" s="209"/>
      <c r="AN38" s="209"/>
    </row>
    <row r="39" spans="1:40" ht="18.600000000000001" customHeight="1">
      <c r="A39" s="106"/>
      <c r="B39" s="61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106"/>
      <c r="AD39" s="61"/>
      <c r="AE39" s="205"/>
      <c r="AF39" s="1001"/>
      <c r="AG39" s="1001"/>
      <c r="AH39" s="1001"/>
      <c r="AI39" s="980"/>
      <c r="AJ39" s="208"/>
      <c r="AK39" s="209"/>
      <c r="AL39" s="209"/>
      <c r="AM39" s="209"/>
      <c r="AN39" s="209"/>
    </row>
    <row r="40" spans="1:40" ht="20.25">
      <c r="A40" s="206"/>
      <c r="B40" s="206"/>
      <c r="C40" s="747"/>
      <c r="D40" s="747"/>
      <c r="E40" s="747"/>
      <c r="F40" s="747"/>
      <c r="G40" s="747"/>
      <c r="H40" s="747"/>
      <c r="I40" s="747"/>
      <c r="J40" s="747"/>
      <c r="K40" s="747"/>
      <c r="L40" s="747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  <c r="AA40" s="747"/>
      <c r="AB40" s="747"/>
      <c r="AC40" s="206"/>
      <c r="AD40" s="206"/>
      <c r="AE40" s="205"/>
      <c r="AF40" s="1002"/>
      <c r="AG40" s="1002"/>
      <c r="AH40" s="1002"/>
      <c r="AI40" s="981"/>
      <c r="AJ40" s="208"/>
      <c r="AK40" s="209"/>
      <c r="AL40" s="209"/>
      <c r="AM40" s="209"/>
      <c r="AN40" s="209"/>
    </row>
    <row r="41" spans="1:40" ht="54.95" customHeight="1">
      <c r="A41" s="206"/>
      <c r="B41" s="206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206"/>
      <c r="AD41" s="206"/>
      <c r="AE41" s="207"/>
      <c r="AF41" s="196">
        <f>(C29+E29+G29+I29+L29+N29+P29+R29+U29+W29+Y29+AA29)</f>
        <v>10</v>
      </c>
      <c r="AG41" s="196">
        <f>(E29+F29+I29+J29+N29+O29+R29+S29+W29+X29+AA29+AB29)</f>
        <v>8</v>
      </c>
      <c r="AH41" s="196">
        <f>(E29+I29+N29+R29+W29+AA29)</f>
        <v>7</v>
      </c>
      <c r="AI41" s="196">
        <f>SUM(G29:J29,Y29:AB29)</f>
        <v>13</v>
      </c>
      <c r="AJ41" s="210"/>
      <c r="AK41" s="104"/>
      <c r="AL41" s="104"/>
      <c r="AM41" s="211"/>
      <c r="AN41" s="211"/>
    </row>
    <row r="42" spans="1:40" ht="54.95" customHeight="1">
      <c r="A42" s="206"/>
      <c r="B42" s="206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206"/>
      <c r="AD42" s="206"/>
      <c r="AE42" s="207"/>
      <c r="AF42" s="197">
        <f t="shared" ref="AF42:AF47" si="16">(C30+E30+G30+I30+L30+N30+P30+R30+U30+W30+Y30+AA30)</f>
        <v>16</v>
      </c>
      <c r="AG42" s="197">
        <f t="shared" ref="AG42:AG47" si="17">(E30+F30+I30+J30+N30+O30+R30+S30+W30+X30+AA30+AB30)</f>
        <v>12</v>
      </c>
      <c r="AH42" s="197">
        <f t="shared" ref="AH42:AH47" si="18">(E30+I30+N30+R30+W30+AA30)</f>
        <v>11</v>
      </c>
      <c r="AI42" s="197">
        <f t="shared" ref="AI42:AI47" si="19">SUM(G30:J30,Y30:AB30)</f>
        <v>17</v>
      </c>
      <c r="AJ42" s="210"/>
      <c r="AK42" s="104"/>
      <c r="AL42" s="104"/>
      <c r="AM42" s="211"/>
      <c r="AN42" s="211"/>
    </row>
    <row r="43" spans="1:40" ht="54.95" customHeight="1">
      <c r="A43" s="206"/>
      <c r="B43" s="206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206"/>
      <c r="AD43" s="206"/>
      <c r="AE43" s="207"/>
      <c r="AF43" s="197">
        <f t="shared" si="16"/>
        <v>14</v>
      </c>
      <c r="AG43" s="197">
        <f t="shared" si="17"/>
        <v>7</v>
      </c>
      <c r="AH43" s="197">
        <f t="shared" si="18"/>
        <v>6</v>
      </c>
      <c r="AI43" s="197">
        <f t="shared" si="19"/>
        <v>13</v>
      </c>
      <c r="AJ43" s="210"/>
      <c r="AK43" s="104"/>
      <c r="AL43" s="104"/>
      <c r="AM43" s="211"/>
      <c r="AN43" s="211"/>
    </row>
    <row r="44" spans="1:40" ht="54.95" customHeight="1">
      <c r="A44" s="206"/>
      <c r="B44" s="206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206"/>
      <c r="AD44" s="206"/>
      <c r="AE44" s="207"/>
      <c r="AF44" s="197">
        <f t="shared" si="16"/>
        <v>12</v>
      </c>
      <c r="AG44" s="197">
        <f t="shared" si="17"/>
        <v>4</v>
      </c>
      <c r="AH44" s="197">
        <f t="shared" si="18"/>
        <v>3</v>
      </c>
      <c r="AI44" s="197">
        <f t="shared" si="19"/>
        <v>15</v>
      </c>
      <c r="AJ44" s="210"/>
      <c r="AK44" s="104"/>
      <c r="AL44" s="104"/>
      <c r="AM44" s="211"/>
      <c r="AN44" s="211"/>
    </row>
    <row r="45" spans="1:40" ht="54.95" customHeight="1">
      <c r="A45" s="206"/>
      <c r="B45" s="206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206"/>
      <c r="AD45" s="206"/>
      <c r="AE45" s="207"/>
      <c r="AF45" s="198">
        <f t="shared" si="16"/>
        <v>4</v>
      </c>
      <c r="AG45" s="198">
        <f t="shared" si="17"/>
        <v>1</v>
      </c>
      <c r="AH45" s="198">
        <f t="shared" si="18"/>
        <v>1</v>
      </c>
      <c r="AI45" s="198">
        <f t="shared" si="19"/>
        <v>6</v>
      </c>
      <c r="AJ45" s="210"/>
      <c r="AK45" s="104"/>
      <c r="AL45" s="104"/>
      <c r="AM45" s="211"/>
      <c r="AN45" s="211"/>
    </row>
    <row r="46" spans="1:40" ht="54.95" customHeight="1">
      <c r="A46" s="206"/>
      <c r="B46" s="206"/>
      <c r="C46" s="747"/>
      <c r="D46" s="747"/>
      <c r="E46" s="747"/>
      <c r="F46" s="747"/>
      <c r="G46" s="747"/>
      <c r="H46" s="747"/>
      <c r="I46" s="747"/>
      <c r="J46" s="747"/>
      <c r="K46" s="747"/>
      <c r="L46" s="747"/>
      <c r="M46" s="747"/>
      <c r="N46" s="747"/>
      <c r="O46" s="747"/>
      <c r="P46" s="747"/>
      <c r="Q46" s="747"/>
      <c r="R46" s="747"/>
      <c r="S46" s="747"/>
      <c r="T46" s="747"/>
      <c r="U46" s="747"/>
      <c r="V46" s="747"/>
      <c r="W46" s="747"/>
      <c r="X46" s="747"/>
      <c r="Y46" s="747"/>
      <c r="Z46" s="747"/>
      <c r="AA46" s="747"/>
      <c r="AB46" s="747"/>
      <c r="AC46" s="206"/>
      <c r="AD46" s="206"/>
      <c r="AE46" s="207"/>
      <c r="AF46" s="199">
        <f t="shared" si="16"/>
        <v>28</v>
      </c>
      <c r="AG46" s="199">
        <f t="shared" si="17"/>
        <v>16</v>
      </c>
      <c r="AH46" s="199">
        <f t="shared" si="18"/>
        <v>14</v>
      </c>
      <c r="AI46" s="199">
        <f t="shared" si="19"/>
        <v>32</v>
      </c>
      <c r="AJ46" s="210"/>
      <c r="AK46" s="104"/>
      <c r="AL46" s="104"/>
      <c r="AM46" s="211"/>
      <c r="AN46" s="211"/>
    </row>
    <row r="47" spans="1:40" ht="54.95" customHeight="1" thickBot="1">
      <c r="A47" s="206"/>
      <c r="B47" s="206"/>
      <c r="C47" s="747"/>
      <c r="D47" s="747"/>
      <c r="E47" s="747"/>
      <c r="F47" s="747"/>
      <c r="G47" s="747"/>
      <c r="H47" s="747"/>
      <c r="I47" s="747"/>
      <c r="J47" s="747"/>
      <c r="K47" s="747"/>
      <c r="L47" s="747"/>
      <c r="M47" s="747"/>
      <c r="N47" s="747"/>
      <c r="O47" s="747"/>
      <c r="P47" s="747"/>
      <c r="Q47" s="747"/>
      <c r="R47" s="747"/>
      <c r="S47" s="747"/>
      <c r="T47" s="747"/>
      <c r="U47" s="747"/>
      <c r="V47" s="747"/>
      <c r="W47" s="747"/>
      <c r="X47" s="747"/>
      <c r="Y47" s="747"/>
      <c r="Z47" s="747"/>
      <c r="AA47" s="747"/>
      <c r="AB47" s="747"/>
      <c r="AC47" s="206"/>
      <c r="AD47" s="206"/>
      <c r="AE47" s="207"/>
      <c r="AF47" s="200">
        <f t="shared" si="16"/>
        <v>16</v>
      </c>
      <c r="AG47" s="200">
        <f t="shared" si="17"/>
        <v>12</v>
      </c>
      <c r="AH47" s="200">
        <f t="shared" si="18"/>
        <v>11</v>
      </c>
      <c r="AI47" s="200">
        <f t="shared" si="19"/>
        <v>17</v>
      </c>
      <c r="AJ47" s="210"/>
      <c r="AK47" s="104"/>
      <c r="AL47" s="104"/>
      <c r="AM47" s="211"/>
      <c r="AN47" s="211"/>
    </row>
    <row r="48" spans="1:40" ht="25.5" customHeight="1" thickTop="1">
      <c r="A48" s="20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U48" s="7"/>
      <c r="V48" s="7"/>
      <c r="W48" s="7"/>
      <c r="X48" s="7"/>
      <c r="Y48" s="7"/>
      <c r="Z48" s="7"/>
      <c r="AA48" s="7"/>
    </row>
  </sheetData>
  <mergeCells count="82">
    <mergeCell ref="A13:A16"/>
    <mergeCell ref="A17:A20"/>
    <mergeCell ref="Y8:AB8"/>
    <mergeCell ref="C5:O5"/>
    <mergeCell ref="R5:AA5"/>
    <mergeCell ref="C7:J7"/>
    <mergeCell ref="L7:S7"/>
    <mergeCell ref="U7:AB7"/>
    <mergeCell ref="C8:F8"/>
    <mergeCell ref="G8:J8"/>
    <mergeCell ref="L8:O8"/>
    <mergeCell ref="P8:S8"/>
    <mergeCell ref="U8:X8"/>
    <mergeCell ref="AA9:AB9"/>
    <mergeCell ref="C9:D9"/>
    <mergeCell ref="E9:F9"/>
    <mergeCell ref="R9:S9"/>
    <mergeCell ref="U9:V9"/>
    <mergeCell ref="W9:X9"/>
    <mergeCell ref="Y9:Z9"/>
    <mergeCell ref="C24:O24"/>
    <mergeCell ref="G9:H9"/>
    <mergeCell ref="I9:J9"/>
    <mergeCell ref="L9:M9"/>
    <mergeCell ref="N9:O9"/>
    <mergeCell ref="P9:Q9"/>
    <mergeCell ref="C25:J25"/>
    <mergeCell ref="L25:S25"/>
    <mergeCell ref="U25:AB25"/>
    <mergeCell ref="AE25:AE28"/>
    <mergeCell ref="C26:F26"/>
    <mergeCell ref="G26:J26"/>
    <mergeCell ref="L26:O26"/>
    <mergeCell ref="P26:S26"/>
    <mergeCell ref="U26:X26"/>
    <mergeCell ref="Y26:AB26"/>
    <mergeCell ref="C27:D27"/>
    <mergeCell ref="E27:F27"/>
    <mergeCell ref="G27:H27"/>
    <mergeCell ref="I27:J27"/>
    <mergeCell ref="L27:M27"/>
    <mergeCell ref="N27:O27"/>
    <mergeCell ref="P27:Q27"/>
    <mergeCell ref="R27:S27"/>
    <mergeCell ref="U27:V27"/>
    <mergeCell ref="W27:X27"/>
    <mergeCell ref="Y27:Z27"/>
    <mergeCell ref="A30:B30"/>
    <mergeCell ref="AC30:AD30"/>
    <mergeCell ref="AM30:AN30"/>
    <mergeCell ref="AC28:AD28"/>
    <mergeCell ref="AL25:AN28"/>
    <mergeCell ref="AF25:AF28"/>
    <mergeCell ref="AG25:AG28"/>
    <mergeCell ref="AH25:AH28"/>
    <mergeCell ref="AI25:AI28"/>
    <mergeCell ref="AJ25:AJ28"/>
    <mergeCell ref="AK25:AK28"/>
    <mergeCell ref="AA27:AB27"/>
    <mergeCell ref="A28:B28"/>
    <mergeCell ref="A29:B29"/>
    <mergeCell ref="AC29:AD29"/>
    <mergeCell ref="AM29:AN29"/>
    <mergeCell ref="A31:B31"/>
    <mergeCell ref="AC31:AD31"/>
    <mergeCell ref="AM31:AN31"/>
    <mergeCell ref="A32:B32"/>
    <mergeCell ref="AC32:AD32"/>
    <mergeCell ref="AM32:AN32"/>
    <mergeCell ref="A33:B33"/>
    <mergeCell ref="AC33:AD33"/>
    <mergeCell ref="AM33:AN33"/>
    <mergeCell ref="A34:B34"/>
    <mergeCell ref="AC34:AD34"/>
    <mergeCell ref="AM34:AN34"/>
    <mergeCell ref="A35:B35"/>
    <mergeCell ref="AC35:AD35"/>
    <mergeCell ref="AM35:AN35"/>
    <mergeCell ref="AF37:AF40"/>
    <mergeCell ref="AG37:AG40"/>
    <mergeCell ref="AH37:AH40"/>
    <mergeCell ref="AI37:AI40"/>
  </mergeCells>
  <pageMargins left="0.19685039370078741" right="0.19685039370078741" top="0.39370078740157483" bottom="0.39370078740157483" header="0.59055118110236227" footer="0.59055118110236227"/>
  <pageSetup paperSize="9" scale="39" fitToHeight="0" pageOrder="overThenDown" orientation="landscape" useFirstPageNumber="1" r:id="rId1"/>
  <headerFooter alignWithMargins="0"/>
  <colBreaks count="1" manualBreakCount="1">
    <brk id="28" max="2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R72"/>
  <sheetViews>
    <sheetView view="pageBreakPreview" zoomScale="25" zoomScaleNormal="40" zoomScaleSheetLayoutView="25" zoomScalePageLayoutView="55" workbookViewId="0">
      <selection activeCell="A24" sqref="A24"/>
    </sheetView>
  </sheetViews>
  <sheetFormatPr baseColWidth="10" defaultRowHeight="14.25" outlineLevelRow="1"/>
  <cols>
    <col min="1" max="1" width="9.125" style="8" customWidth="1"/>
    <col min="2" max="2" width="13.75" style="8" customWidth="1"/>
    <col min="3" max="14" width="12.875" style="8" customWidth="1"/>
    <col min="15" max="15" width="2.625" style="8" customWidth="1"/>
    <col min="16" max="27" width="12.875" style="8" customWidth="1"/>
    <col min="28" max="28" width="9.125" style="8" customWidth="1"/>
    <col min="29" max="29" width="13.75" style="8" customWidth="1"/>
    <col min="30" max="34" width="21.125" style="8" customWidth="1"/>
    <col min="35" max="35" width="123.625" style="8" customWidth="1"/>
    <col min="36" max="36" width="10.625" style="8" customWidth="1"/>
    <col min="37" max="16384" width="11" style="8"/>
  </cols>
  <sheetData>
    <row r="1" spans="1:28" ht="52.5" customHeight="1" thickBot="1">
      <c r="A1" s="91" t="s">
        <v>89</v>
      </c>
      <c r="B1" s="236" t="s">
        <v>32</v>
      </c>
      <c r="C1" s="237"/>
      <c r="D1" s="237"/>
      <c r="E1" s="237"/>
      <c r="F1" s="238"/>
      <c r="G1" s="238"/>
      <c r="H1" s="238"/>
      <c r="I1" s="238"/>
      <c r="J1" s="238"/>
      <c r="K1" s="238"/>
      <c r="L1" s="30"/>
      <c r="M1" s="240" t="s">
        <v>30</v>
      </c>
      <c r="N1" s="241" t="s">
        <v>139</v>
      </c>
      <c r="O1" s="241"/>
      <c r="P1" s="30"/>
      <c r="Q1" s="30"/>
      <c r="R1" s="30"/>
      <c r="S1" s="30"/>
      <c r="T1" s="30"/>
      <c r="U1" s="30"/>
      <c r="V1" s="30"/>
      <c r="W1" s="30"/>
      <c r="X1" s="771"/>
      <c r="Y1" s="92"/>
      <c r="Z1" s="92"/>
      <c r="AA1" s="92"/>
    </row>
    <row r="2" spans="1:28" ht="52.5" customHeight="1" thickBot="1">
      <c r="A2" s="26" t="s">
        <v>2</v>
      </c>
      <c r="B2" s="228"/>
      <c r="C2" s="228"/>
      <c r="D2" s="228"/>
      <c r="E2" s="228"/>
      <c r="F2" s="236" t="s">
        <v>90</v>
      </c>
      <c r="G2" s="237"/>
      <c r="H2" s="237"/>
      <c r="I2" s="237"/>
      <c r="J2" s="237"/>
      <c r="K2" s="237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767"/>
      <c r="X2" s="771"/>
      <c r="Y2" s="27"/>
      <c r="Z2" s="27"/>
      <c r="AA2" s="27"/>
    </row>
    <row r="3" spans="1:28" ht="52.5" customHeight="1" thickBot="1">
      <c r="A3" s="26" t="s">
        <v>3</v>
      </c>
      <c r="B3" s="228"/>
      <c r="C3" s="768" t="s">
        <v>151</v>
      </c>
      <c r="D3" s="769"/>
      <c r="E3" s="769"/>
      <c r="F3" s="769"/>
      <c r="G3" s="769"/>
      <c r="H3" s="769"/>
      <c r="I3" s="769"/>
      <c r="J3" s="769"/>
      <c r="K3" s="769"/>
      <c r="L3" s="769"/>
      <c r="M3" s="769"/>
      <c r="N3" s="769"/>
      <c r="O3" s="769"/>
      <c r="P3" s="769"/>
      <c r="Q3" s="769"/>
      <c r="R3" s="769"/>
      <c r="S3" s="769"/>
      <c r="T3" s="769"/>
      <c r="U3" s="769"/>
      <c r="V3" s="769"/>
      <c r="W3" s="769"/>
      <c r="X3" s="770"/>
      <c r="Y3" s="27"/>
      <c r="Z3" s="27"/>
      <c r="AA3" s="27"/>
    </row>
    <row r="4" spans="1:28" ht="24.95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8" s="642" customFormat="1" ht="75" customHeight="1">
      <c r="A5" s="643" t="s">
        <v>27</v>
      </c>
      <c r="B5" s="644"/>
      <c r="C5" s="866" t="s">
        <v>153</v>
      </c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674"/>
      <c r="P5" s="641" t="s">
        <v>134</v>
      </c>
      <c r="Q5" s="641"/>
      <c r="R5" s="1033" t="s">
        <v>135</v>
      </c>
      <c r="S5" s="1033"/>
      <c r="T5" s="1033"/>
      <c r="U5" s="1033"/>
      <c r="V5" s="1033"/>
      <c r="W5" s="1033"/>
      <c r="X5" s="1033"/>
      <c r="Y5" s="1033"/>
      <c r="Z5" s="1033"/>
      <c r="AA5" s="1033"/>
      <c r="AB5" s="667"/>
    </row>
    <row r="6" spans="1:28" ht="8.1" customHeight="1" thickBot="1">
      <c r="A6" s="28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668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9"/>
    </row>
    <row r="7" spans="1:28" ht="32.25" customHeight="1" thickTop="1">
      <c r="A7" s="26"/>
      <c r="B7" s="27"/>
      <c r="C7" s="1029" t="s">
        <v>41</v>
      </c>
      <c r="D7" s="1030"/>
      <c r="E7" s="1030"/>
      <c r="F7" s="1030"/>
      <c r="G7" s="1030"/>
      <c r="H7" s="1030"/>
      <c r="I7" s="1030"/>
      <c r="J7" s="1030"/>
      <c r="K7" s="1030"/>
      <c r="L7" s="1030"/>
      <c r="M7" s="1030"/>
      <c r="N7" s="1031"/>
      <c r="O7" s="669"/>
      <c r="P7" s="1029" t="s">
        <v>36</v>
      </c>
      <c r="Q7" s="1030"/>
      <c r="R7" s="1030"/>
      <c r="S7" s="1030"/>
      <c r="T7" s="1030"/>
      <c r="U7" s="1030"/>
      <c r="V7" s="1030"/>
      <c r="W7" s="1030"/>
      <c r="X7" s="1030"/>
      <c r="Y7" s="1030"/>
      <c r="Z7" s="1030"/>
      <c r="AA7" s="1031"/>
    </row>
    <row r="8" spans="1:28" ht="22.7" customHeight="1">
      <c r="A8" s="26"/>
      <c r="B8" s="27"/>
      <c r="C8" s="944" t="s">
        <v>37</v>
      </c>
      <c r="D8" s="945"/>
      <c r="E8" s="945"/>
      <c r="F8" s="945"/>
      <c r="G8" s="1032" t="s">
        <v>38</v>
      </c>
      <c r="H8" s="1032"/>
      <c r="I8" s="1032"/>
      <c r="J8" s="1032"/>
      <c r="K8" s="1032" t="s">
        <v>132</v>
      </c>
      <c r="L8" s="1032"/>
      <c r="M8" s="1032"/>
      <c r="N8" s="1032"/>
      <c r="O8" s="588"/>
      <c r="P8" s="944" t="s">
        <v>37</v>
      </c>
      <c r="Q8" s="945"/>
      <c r="R8" s="945"/>
      <c r="S8" s="945"/>
      <c r="T8" s="1032" t="s">
        <v>38</v>
      </c>
      <c r="U8" s="1032"/>
      <c r="V8" s="1032"/>
      <c r="W8" s="1032"/>
      <c r="X8" s="1032" t="s">
        <v>40</v>
      </c>
      <c r="Y8" s="1032"/>
      <c r="Z8" s="1032"/>
      <c r="AA8" s="1032"/>
    </row>
    <row r="9" spans="1:28" ht="18.600000000000001" customHeight="1" thickBot="1">
      <c r="A9" s="26"/>
      <c r="B9" s="27"/>
      <c r="C9" s="1034" t="s">
        <v>4</v>
      </c>
      <c r="D9" s="1035"/>
      <c r="E9" s="1036" t="s">
        <v>5</v>
      </c>
      <c r="F9" s="1037"/>
      <c r="G9" s="1038" t="s">
        <v>4</v>
      </c>
      <c r="H9" s="1035"/>
      <c r="I9" s="1036" t="s">
        <v>5</v>
      </c>
      <c r="J9" s="1037"/>
      <c r="K9" s="1038" t="s">
        <v>4</v>
      </c>
      <c r="L9" s="1035"/>
      <c r="M9" s="1036" t="s">
        <v>5</v>
      </c>
      <c r="N9" s="1037"/>
      <c r="O9" s="658"/>
      <c r="P9" s="1034" t="s">
        <v>4</v>
      </c>
      <c r="Q9" s="1035"/>
      <c r="R9" s="1036" t="s">
        <v>5</v>
      </c>
      <c r="S9" s="1037"/>
      <c r="T9" s="1038" t="s">
        <v>4</v>
      </c>
      <c r="U9" s="1035"/>
      <c r="V9" s="1036" t="s">
        <v>5</v>
      </c>
      <c r="W9" s="1037"/>
      <c r="X9" s="1038" t="s">
        <v>4</v>
      </c>
      <c r="Y9" s="1035"/>
      <c r="Z9" s="1036" t="s">
        <v>5</v>
      </c>
      <c r="AA9" s="1037"/>
    </row>
    <row r="10" spans="1:28" ht="21" thickTop="1">
      <c r="A10" s="748" t="s">
        <v>6</v>
      </c>
      <c r="B10" s="749" t="s">
        <v>7</v>
      </c>
      <c r="C10" s="835" t="s">
        <v>8</v>
      </c>
      <c r="D10" s="836" t="s">
        <v>9</v>
      </c>
      <c r="E10" s="837" t="s">
        <v>8</v>
      </c>
      <c r="F10" s="838" t="s">
        <v>9</v>
      </c>
      <c r="G10" s="839" t="s">
        <v>8</v>
      </c>
      <c r="H10" s="836" t="s">
        <v>9</v>
      </c>
      <c r="I10" s="837" t="s">
        <v>8</v>
      </c>
      <c r="J10" s="838" t="s">
        <v>9</v>
      </c>
      <c r="K10" s="839" t="s">
        <v>8</v>
      </c>
      <c r="L10" s="836" t="s">
        <v>9</v>
      </c>
      <c r="M10" s="837" t="s">
        <v>8</v>
      </c>
      <c r="N10" s="838" t="s">
        <v>9</v>
      </c>
      <c r="O10" s="670"/>
      <c r="P10" s="835" t="s">
        <v>8</v>
      </c>
      <c r="Q10" s="836" t="s">
        <v>9</v>
      </c>
      <c r="R10" s="837" t="s">
        <v>8</v>
      </c>
      <c r="S10" s="838" t="s">
        <v>9</v>
      </c>
      <c r="T10" s="839" t="s">
        <v>8</v>
      </c>
      <c r="U10" s="836" t="s">
        <v>9</v>
      </c>
      <c r="V10" s="837" t="s">
        <v>8</v>
      </c>
      <c r="W10" s="838" t="s">
        <v>9</v>
      </c>
      <c r="X10" s="839" t="s">
        <v>8</v>
      </c>
      <c r="Y10" s="836" t="s">
        <v>9</v>
      </c>
      <c r="Z10" s="837" t="s">
        <v>8</v>
      </c>
      <c r="AA10" s="838" t="s">
        <v>9</v>
      </c>
    </row>
    <row r="11" spans="1:28" ht="54.95" hidden="1" customHeight="1" outlineLevel="1">
      <c r="A11" s="750">
        <v>6</v>
      </c>
      <c r="B11" s="751" t="s">
        <v>25</v>
      </c>
      <c r="C11" s="789"/>
      <c r="D11" s="830"/>
      <c r="E11" s="832"/>
      <c r="F11" s="806"/>
      <c r="G11" s="821"/>
      <c r="H11" s="830"/>
      <c r="I11" s="832"/>
      <c r="J11" s="806"/>
      <c r="K11" s="821"/>
      <c r="L11" s="830"/>
      <c r="M11" s="832"/>
      <c r="N11" s="806"/>
      <c r="O11" s="638"/>
      <c r="P11" s="789"/>
      <c r="Q11" s="830"/>
      <c r="R11" s="832"/>
      <c r="S11" s="806"/>
      <c r="T11" s="821"/>
      <c r="U11" s="830"/>
      <c r="V11" s="832"/>
      <c r="W11" s="806"/>
      <c r="X11" s="821"/>
      <c r="Y11" s="830"/>
      <c r="Z11" s="832"/>
      <c r="AA11" s="806"/>
    </row>
    <row r="12" spans="1:28" ht="54.95" hidden="1" customHeight="1" outlineLevel="1">
      <c r="A12" s="750"/>
      <c r="B12" s="751" t="s">
        <v>26</v>
      </c>
      <c r="C12" s="789"/>
      <c r="D12" s="830"/>
      <c r="E12" s="832"/>
      <c r="F12" s="806"/>
      <c r="G12" s="821"/>
      <c r="H12" s="830"/>
      <c r="I12" s="832"/>
      <c r="J12" s="806"/>
      <c r="K12" s="821"/>
      <c r="L12" s="830"/>
      <c r="M12" s="832"/>
      <c r="N12" s="806"/>
      <c r="O12" s="638"/>
      <c r="P12" s="789"/>
      <c r="Q12" s="830"/>
      <c r="R12" s="832"/>
      <c r="S12" s="806"/>
      <c r="T12" s="821"/>
      <c r="U12" s="830"/>
      <c r="V12" s="832"/>
      <c r="W12" s="806"/>
      <c r="X12" s="821"/>
      <c r="Y12" s="830"/>
      <c r="Z12" s="832"/>
      <c r="AA12" s="806"/>
    </row>
    <row r="13" spans="1:28" ht="54.95" customHeight="1" collapsed="1">
      <c r="A13" s="1054">
        <v>7</v>
      </c>
      <c r="B13" s="782" t="s">
        <v>140</v>
      </c>
      <c r="C13" s="791"/>
      <c r="D13" s="792"/>
      <c r="E13" s="807"/>
      <c r="F13" s="808"/>
      <c r="G13" s="823"/>
      <c r="H13" s="792"/>
      <c r="I13" s="807"/>
      <c r="J13" s="808"/>
      <c r="K13" s="791"/>
      <c r="L13" s="792"/>
      <c r="M13" s="807"/>
      <c r="N13" s="808"/>
      <c r="O13" s="638"/>
      <c r="P13" s="791"/>
      <c r="Q13" s="792"/>
      <c r="R13" s="807"/>
      <c r="S13" s="808"/>
      <c r="T13" s="823"/>
      <c r="U13" s="792"/>
      <c r="V13" s="807"/>
      <c r="W13" s="808"/>
      <c r="X13" s="791"/>
      <c r="Y13" s="792"/>
      <c r="Z13" s="807"/>
      <c r="AA13" s="808"/>
    </row>
    <row r="14" spans="1:28" ht="54.95" customHeight="1">
      <c r="A14" s="1055"/>
      <c r="B14" s="783" t="s">
        <v>141</v>
      </c>
      <c r="C14" s="793"/>
      <c r="D14" s="794"/>
      <c r="E14" s="809"/>
      <c r="F14" s="810"/>
      <c r="G14" s="824"/>
      <c r="H14" s="794"/>
      <c r="I14" s="809"/>
      <c r="J14" s="810"/>
      <c r="K14" s="793"/>
      <c r="L14" s="794"/>
      <c r="M14" s="809"/>
      <c r="N14" s="810"/>
      <c r="O14" s="638"/>
      <c r="P14" s="793"/>
      <c r="Q14" s="794"/>
      <c r="R14" s="809"/>
      <c r="S14" s="810"/>
      <c r="T14" s="824"/>
      <c r="U14" s="794">
        <v>2</v>
      </c>
      <c r="V14" s="809"/>
      <c r="W14" s="810"/>
      <c r="X14" s="793"/>
      <c r="Y14" s="794"/>
      <c r="Z14" s="809"/>
      <c r="AA14" s="810"/>
    </row>
    <row r="15" spans="1:28" ht="54.95" customHeight="1">
      <c r="A15" s="1055"/>
      <c r="B15" s="783" t="s">
        <v>142</v>
      </c>
      <c r="C15" s="795"/>
      <c r="D15" s="796"/>
      <c r="E15" s="811"/>
      <c r="F15" s="812"/>
      <c r="G15" s="825"/>
      <c r="H15" s="796"/>
      <c r="I15" s="811"/>
      <c r="J15" s="812"/>
      <c r="K15" s="795">
        <v>1</v>
      </c>
      <c r="L15" s="796"/>
      <c r="M15" s="811"/>
      <c r="N15" s="812"/>
      <c r="O15" s="638"/>
      <c r="P15" s="795"/>
      <c r="Q15" s="796"/>
      <c r="R15" s="811"/>
      <c r="S15" s="812"/>
      <c r="T15" s="825"/>
      <c r="U15" s="796"/>
      <c r="V15" s="811"/>
      <c r="W15" s="812"/>
      <c r="X15" s="795"/>
      <c r="Y15" s="796"/>
      <c r="Z15" s="811"/>
      <c r="AA15" s="812"/>
    </row>
    <row r="16" spans="1:28" ht="54.95" customHeight="1" thickBot="1">
      <c r="A16" s="1056"/>
      <c r="B16" s="784" t="s">
        <v>143</v>
      </c>
      <c r="C16" s="797"/>
      <c r="D16" s="798">
        <v>1</v>
      </c>
      <c r="E16" s="813"/>
      <c r="F16" s="814"/>
      <c r="G16" s="826"/>
      <c r="H16" s="798"/>
      <c r="I16" s="813"/>
      <c r="J16" s="814"/>
      <c r="K16" s="797"/>
      <c r="L16" s="798"/>
      <c r="M16" s="813"/>
      <c r="N16" s="814"/>
      <c r="O16" s="638"/>
      <c r="P16" s="797"/>
      <c r="Q16" s="798">
        <v>1</v>
      </c>
      <c r="R16" s="813"/>
      <c r="S16" s="814"/>
      <c r="T16" s="826"/>
      <c r="U16" s="798"/>
      <c r="V16" s="813"/>
      <c r="W16" s="814"/>
      <c r="X16" s="797"/>
      <c r="Y16" s="798"/>
      <c r="Z16" s="813"/>
      <c r="AA16" s="814"/>
    </row>
    <row r="17" spans="1:33" ht="54.95" customHeight="1">
      <c r="A17" s="1057">
        <v>8</v>
      </c>
      <c r="B17" s="785" t="s">
        <v>140</v>
      </c>
      <c r="C17" s="799"/>
      <c r="D17" s="800"/>
      <c r="E17" s="815"/>
      <c r="F17" s="816"/>
      <c r="G17" s="827"/>
      <c r="H17" s="800"/>
      <c r="I17" s="815"/>
      <c r="J17" s="816"/>
      <c r="K17" s="799"/>
      <c r="L17" s="800"/>
      <c r="M17" s="815"/>
      <c r="N17" s="816"/>
      <c r="O17" s="638"/>
      <c r="P17" s="799"/>
      <c r="Q17" s="800"/>
      <c r="R17" s="815"/>
      <c r="S17" s="816"/>
      <c r="T17" s="827"/>
      <c r="U17" s="800"/>
      <c r="V17" s="815"/>
      <c r="W17" s="816"/>
      <c r="X17" s="799"/>
      <c r="Y17" s="800"/>
      <c r="Z17" s="815"/>
      <c r="AA17" s="816"/>
    </row>
    <row r="18" spans="1:33" ht="54.95" customHeight="1">
      <c r="A18" s="1055"/>
      <c r="B18" s="783" t="s">
        <v>141</v>
      </c>
      <c r="C18" s="793"/>
      <c r="D18" s="794"/>
      <c r="E18" s="809"/>
      <c r="F18" s="810"/>
      <c r="G18" s="824"/>
      <c r="H18" s="794"/>
      <c r="I18" s="809"/>
      <c r="J18" s="810"/>
      <c r="K18" s="793"/>
      <c r="L18" s="794"/>
      <c r="M18" s="809"/>
      <c r="N18" s="810"/>
      <c r="O18" s="638"/>
      <c r="P18" s="793"/>
      <c r="Q18" s="794">
        <v>1</v>
      </c>
      <c r="R18" s="809"/>
      <c r="S18" s="810"/>
      <c r="T18" s="824">
        <v>1</v>
      </c>
      <c r="U18" s="794"/>
      <c r="V18" s="809"/>
      <c r="W18" s="810"/>
      <c r="X18" s="793"/>
      <c r="Y18" s="794"/>
      <c r="Z18" s="809"/>
      <c r="AA18" s="810"/>
    </row>
    <row r="19" spans="1:33" ht="54.95" customHeight="1">
      <c r="A19" s="1055"/>
      <c r="B19" s="783" t="s">
        <v>142</v>
      </c>
      <c r="C19" s="795"/>
      <c r="D19" s="796"/>
      <c r="E19" s="811"/>
      <c r="F19" s="812"/>
      <c r="G19" s="825"/>
      <c r="H19" s="796"/>
      <c r="I19" s="811"/>
      <c r="J19" s="812"/>
      <c r="K19" s="795"/>
      <c r="L19" s="796"/>
      <c r="M19" s="811"/>
      <c r="N19" s="812"/>
      <c r="O19" s="638"/>
      <c r="P19" s="795"/>
      <c r="Q19" s="796"/>
      <c r="R19" s="811"/>
      <c r="S19" s="812"/>
      <c r="T19" s="825"/>
      <c r="U19" s="796">
        <v>1</v>
      </c>
      <c r="V19" s="811"/>
      <c r="W19" s="812"/>
      <c r="X19" s="795"/>
      <c r="Y19" s="796"/>
      <c r="Z19" s="811"/>
      <c r="AA19" s="812"/>
    </row>
    <row r="20" spans="1:33" ht="54.95" customHeight="1" thickBot="1">
      <c r="A20" s="1058"/>
      <c r="B20" s="786" t="s">
        <v>143</v>
      </c>
      <c r="C20" s="801"/>
      <c r="D20" s="802"/>
      <c r="E20" s="817"/>
      <c r="F20" s="818"/>
      <c r="G20" s="828"/>
      <c r="H20" s="802"/>
      <c r="I20" s="817"/>
      <c r="J20" s="818"/>
      <c r="K20" s="801"/>
      <c r="L20" s="802"/>
      <c r="M20" s="817"/>
      <c r="N20" s="818"/>
      <c r="O20" s="638"/>
      <c r="P20" s="801"/>
      <c r="Q20" s="802">
        <v>1</v>
      </c>
      <c r="R20" s="817"/>
      <c r="S20" s="818"/>
      <c r="T20" s="828"/>
      <c r="U20" s="802">
        <v>2</v>
      </c>
      <c r="V20" s="817"/>
      <c r="W20" s="818"/>
      <c r="X20" s="801"/>
      <c r="Y20" s="802"/>
      <c r="Z20" s="817"/>
      <c r="AA20" s="818"/>
    </row>
    <row r="21" spans="1:33" ht="54.95" hidden="1" customHeight="1" outlineLevel="1">
      <c r="A21" s="750">
        <v>9</v>
      </c>
      <c r="B21" s="751" t="s">
        <v>23</v>
      </c>
      <c r="C21" s="344"/>
      <c r="D21" s="345"/>
      <c r="E21" s="346"/>
      <c r="F21" s="347"/>
      <c r="G21" s="348"/>
      <c r="H21" s="345"/>
      <c r="I21" s="346"/>
      <c r="J21" s="347"/>
      <c r="K21" s="348"/>
      <c r="L21" s="345"/>
      <c r="M21" s="346"/>
      <c r="N21" s="347"/>
      <c r="O21" s="638"/>
      <c r="P21" s="344"/>
      <c r="Q21" s="345"/>
      <c r="R21" s="346"/>
      <c r="S21" s="347"/>
      <c r="T21" s="348"/>
      <c r="U21" s="345"/>
      <c r="V21" s="346"/>
      <c r="W21" s="347"/>
      <c r="X21" s="348"/>
      <c r="Y21" s="345"/>
      <c r="Z21" s="346"/>
      <c r="AA21" s="347"/>
    </row>
    <row r="22" spans="1:33" ht="54.95" hidden="1" customHeight="1" outlineLevel="1" thickBot="1">
      <c r="A22" s="752"/>
      <c r="B22" s="753" t="s">
        <v>24</v>
      </c>
      <c r="C22" s="350"/>
      <c r="D22" s="351"/>
      <c r="E22" s="352"/>
      <c r="F22" s="353"/>
      <c r="G22" s="354"/>
      <c r="H22" s="351"/>
      <c r="I22" s="352"/>
      <c r="J22" s="353"/>
      <c r="K22" s="354"/>
      <c r="L22" s="351"/>
      <c r="M22" s="352"/>
      <c r="N22" s="353"/>
      <c r="O22" s="638"/>
      <c r="P22" s="350"/>
      <c r="Q22" s="351"/>
      <c r="R22" s="352"/>
      <c r="S22" s="353"/>
      <c r="T22" s="354"/>
      <c r="U22" s="351"/>
      <c r="V22" s="352"/>
      <c r="W22" s="353"/>
      <c r="X22" s="354"/>
      <c r="Y22" s="351"/>
      <c r="Z22" s="352"/>
      <c r="AA22" s="353"/>
    </row>
    <row r="23" spans="1:33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638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  <c r="AB23" s="2"/>
      <c r="AC23" s="2"/>
      <c r="AD23" s="2"/>
      <c r="AE23" s="2"/>
      <c r="AF23" s="2"/>
      <c r="AG23" s="2"/>
    </row>
    <row r="24" spans="1:33" ht="75" customHeight="1" thickBot="1">
      <c r="A24" s="779" t="s">
        <v>27</v>
      </c>
      <c r="B24" s="780"/>
      <c r="C24" s="866" t="s">
        <v>152</v>
      </c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673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  <c r="AA24" s="598"/>
    </row>
    <row r="25" spans="1:33" ht="6" hidden="1" customHeight="1" outlineLevel="1" thickBot="1">
      <c r="A25" s="599"/>
      <c r="B25" s="597"/>
      <c r="C25" s="594"/>
      <c r="D25" s="594"/>
      <c r="E25" s="594"/>
      <c r="F25" s="594"/>
      <c r="G25" s="594"/>
      <c r="H25" s="594"/>
      <c r="I25" s="594"/>
      <c r="J25" s="594"/>
      <c r="K25" s="594"/>
      <c r="L25" s="594"/>
      <c r="M25" s="594"/>
      <c r="N25" s="594"/>
      <c r="O25" s="597"/>
      <c r="P25" s="594"/>
      <c r="Q25" s="594"/>
      <c r="R25" s="594"/>
      <c r="S25" s="594"/>
      <c r="T25" s="594"/>
      <c r="U25" s="594"/>
      <c r="V25" s="594"/>
      <c r="W25" s="594"/>
      <c r="X25" s="594"/>
      <c r="Y25" s="594"/>
      <c r="Z25" s="594"/>
      <c r="AA25" s="595"/>
    </row>
    <row r="26" spans="1:33" ht="32.25" customHeight="1" collapsed="1" thickTop="1">
      <c r="A26" s="781"/>
      <c r="B26" s="668"/>
      <c r="C26" s="1029" t="s">
        <v>39</v>
      </c>
      <c r="D26" s="1030"/>
      <c r="E26" s="1030"/>
      <c r="F26" s="1030"/>
      <c r="G26" s="1030"/>
      <c r="H26" s="1030"/>
      <c r="I26" s="1030"/>
      <c r="J26" s="1030"/>
      <c r="K26" s="1030"/>
      <c r="L26" s="1030"/>
      <c r="M26" s="1030"/>
      <c r="N26" s="1031"/>
      <c r="O26" s="669"/>
      <c r="P26" s="1029" t="s">
        <v>43</v>
      </c>
      <c r="Q26" s="1030"/>
      <c r="R26" s="1030"/>
      <c r="S26" s="1030"/>
      <c r="T26" s="1030"/>
      <c r="U26" s="1030"/>
      <c r="V26" s="1030"/>
      <c r="W26" s="1030"/>
      <c r="X26" s="1030"/>
      <c r="Y26" s="1030"/>
      <c r="Z26" s="1030"/>
      <c r="AA26" s="1031"/>
    </row>
    <row r="27" spans="1:33" ht="22.7" customHeight="1">
      <c r="A27" s="781"/>
      <c r="B27" s="668"/>
      <c r="C27" s="944" t="s">
        <v>40</v>
      </c>
      <c r="D27" s="945"/>
      <c r="E27" s="945"/>
      <c r="F27" s="945"/>
      <c r="G27" s="1032" t="s">
        <v>42</v>
      </c>
      <c r="H27" s="1032"/>
      <c r="I27" s="1032"/>
      <c r="J27" s="1032"/>
      <c r="K27" s="1032" t="s">
        <v>38</v>
      </c>
      <c r="L27" s="1032"/>
      <c r="M27" s="1032"/>
      <c r="N27" s="1032"/>
      <c r="O27" s="588"/>
      <c r="P27" s="944" t="s">
        <v>40</v>
      </c>
      <c r="Q27" s="945"/>
      <c r="R27" s="945"/>
      <c r="S27" s="945"/>
      <c r="T27" s="1032" t="s">
        <v>42</v>
      </c>
      <c r="U27" s="1032"/>
      <c r="V27" s="1032"/>
      <c r="W27" s="1032"/>
      <c r="X27" s="1032" t="s">
        <v>37</v>
      </c>
      <c r="Y27" s="1032"/>
      <c r="Z27" s="1032"/>
      <c r="AA27" s="1032"/>
    </row>
    <row r="28" spans="1:33" ht="18.600000000000001" customHeight="1" thickBot="1">
      <c r="A28" s="781"/>
      <c r="B28" s="668"/>
      <c r="C28" s="1024" t="s">
        <v>4</v>
      </c>
      <c r="D28" s="973"/>
      <c r="E28" s="976" t="s">
        <v>5</v>
      </c>
      <c r="F28" s="977"/>
      <c r="G28" s="972" t="s">
        <v>4</v>
      </c>
      <c r="H28" s="973"/>
      <c r="I28" s="976" t="s">
        <v>5</v>
      </c>
      <c r="J28" s="977"/>
      <c r="K28" s="972" t="s">
        <v>4</v>
      </c>
      <c r="L28" s="973"/>
      <c r="M28" s="976" t="s">
        <v>5</v>
      </c>
      <c r="N28" s="977"/>
      <c r="O28" s="658"/>
      <c r="P28" s="1024" t="s">
        <v>4</v>
      </c>
      <c r="Q28" s="973"/>
      <c r="R28" s="976" t="s">
        <v>5</v>
      </c>
      <c r="S28" s="977"/>
      <c r="T28" s="972" t="s">
        <v>4</v>
      </c>
      <c r="U28" s="973"/>
      <c r="V28" s="976" t="s">
        <v>5</v>
      </c>
      <c r="W28" s="977"/>
      <c r="X28" s="972" t="s">
        <v>4</v>
      </c>
      <c r="Y28" s="973"/>
      <c r="Z28" s="976" t="s">
        <v>5</v>
      </c>
      <c r="AA28" s="977"/>
    </row>
    <row r="29" spans="1:33" ht="21" thickTop="1">
      <c r="A29" s="748" t="s">
        <v>6</v>
      </c>
      <c r="B29" s="749" t="s">
        <v>7</v>
      </c>
      <c r="C29" s="15" t="s">
        <v>8</v>
      </c>
      <c r="D29" s="4" t="s">
        <v>9</v>
      </c>
      <c r="E29" s="5" t="s">
        <v>8</v>
      </c>
      <c r="F29" s="6" t="s">
        <v>9</v>
      </c>
      <c r="G29" s="3" t="s">
        <v>8</v>
      </c>
      <c r="H29" s="4" t="s">
        <v>9</v>
      </c>
      <c r="I29" s="5" t="s">
        <v>8</v>
      </c>
      <c r="J29" s="6" t="s">
        <v>9</v>
      </c>
      <c r="K29" s="3" t="s">
        <v>8</v>
      </c>
      <c r="L29" s="4" t="s">
        <v>9</v>
      </c>
      <c r="M29" s="5" t="s">
        <v>8</v>
      </c>
      <c r="N29" s="6" t="s">
        <v>9</v>
      </c>
      <c r="O29" s="670"/>
      <c r="P29" s="15" t="s">
        <v>8</v>
      </c>
      <c r="Q29" s="4" t="s">
        <v>9</v>
      </c>
      <c r="R29" s="5" t="s">
        <v>8</v>
      </c>
      <c r="S29" s="6" t="s">
        <v>9</v>
      </c>
      <c r="T29" s="3" t="s">
        <v>8</v>
      </c>
      <c r="U29" s="4" t="s">
        <v>9</v>
      </c>
      <c r="V29" s="5" t="s">
        <v>8</v>
      </c>
      <c r="W29" s="6" t="s">
        <v>9</v>
      </c>
      <c r="X29" s="3" t="s">
        <v>8</v>
      </c>
      <c r="Y29" s="4" t="s">
        <v>9</v>
      </c>
      <c r="Z29" s="5" t="s">
        <v>8</v>
      </c>
      <c r="AA29" s="6" t="s">
        <v>9</v>
      </c>
    </row>
    <row r="30" spans="1:33" ht="54.95" hidden="1" customHeight="1" outlineLevel="1">
      <c r="A30" s="750">
        <v>6</v>
      </c>
      <c r="B30" s="751" t="s">
        <v>25</v>
      </c>
      <c r="C30" s="344"/>
      <c r="D30" s="345"/>
      <c r="E30" s="346"/>
      <c r="F30" s="347"/>
      <c r="G30" s="348"/>
      <c r="H30" s="345"/>
      <c r="I30" s="346"/>
      <c r="J30" s="347"/>
      <c r="K30" s="348"/>
      <c r="L30" s="345"/>
      <c r="M30" s="346"/>
      <c r="N30" s="347"/>
      <c r="O30" s="638"/>
      <c r="P30" s="344"/>
      <c r="Q30" s="345"/>
      <c r="R30" s="346"/>
      <c r="S30" s="347"/>
      <c r="T30" s="348"/>
      <c r="U30" s="345"/>
      <c r="V30" s="346"/>
      <c r="W30" s="347"/>
      <c r="X30" s="348"/>
      <c r="Y30" s="345"/>
      <c r="Z30" s="346"/>
      <c r="AA30" s="347"/>
    </row>
    <row r="31" spans="1:33" ht="54.95" hidden="1" customHeight="1" outlineLevel="1">
      <c r="A31" s="750"/>
      <c r="B31" s="751" t="s">
        <v>26</v>
      </c>
      <c r="C31" s="344"/>
      <c r="D31" s="345"/>
      <c r="E31" s="346"/>
      <c r="F31" s="347"/>
      <c r="G31" s="348"/>
      <c r="H31" s="345"/>
      <c r="I31" s="346"/>
      <c r="J31" s="347"/>
      <c r="K31" s="348"/>
      <c r="L31" s="345"/>
      <c r="M31" s="346"/>
      <c r="N31" s="347"/>
      <c r="O31" s="638"/>
      <c r="P31" s="344"/>
      <c r="Q31" s="345"/>
      <c r="R31" s="346"/>
      <c r="S31" s="347"/>
      <c r="T31" s="348"/>
      <c r="U31" s="345"/>
      <c r="V31" s="346"/>
      <c r="W31" s="347"/>
      <c r="X31" s="348"/>
      <c r="Y31" s="345"/>
      <c r="Z31" s="346"/>
      <c r="AA31" s="347"/>
    </row>
    <row r="32" spans="1:33" ht="54.95" customHeight="1" collapsed="1">
      <c r="A32" s="1054">
        <v>7</v>
      </c>
      <c r="B32" s="782" t="s">
        <v>140</v>
      </c>
      <c r="C32" s="791">
        <v>1</v>
      </c>
      <c r="D32" s="792"/>
      <c r="E32" s="807"/>
      <c r="F32" s="808"/>
      <c r="G32" s="823"/>
      <c r="H32" s="792">
        <v>1</v>
      </c>
      <c r="I32" s="807">
        <v>1</v>
      </c>
      <c r="J32" s="808"/>
      <c r="K32" s="791"/>
      <c r="L32" s="792"/>
      <c r="M32" s="807"/>
      <c r="N32" s="808"/>
      <c r="O32" s="638"/>
      <c r="P32" s="791"/>
      <c r="Q32" s="792"/>
      <c r="R32" s="807">
        <v>2</v>
      </c>
      <c r="S32" s="808"/>
      <c r="T32" s="823">
        <v>1</v>
      </c>
      <c r="U32" s="792"/>
      <c r="V32" s="807">
        <v>1</v>
      </c>
      <c r="W32" s="808">
        <v>2</v>
      </c>
      <c r="X32" s="791"/>
      <c r="Y32" s="792"/>
      <c r="Z32" s="807"/>
      <c r="AA32" s="808"/>
    </row>
    <row r="33" spans="1:37" ht="54.95" customHeight="1">
      <c r="A33" s="1055"/>
      <c r="B33" s="783" t="s">
        <v>141</v>
      </c>
      <c r="C33" s="793"/>
      <c r="D33" s="794">
        <v>2</v>
      </c>
      <c r="E33" s="809"/>
      <c r="F33" s="810"/>
      <c r="G33" s="824"/>
      <c r="H33" s="794"/>
      <c r="I33" s="809">
        <v>2</v>
      </c>
      <c r="J33" s="810"/>
      <c r="K33" s="793"/>
      <c r="L33" s="794"/>
      <c r="M33" s="809"/>
      <c r="N33" s="810"/>
      <c r="O33" s="638"/>
      <c r="P33" s="793"/>
      <c r="Q33" s="794"/>
      <c r="R33" s="809"/>
      <c r="S33" s="810"/>
      <c r="T33" s="824">
        <v>5</v>
      </c>
      <c r="U33" s="794">
        <v>2</v>
      </c>
      <c r="V33" s="809">
        <v>2</v>
      </c>
      <c r="W33" s="810"/>
      <c r="X33" s="793"/>
      <c r="Y33" s="794"/>
      <c r="Z33" s="809"/>
      <c r="AA33" s="810"/>
    </row>
    <row r="34" spans="1:37" ht="54.95" customHeight="1">
      <c r="A34" s="1055"/>
      <c r="B34" s="783" t="s">
        <v>142</v>
      </c>
      <c r="C34" s="795">
        <v>1</v>
      </c>
      <c r="D34" s="796">
        <v>1</v>
      </c>
      <c r="E34" s="811">
        <v>1</v>
      </c>
      <c r="F34" s="812"/>
      <c r="G34" s="825">
        <v>2</v>
      </c>
      <c r="H34" s="796"/>
      <c r="I34" s="811"/>
      <c r="J34" s="812"/>
      <c r="K34" s="795"/>
      <c r="L34" s="796"/>
      <c r="M34" s="811"/>
      <c r="N34" s="812"/>
      <c r="O34" s="638"/>
      <c r="P34" s="795">
        <v>1</v>
      </c>
      <c r="Q34" s="796">
        <v>1</v>
      </c>
      <c r="R34" s="811">
        <v>1</v>
      </c>
      <c r="S34" s="812">
        <v>1</v>
      </c>
      <c r="T34" s="825">
        <v>4</v>
      </c>
      <c r="U34" s="796">
        <v>2</v>
      </c>
      <c r="V34" s="811">
        <v>1</v>
      </c>
      <c r="W34" s="812"/>
      <c r="X34" s="795"/>
      <c r="Y34" s="796"/>
      <c r="Z34" s="811"/>
      <c r="AA34" s="812"/>
    </row>
    <row r="35" spans="1:37" ht="54.95" customHeight="1" thickBot="1">
      <c r="A35" s="1056"/>
      <c r="B35" s="784" t="s">
        <v>143</v>
      </c>
      <c r="C35" s="797"/>
      <c r="D35" s="798"/>
      <c r="E35" s="813"/>
      <c r="F35" s="814"/>
      <c r="G35" s="826"/>
      <c r="H35" s="798"/>
      <c r="I35" s="813"/>
      <c r="J35" s="814"/>
      <c r="K35" s="797"/>
      <c r="L35" s="798"/>
      <c r="M35" s="813"/>
      <c r="N35" s="814"/>
      <c r="O35" s="638"/>
      <c r="P35" s="797"/>
      <c r="Q35" s="798"/>
      <c r="R35" s="813">
        <v>1</v>
      </c>
      <c r="S35" s="814"/>
      <c r="T35" s="826">
        <v>2</v>
      </c>
      <c r="U35" s="798">
        <v>2</v>
      </c>
      <c r="V35" s="813">
        <v>2</v>
      </c>
      <c r="W35" s="814">
        <v>1</v>
      </c>
      <c r="X35" s="797"/>
      <c r="Y35" s="798"/>
      <c r="Z35" s="813"/>
      <c r="AA35" s="814"/>
    </row>
    <row r="36" spans="1:37" ht="54.95" customHeight="1">
      <c r="A36" s="1057">
        <v>8</v>
      </c>
      <c r="B36" s="785" t="s">
        <v>140</v>
      </c>
      <c r="C36" s="799">
        <v>2</v>
      </c>
      <c r="D36" s="800">
        <v>1</v>
      </c>
      <c r="E36" s="815">
        <v>1</v>
      </c>
      <c r="F36" s="816"/>
      <c r="G36" s="827">
        <v>1</v>
      </c>
      <c r="H36" s="800">
        <v>1</v>
      </c>
      <c r="I36" s="815">
        <v>1</v>
      </c>
      <c r="J36" s="816"/>
      <c r="K36" s="799"/>
      <c r="L36" s="800"/>
      <c r="M36" s="815"/>
      <c r="N36" s="816"/>
      <c r="O36" s="638"/>
      <c r="P36" s="799">
        <v>1</v>
      </c>
      <c r="Q36" s="800"/>
      <c r="R36" s="815">
        <v>3</v>
      </c>
      <c r="S36" s="816"/>
      <c r="T36" s="827">
        <v>2</v>
      </c>
      <c r="U36" s="800">
        <v>1</v>
      </c>
      <c r="V36" s="815">
        <v>1</v>
      </c>
      <c r="W36" s="816"/>
      <c r="X36" s="799"/>
      <c r="Y36" s="800"/>
      <c r="Z36" s="815"/>
      <c r="AA36" s="816"/>
    </row>
    <row r="37" spans="1:37" ht="54.95" customHeight="1">
      <c r="A37" s="1055"/>
      <c r="B37" s="783" t="s">
        <v>141</v>
      </c>
      <c r="C37" s="793">
        <v>2</v>
      </c>
      <c r="D37" s="794">
        <v>1</v>
      </c>
      <c r="E37" s="809"/>
      <c r="F37" s="810"/>
      <c r="G37" s="824">
        <v>1</v>
      </c>
      <c r="H37" s="794">
        <v>2</v>
      </c>
      <c r="I37" s="809"/>
      <c r="J37" s="810"/>
      <c r="K37" s="793"/>
      <c r="L37" s="794"/>
      <c r="M37" s="809"/>
      <c r="N37" s="810"/>
      <c r="O37" s="638"/>
      <c r="P37" s="793"/>
      <c r="Q37" s="794"/>
      <c r="R37" s="809">
        <v>1</v>
      </c>
      <c r="S37" s="810"/>
      <c r="T37" s="824">
        <v>2</v>
      </c>
      <c r="U37" s="794"/>
      <c r="V37" s="809">
        <v>1</v>
      </c>
      <c r="W37" s="810"/>
      <c r="X37" s="793"/>
      <c r="Y37" s="794"/>
      <c r="Z37" s="809"/>
      <c r="AA37" s="810"/>
    </row>
    <row r="38" spans="1:37" ht="54.95" customHeight="1">
      <c r="A38" s="1055"/>
      <c r="B38" s="783" t="s">
        <v>142</v>
      </c>
      <c r="C38" s="795"/>
      <c r="D38" s="796">
        <v>1</v>
      </c>
      <c r="E38" s="811">
        <v>1</v>
      </c>
      <c r="F38" s="812"/>
      <c r="G38" s="825"/>
      <c r="H38" s="796">
        <v>3</v>
      </c>
      <c r="I38" s="811">
        <v>1</v>
      </c>
      <c r="J38" s="812"/>
      <c r="K38" s="795"/>
      <c r="L38" s="796"/>
      <c r="M38" s="811"/>
      <c r="N38" s="812"/>
      <c r="O38" s="638"/>
      <c r="P38" s="795"/>
      <c r="Q38" s="796">
        <v>1</v>
      </c>
      <c r="R38" s="811">
        <v>3</v>
      </c>
      <c r="S38" s="812"/>
      <c r="T38" s="825">
        <v>5</v>
      </c>
      <c r="U38" s="796"/>
      <c r="V38" s="811">
        <v>2</v>
      </c>
      <c r="W38" s="812"/>
      <c r="X38" s="795"/>
      <c r="Y38" s="796"/>
      <c r="Z38" s="811"/>
      <c r="AA38" s="812"/>
    </row>
    <row r="39" spans="1:37" ht="54.95" customHeight="1">
      <c r="A39" s="1058"/>
      <c r="B39" s="786" t="s">
        <v>143</v>
      </c>
      <c r="C39" s="801"/>
      <c r="D39" s="802"/>
      <c r="E39" s="817"/>
      <c r="F39" s="818"/>
      <c r="G39" s="828">
        <v>1</v>
      </c>
      <c r="H39" s="802"/>
      <c r="I39" s="817"/>
      <c r="J39" s="818"/>
      <c r="K39" s="801"/>
      <c r="L39" s="802"/>
      <c r="M39" s="817"/>
      <c r="N39" s="818"/>
      <c r="O39" s="638"/>
      <c r="P39" s="801"/>
      <c r="Q39" s="802">
        <v>1</v>
      </c>
      <c r="R39" s="817"/>
      <c r="S39" s="818"/>
      <c r="T39" s="828">
        <v>1</v>
      </c>
      <c r="U39" s="802">
        <v>1</v>
      </c>
      <c r="V39" s="817">
        <v>2</v>
      </c>
      <c r="W39" s="818"/>
      <c r="X39" s="801"/>
      <c r="Y39" s="802"/>
      <c r="Z39" s="817"/>
      <c r="AA39" s="818"/>
    </row>
    <row r="40" spans="1:37" ht="54.95" hidden="1" customHeight="1" outlineLevel="1">
      <c r="A40" s="11">
        <v>9</v>
      </c>
      <c r="B40" s="12" t="s">
        <v>23</v>
      </c>
      <c r="C40" s="344"/>
      <c r="D40" s="345"/>
      <c r="E40" s="346"/>
      <c r="F40" s="347"/>
      <c r="G40" s="348"/>
      <c r="H40" s="345"/>
      <c r="I40" s="346"/>
      <c r="J40" s="347"/>
      <c r="K40" s="348"/>
      <c r="L40" s="345"/>
      <c r="M40" s="346"/>
      <c r="N40" s="347"/>
      <c r="O40" s="638"/>
      <c r="P40" s="344"/>
      <c r="Q40" s="345"/>
      <c r="R40" s="346"/>
      <c r="S40" s="347"/>
      <c r="T40" s="348"/>
      <c r="U40" s="345"/>
      <c r="V40" s="346"/>
      <c r="W40" s="347"/>
      <c r="X40" s="348"/>
      <c r="Y40" s="345"/>
      <c r="Z40" s="346"/>
      <c r="AA40" s="347"/>
    </row>
    <row r="41" spans="1:37" ht="54.95" hidden="1" customHeight="1" outlineLevel="1" thickBot="1">
      <c r="A41" s="13"/>
      <c r="B41" s="14" t="s">
        <v>24</v>
      </c>
      <c r="C41" s="350"/>
      <c r="D41" s="351"/>
      <c r="E41" s="352"/>
      <c r="F41" s="353"/>
      <c r="G41" s="354"/>
      <c r="H41" s="351"/>
      <c r="I41" s="352"/>
      <c r="J41" s="353"/>
      <c r="K41" s="354"/>
      <c r="L41" s="351"/>
      <c r="M41" s="352"/>
      <c r="N41" s="353"/>
      <c r="O41" s="638"/>
      <c r="P41" s="350"/>
      <c r="Q41" s="351"/>
      <c r="R41" s="352"/>
      <c r="S41" s="353"/>
      <c r="T41" s="354"/>
      <c r="U41" s="351"/>
      <c r="V41" s="352"/>
      <c r="W41" s="353"/>
      <c r="X41" s="354"/>
      <c r="Y41" s="351"/>
      <c r="Z41" s="352"/>
      <c r="AA41" s="353"/>
    </row>
    <row r="42" spans="1:37" ht="30" customHeight="1" collapsed="1">
      <c r="A42" s="97"/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672"/>
      <c r="P42" s="98"/>
      <c r="Q42" s="98"/>
      <c r="R42" s="98"/>
      <c r="S42" s="98"/>
      <c r="T42" s="2"/>
      <c r="U42" s="2"/>
      <c r="V42" s="2"/>
      <c r="W42" s="2"/>
      <c r="X42" s="2"/>
      <c r="Y42" s="2"/>
    </row>
    <row r="43" spans="1:37" ht="30" customHeight="1" thickBot="1">
      <c r="A43" s="28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9"/>
      <c r="AB43" s="28"/>
      <c r="AC43" s="27"/>
      <c r="AD43" s="27"/>
      <c r="AE43" s="27"/>
      <c r="AF43" s="27"/>
      <c r="AG43" s="27"/>
      <c r="AH43" s="27"/>
      <c r="AI43" s="27"/>
      <c r="AJ43" s="27"/>
      <c r="AK43" s="27"/>
    </row>
    <row r="44" spans="1:37" ht="32.25" customHeight="1" thickTop="1">
      <c r="A44" s="227"/>
      <c r="B44" s="228"/>
      <c r="C44" s="875" t="str">
        <f>C7</f>
        <v>Depuis 'Château d'Etrembières'</v>
      </c>
      <c r="D44" s="1049"/>
      <c r="E44" s="876"/>
      <c r="F44" s="876"/>
      <c r="G44" s="876"/>
      <c r="H44" s="876"/>
      <c r="I44" s="876"/>
      <c r="J44" s="876"/>
      <c r="K44" s="876"/>
      <c r="L44" s="876"/>
      <c r="M44" s="876"/>
      <c r="N44" s="877"/>
      <c r="O44" s="589"/>
      <c r="P44" s="875" t="str">
        <f>P7</f>
        <v>Depuis 'Etrembières - Autoroute'</v>
      </c>
      <c r="Q44" s="1049"/>
      <c r="R44" s="876"/>
      <c r="S44" s="876"/>
      <c r="T44" s="876"/>
      <c r="U44" s="876"/>
      <c r="V44" s="876"/>
      <c r="W44" s="876"/>
      <c r="X44" s="876"/>
      <c r="Y44" s="876"/>
      <c r="Z44" s="876"/>
      <c r="AA44" s="877"/>
      <c r="AB44" s="26"/>
      <c r="AC44" s="27"/>
      <c r="AD44" s="928" t="s">
        <v>12</v>
      </c>
      <c r="AE44" s="869" t="s">
        <v>14</v>
      </c>
      <c r="AF44" s="869" t="s">
        <v>15</v>
      </c>
      <c r="AG44" s="869" t="s">
        <v>18</v>
      </c>
      <c r="AH44" s="869" t="s">
        <v>16</v>
      </c>
      <c r="AI44" s="1026" t="s">
        <v>31</v>
      </c>
      <c r="AJ44" s="1014"/>
      <c r="AK44" s="1015"/>
    </row>
    <row r="45" spans="1:37" ht="22.7" customHeight="1">
      <c r="A45" s="227"/>
      <c r="B45" s="228"/>
      <c r="C45" s="1041" t="str">
        <f>C8</f>
        <v>vers 'Reignier'</v>
      </c>
      <c r="D45" s="1041"/>
      <c r="E45" s="1041"/>
      <c r="F45" s="1041"/>
      <c r="G45" s="1041" t="str">
        <f>G8</f>
        <v>vers 'Monnetier - La Muraz'</v>
      </c>
      <c r="H45" s="1041"/>
      <c r="I45" s="1041"/>
      <c r="J45" s="1041"/>
      <c r="K45" s="1041" t="str">
        <f>K8</f>
        <v>vers 'Etrembères - Autoroute'</v>
      </c>
      <c r="L45" s="1041"/>
      <c r="M45" s="1041"/>
      <c r="N45" s="1041"/>
      <c r="O45" s="586"/>
      <c r="P45" s="1041" t="str">
        <f>P8</f>
        <v>vers 'Reignier'</v>
      </c>
      <c r="Q45" s="1041"/>
      <c r="R45" s="1041"/>
      <c r="S45" s="1041"/>
      <c r="T45" s="1041" t="str">
        <f>T8</f>
        <v>vers 'Monnetier - La Muraz'</v>
      </c>
      <c r="U45" s="1041"/>
      <c r="V45" s="1041"/>
      <c r="W45" s="1041"/>
      <c r="X45" s="1041" t="str">
        <f>X8</f>
        <v>vers 'Château d'Etrembières'</v>
      </c>
      <c r="Y45" s="1041"/>
      <c r="Z45" s="1041"/>
      <c r="AA45" s="1041"/>
      <c r="AB45" s="26"/>
      <c r="AC45" s="27"/>
      <c r="AD45" s="929"/>
      <c r="AE45" s="870"/>
      <c r="AF45" s="870"/>
      <c r="AG45" s="870"/>
      <c r="AH45" s="870"/>
      <c r="AI45" s="1027"/>
      <c r="AJ45" s="1017"/>
      <c r="AK45" s="1018"/>
    </row>
    <row r="46" spans="1:37" ht="18.600000000000001" customHeight="1" thickBot="1">
      <c r="A46" s="227"/>
      <c r="B46" s="228"/>
      <c r="C46" s="908" t="s">
        <v>4</v>
      </c>
      <c r="D46" s="1042"/>
      <c r="E46" s="910" t="s">
        <v>5</v>
      </c>
      <c r="F46" s="911"/>
      <c r="G46" s="911" t="s">
        <v>4</v>
      </c>
      <c r="H46" s="912"/>
      <c r="I46" s="910" t="s">
        <v>5</v>
      </c>
      <c r="J46" s="911"/>
      <c r="K46" s="911" t="s">
        <v>4</v>
      </c>
      <c r="L46" s="912"/>
      <c r="M46" s="910" t="s">
        <v>5</v>
      </c>
      <c r="N46" s="911"/>
      <c r="O46" s="624"/>
      <c r="P46" s="908" t="s">
        <v>4</v>
      </c>
      <c r="Q46" s="1042"/>
      <c r="R46" s="910" t="s">
        <v>5</v>
      </c>
      <c r="S46" s="911"/>
      <c r="T46" s="911" t="s">
        <v>4</v>
      </c>
      <c r="U46" s="912"/>
      <c r="V46" s="910" t="s">
        <v>5</v>
      </c>
      <c r="W46" s="911"/>
      <c r="X46" s="911" t="s">
        <v>4</v>
      </c>
      <c r="Y46" s="912"/>
      <c r="Z46" s="910" t="s">
        <v>5</v>
      </c>
      <c r="AA46" s="911"/>
      <c r="AB46" s="99"/>
      <c r="AC46" s="27"/>
      <c r="AD46" s="929"/>
      <c r="AE46" s="870"/>
      <c r="AF46" s="870"/>
      <c r="AG46" s="870"/>
      <c r="AH46" s="870"/>
      <c r="AI46" s="1027"/>
      <c r="AJ46" s="1017"/>
      <c r="AK46" s="1018"/>
    </row>
    <row r="47" spans="1:37" ht="21" thickTop="1">
      <c r="A47" s="1052" t="s">
        <v>13</v>
      </c>
      <c r="B47" s="1053"/>
      <c r="C47" s="368" t="s">
        <v>8</v>
      </c>
      <c r="D47" s="373" t="s">
        <v>9</v>
      </c>
      <c r="E47" s="370" t="s">
        <v>8</v>
      </c>
      <c r="F47" s="371" t="s">
        <v>9</v>
      </c>
      <c r="G47" s="372" t="s">
        <v>8</v>
      </c>
      <c r="H47" s="373" t="s">
        <v>9</v>
      </c>
      <c r="I47" s="370" t="s">
        <v>8</v>
      </c>
      <c r="J47" s="371" t="s">
        <v>9</v>
      </c>
      <c r="K47" s="372" t="s">
        <v>8</v>
      </c>
      <c r="L47" s="373" t="s">
        <v>9</v>
      </c>
      <c r="M47" s="370" t="s">
        <v>8</v>
      </c>
      <c r="N47" s="371" t="s">
        <v>9</v>
      </c>
      <c r="O47" s="625"/>
      <c r="P47" s="368" t="s">
        <v>8</v>
      </c>
      <c r="Q47" s="373" t="s">
        <v>9</v>
      </c>
      <c r="R47" s="370" t="s">
        <v>8</v>
      </c>
      <c r="S47" s="371" t="s">
        <v>9</v>
      </c>
      <c r="T47" s="372" t="s">
        <v>8</v>
      </c>
      <c r="U47" s="373" t="s">
        <v>9</v>
      </c>
      <c r="V47" s="370" t="s">
        <v>8</v>
      </c>
      <c r="W47" s="371" t="s">
        <v>9</v>
      </c>
      <c r="X47" s="372" t="s">
        <v>8</v>
      </c>
      <c r="Y47" s="373" t="s">
        <v>9</v>
      </c>
      <c r="Z47" s="370" t="s">
        <v>8</v>
      </c>
      <c r="AA47" s="371" t="s">
        <v>9</v>
      </c>
      <c r="AB47" s="933" t="s">
        <v>13</v>
      </c>
      <c r="AC47" s="934"/>
      <c r="AD47" s="929"/>
      <c r="AE47" s="871"/>
      <c r="AF47" s="871"/>
      <c r="AG47" s="871"/>
      <c r="AH47" s="871"/>
      <c r="AI47" s="1028"/>
      <c r="AJ47" s="1020"/>
      <c r="AK47" s="1021"/>
    </row>
    <row r="48" spans="1:37" ht="54.95" customHeight="1">
      <c r="A48" s="1039" t="s">
        <v>28</v>
      </c>
      <c r="B48" s="1040"/>
      <c r="C48" s="513">
        <f t="shared" ref="C48:AA48" si="0">SUM(C11:C14)</f>
        <v>0</v>
      </c>
      <c r="D48" s="514">
        <f t="shared" si="0"/>
        <v>0</v>
      </c>
      <c r="E48" s="515">
        <f t="shared" si="0"/>
        <v>0</v>
      </c>
      <c r="F48" s="553">
        <f t="shared" si="0"/>
        <v>0</v>
      </c>
      <c r="G48" s="554">
        <f t="shared" si="0"/>
        <v>0</v>
      </c>
      <c r="H48" s="514">
        <f t="shared" si="0"/>
        <v>0</v>
      </c>
      <c r="I48" s="515">
        <f t="shared" si="0"/>
        <v>0</v>
      </c>
      <c r="J48" s="553">
        <f t="shared" si="0"/>
        <v>0</v>
      </c>
      <c r="K48" s="554">
        <f t="shared" si="0"/>
        <v>0</v>
      </c>
      <c r="L48" s="514">
        <f t="shared" si="0"/>
        <v>0</v>
      </c>
      <c r="M48" s="515">
        <f t="shared" si="0"/>
        <v>0</v>
      </c>
      <c r="N48" s="553">
        <f t="shared" si="0"/>
        <v>0</v>
      </c>
      <c r="O48" s="647"/>
      <c r="P48" s="513">
        <f t="shared" si="0"/>
        <v>0</v>
      </c>
      <c r="Q48" s="514">
        <f t="shared" si="0"/>
        <v>0</v>
      </c>
      <c r="R48" s="515">
        <f t="shared" si="0"/>
        <v>0</v>
      </c>
      <c r="S48" s="553">
        <f t="shared" si="0"/>
        <v>0</v>
      </c>
      <c r="T48" s="554">
        <f t="shared" si="0"/>
        <v>0</v>
      </c>
      <c r="U48" s="514">
        <f t="shared" si="0"/>
        <v>2</v>
      </c>
      <c r="V48" s="515">
        <f t="shared" si="0"/>
        <v>0</v>
      </c>
      <c r="W48" s="553">
        <f t="shared" si="0"/>
        <v>0</v>
      </c>
      <c r="X48" s="554">
        <f t="shared" si="0"/>
        <v>0</v>
      </c>
      <c r="Y48" s="514">
        <f t="shared" si="0"/>
        <v>0</v>
      </c>
      <c r="Z48" s="515">
        <f t="shared" si="0"/>
        <v>0</v>
      </c>
      <c r="AA48" s="516">
        <f t="shared" si="0"/>
        <v>0</v>
      </c>
      <c r="AB48" s="937" t="s">
        <v>28</v>
      </c>
      <c r="AC48" s="938"/>
      <c r="AD48" s="109">
        <f>SUM(C48:AA48)+SUM(C60:AA60)</f>
        <v>24</v>
      </c>
      <c r="AE48" s="118">
        <f>IF(AD48=0,0,AE60/AD48)</f>
        <v>0.625</v>
      </c>
      <c r="AF48" s="118">
        <f>IF(AD48=0,0,AF60/AD48)</f>
        <v>0.41666666666666669</v>
      </c>
      <c r="AG48" s="118">
        <f>IF(AF60=0,0,AG60/AF60)</f>
        <v>0.8</v>
      </c>
      <c r="AH48" s="118">
        <f>IF(AD48=0,0,AH60/AD48)</f>
        <v>0.25</v>
      </c>
      <c r="AI48" s="71"/>
      <c r="AJ48" s="183"/>
      <c r="AK48" s="72"/>
    </row>
    <row r="49" spans="1:37" ht="54.95" customHeight="1">
      <c r="A49" s="1047" t="s">
        <v>11</v>
      </c>
      <c r="B49" s="1048"/>
      <c r="C49" s="519">
        <f t="shared" ref="C49:AA49" si="1">SUM(C13:C16)</f>
        <v>0</v>
      </c>
      <c r="D49" s="520">
        <f t="shared" si="1"/>
        <v>1</v>
      </c>
      <c r="E49" s="521">
        <f t="shared" si="1"/>
        <v>0</v>
      </c>
      <c r="F49" s="558">
        <f t="shared" si="1"/>
        <v>0</v>
      </c>
      <c r="G49" s="559">
        <f t="shared" si="1"/>
        <v>0</v>
      </c>
      <c r="H49" s="520">
        <f t="shared" si="1"/>
        <v>0</v>
      </c>
      <c r="I49" s="521">
        <f t="shared" si="1"/>
        <v>0</v>
      </c>
      <c r="J49" s="558">
        <f t="shared" si="1"/>
        <v>0</v>
      </c>
      <c r="K49" s="559">
        <f t="shared" si="1"/>
        <v>1</v>
      </c>
      <c r="L49" s="520">
        <f t="shared" si="1"/>
        <v>0</v>
      </c>
      <c r="M49" s="521">
        <f t="shared" si="1"/>
        <v>0</v>
      </c>
      <c r="N49" s="558">
        <f t="shared" si="1"/>
        <v>0</v>
      </c>
      <c r="O49" s="648"/>
      <c r="P49" s="519">
        <f t="shared" si="1"/>
        <v>0</v>
      </c>
      <c r="Q49" s="520">
        <f t="shared" si="1"/>
        <v>1</v>
      </c>
      <c r="R49" s="521">
        <f t="shared" si="1"/>
        <v>0</v>
      </c>
      <c r="S49" s="558">
        <f t="shared" si="1"/>
        <v>0</v>
      </c>
      <c r="T49" s="559">
        <f t="shared" si="1"/>
        <v>0</v>
      </c>
      <c r="U49" s="520">
        <f t="shared" si="1"/>
        <v>2</v>
      </c>
      <c r="V49" s="521">
        <f t="shared" si="1"/>
        <v>0</v>
      </c>
      <c r="W49" s="558">
        <f t="shared" si="1"/>
        <v>0</v>
      </c>
      <c r="X49" s="559">
        <f t="shared" si="1"/>
        <v>0</v>
      </c>
      <c r="Y49" s="520">
        <f t="shared" si="1"/>
        <v>0</v>
      </c>
      <c r="Z49" s="521">
        <f t="shared" si="1"/>
        <v>0</v>
      </c>
      <c r="AA49" s="522">
        <f t="shared" si="1"/>
        <v>0</v>
      </c>
      <c r="AB49" s="941" t="s">
        <v>11</v>
      </c>
      <c r="AC49" s="942"/>
      <c r="AD49" s="110">
        <f t="shared" ref="AD49:AD53" si="2">SUM(C49:AA49)+SUM(C61:AA61)</f>
        <v>51</v>
      </c>
      <c r="AE49" s="120">
        <f t="shared" ref="AE49:AE54" si="3">IF(AD49=0,0,AE61/AD49)</f>
        <v>0.62745098039215685</v>
      </c>
      <c r="AF49" s="120">
        <f t="shared" ref="AF49:AF54" si="4">IF(AD49=0,0,AF61/AD49)</f>
        <v>0.35294117647058826</v>
      </c>
      <c r="AG49" s="120">
        <f t="shared" ref="AG49:AG54" si="5">IF(AF61=0,0,AG61/AF61)</f>
        <v>0.77777777777777779</v>
      </c>
      <c r="AH49" s="120">
        <f>IF(AD49=0,0,AH61/AD49)</f>
        <v>0.27450980392156865</v>
      </c>
      <c r="AI49" s="73"/>
      <c r="AJ49" s="184"/>
      <c r="AK49" s="74"/>
    </row>
    <row r="50" spans="1:37" ht="54.95" customHeight="1">
      <c r="A50" s="1047" t="s">
        <v>17</v>
      </c>
      <c r="B50" s="1048"/>
      <c r="C50" s="519">
        <f t="shared" ref="C50:AA50" si="6">SUM(C15:C18)</f>
        <v>0</v>
      </c>
      <c r="D50" s="520">
        <f t="shared" si="6"/>
        <v>1</v>
      </c>
      <c r="E50" s="521">
        <f t="shared" si="6"/>
        <v>0</v>
      </c>
      <c r="F50" s="558">
        <f t="shared" si="6"/>
        <v>0</v>
      </c>
      <c r="G50" s="559">
        <f t="shared" si="6"/>
        <v>0</v>
      </c>
      <c r="H50" s="520">
        <f t="shared" si="6"/>
        <v>0</v>
      </c>
      <c r="I50" s="521">
        <f t="shared" si="6"/>
        <v>0</v>
      </c>
      <c r="J50" s="558">
        <f t="shared" si="6"/>
        <v>0</v>
      </c>
      <c r="K50" s="559">
        <f t="shared" si="6"/>
        <v>1</v>
      </c>
      <c r="L50" s="520">
        <f t="shared" si="6"/>
        <v>0</v>
      </c>
      <c r="M50" s="521">
        <f t="shared" si="6"/>
        <v>0</v>
      </c>
      <c r="N50" s="558">
        <f t="shared" si="6"/>
        <v>0</v>
      </c>
      <c r="O50" s="648"/>
      <c r="P50" s="519">
        <f t="shared" si="6"/>
        <v>0</v>
      </c>
      <c r="Q50" s="520">
        <f t="shared" si="6"/>
        <v>2</v>
      </c>
      <c r="R50" s="521">
        <f t="shared" si="6"/>
        <v>0</v>
      </c>
      <c r="S50" s="558">
        <f t="shared" si="6"/>
        <v>0</v>
      </c>
      <c r="T50" s="559">
        <f t="shared" si="6"/>
        <v>1</v>
      </c>
      <c r="U50" s="520">
        <f t="shared" si="6"/>
        <v>0</v>
      </c>
      <c r="V50" s="521">
        <f t="shared" si="6"/>
        <v>0</v>
      </c>
      <c r="W50" s="558">
        <f t="shared" si="6"/>
        <v>0</v>
      </c>
      <c r="X50" s="559">
        <f t="shared" si="6"/>
        <v>0</v>
      </c>
      <c r="Y50" s="520">
        <f t="shared" si="6"/>
        <v>0</v>
      </c>
      <c r="Z50" s="521">
        <f t="shared" si="6"/>
        <v>0</v>
      </c>
      <c r="AA50" s="522">
        <f t="shared" si="6"/>
        <v>0</v>
      </c>
      <c r="AB50" s="941" t="s">
        <v>17</v>
      </c>
      <c r="AC50" s="942"/>
      <c r="AD50" s="110">
        <f t="shared" si="2"/>
        <v>54</v>
      </c>
      <c r="AE50" s="120">
        <f t="shared" si="3"/>
        <v>0.68518518518518523</v>
      </c>
      <c r="AF50" s="120">
        <f t="shared" si="4"/>
        <v>0.29629629629629628</v>
      </c>
      <c r="AG50" s="120">
        <f t="shared" si="5"/>
        <v>0.875</v>
      </c>
      <c r="AH50" s="120">
        <f>IF(AD50=0,0,AH62/AD50)</f>
        <v>0.35185185185185186</v>
      </c>
      <c r="AI50" s="73"/>
      <c r="AJ50" s="184"/>
      <c r="AK50" s="74"/>
    </row>
    <row r="51" spans="1:37" ht="54.95" customHeight="1">
      <c r="A51" s="1047" t="s">
        <v>10</v>
      </c>
      <c r="B51" s="1048"/>
      <c r="C51" s="519">
        <f t="shared" ref="C51:AA51" si="7">SUM(C17:C20)</f>
        <v>0</v>
      </c>
      <c r="D51" s="520">
        <f t="shared" si="7"/>
        <v>0</v>
      </c>
      <c r="E51" s="521">
        <f t="shared" si="7"/>
        <v>0</v>
      </c>
      <c r="F51" s="558">
        <f t="shared" si="7"/>
        <v>0</v>
      </c>
      <c r="G51" s="559">
        <f t="shared" si="7"/>
        <v>0</v>
      </c>
      <c r="H51" s="520">
        <f t="shared" si="7"/>
        <v>0</v>
      </c>
      <c r="I51" s="521">
        <f t="shared" si="7"/>
        <v>0</v>
      </c>
      <c r="J51" s="558">
        <f t="shared" si="7"/>
        <v>0</v>
      </c>
      <c r="K51" s="559">
        <f t="shared" si="7"/>
        <v>0</v>
      </c>
      <c r="L51" s="520">
        <f t="shared" si="7"/>
        <v>0</v>
      </c>
      <c r="M51" s="521">
        <f t="shared" si="7"/>
        <v>0</v>
      </c>
      <c r="N51" s="558">
        <f t="shared" si="7"/>
        <v>0</v>
      </c>
      <c r="O51" s="648"/>
      <c r="P51" s="519">
        <f t="shared" si="7"/>
        <v>0</v>
      </c>
      <c r="Q51" s="520">
        <f t="shared" si="7"/>
        <v>2</v>
      </c>
      <c r="R51" s="521">
        <f t="shared" si="7"/>
        <v>0</v>
      </c>
      <c r="S51" s="558">
        <f t="shared" si="7"/>
        <v>0</v>
      </c>
      <c r="T51" s="559">
        <f t="shared" si="7"/>
        <v>1</v>
      </c>
      <c r="U51" s="520">
        <f t="shared" si="7"/>
        <v>3</v>
      </c>
      <c r="V51" s="521">
        <f t="shared" si="7"/>
        <v>0</v>
      </c>
      <c r="W51" s="558">
        <f t="shared" si="7"/>
        <v>0</v>
      </c>
      <c r="X51" s="559">
        <f t="shared" si="7"/>
        <v>0</v>
      </c>
      <c r="Y51" s="520">
        <f t="shared" si="7"/>
        <v>0</v>
      </c>
      <c r="Z51" s="521">
        <f t="shared" si="7"/>
        <v>0</v>
      </c>
      <c r="AA51" s="522">
        <f t="shared" si="7"/>
        <v>0</v>
      </c>
      <c r="AB51" s="941" t="s">
        <v>10</v>
      </c>
      <c r="AC51" s="942"/>
      <c r="AD51" s="110">
        <f t="shared" si="2"/>
        <v>54</v>
      </c>
      <c r="AE51" s="120">
        <f t="shared" si="3"/>
        <v>0.66666666666666663</v>
      </c>
      <c r="AF51" s="120">
        <f t="shared" si="4"/>
        <v>0.31481481481481483</v>
      </c>
      <c r="AG51" s="120">
        <f t="shared" si="5"/>
        <v>1</v>
      </c>
      <c r="AH51" s="120">
        <f t="shared" ref="AH51:AH54" si="8">IF(AD51=0,0,AH63/AD51)</f>
        <v>0.3888888888888889</v>
      </c>
      <c r="AI51" s="73"/>
      <c r="AJ51" s="184"/>
      <c r="AK51" s="74"/>
    </row>
    <row r="52" spans="1:37" ht="54.95" customHeight="1">
      <c r="A52" s="1050" t="s">
        <v>29</v>
      </c>
      <c r="B52" s="1051"/>
      <c r="C52" s="525">
        <f t="shared" ref="C52:AA52" si="9">SUM(C19:C22)</f>
        <v>0</v>
      </c>
      <c r="D52" s="526">
        <f t="shared" si="9"/>
        <v>0</v>
      </c>
      <c r="E52" s="527">
        <f t="shared" si="9"/>
        <v>0</v>
      </c>
      <c r="F52" s="563">
        <f t="shared" si="9"/>
        <v>0</v>
      </c>
      <c r="G52" s="564">
        <f t="shared" si="9"/>
        <v>0</v>
      </c>
      <c r="H52" s="526">
        <f t="shared" si="9"/>
        <v>0</v>
      </c>
      <c r="I52" s="527">
        <f t="shared" si="9"/>
        <v>0</v>
      </c>
      <c r="J52" s="563">
        <f t="shared" si="9"/>
        <v>0</v>
      </c>
      <c r="K52" s="564">
        <f t="shared" si="9"/>
        <v>0</v>
      </c>
      <c r="L52" s="526">
        <f t="shared" si="9"/>
        <v>0</v>
      </c>
      <c r="M52" s="527">
        <f t="shared" si="9"/>
        <v>0</v>
      </c>
      <c r="N52" s="563">
        <f t="shared" si="9"/>
        <v>0</v>
      </c>
      <c r="O52" s="649"/>
      <c r="P52" s="525">
        <f t="shared" si="9"/>
        <v>0</v>
      </c>
      <c r="Q52" s="526">
        <f t="shared" si="9"/>
        <v>1</v>
      </c>
      <c r="R52" s="527">
        <f t="shared" si="9"/>
        <v>0</v>
      </c>
      <c r="S52" s="563">
        <f t="shared" si="9"/>
        <v>0</v>
      </c>
      <c r="T52" s="564">
        <f t="shared" si="9"/>
        <v>0</v>
      </c>
      <c r="U52" s="526">
        <f t="shared" si="9"/>
        <v>3</v>
      </c>
      <c r="V52" s="527">
        <f t="shared" si="9"/>
        <v>0</v>
      </c>
      <c r="W52" s="563">
        <f t="shared" si="9"/>
        <v>0</v>
      </c>
      <c r="X52" s="564">
        <f t="shared" si="9"/>
        <v>0</v>
      </c>
      <c r="Y52" s="526">
        <f t="shared" si="9"/>
        <v>0</v>
      </c>
      <c r="Z52" s="527">
        <f t="shared" si="9"/>
        <v>0</v>
      </c>
      <c r="AA52" s="528">
        <f t="shared" si="9"/>
        <v>0</v>
      </c>
      <c r="AB52" s="961" t="s">
        <v>29</v>
      </c>
      <c r="AC52" s="962"/>
      <c r="AD52" s="111">
        <f t="shared" si="2"/>
        <v>27</v>
      </c>
      <c r="AE52" s="122">
        <f t="shared" si="3"/>
        <v>0.59259259259259256</v>
      </c>
      <c r="AF52" s="122">
        <f t="shared" si="4"/>
        <v>0.33333333333333331</v>
      </c>
      <c r="AG52" s="122">
        <f t="shared" si="5"/>
        <v>1</v>
      </c>
      <c r="AH52" s="122">
        <f t="shared" si="8"/>
        <v>0.37037037037037035</v>
      </c>
      <c r="AI52" s="107"/>
      <c r="AJ52" s="185"/>
      <c r="AK52" s="108"/>
    </row>
    <row r="53" spans="1:37" ht="54.95" customHeight="1">
      <c r="A53" s="1043" t="s">
        <v>12</v>
      </c>
      <c r="B53" s="1044"/>
      <c r="C53" s="374">
        <f t="shared" ref="C53:AA53" si="10">SUM(C11:C22)</f>
        <v>0</v>
      </c>
      <c r="D53" s="379">
        <f t="shared" si="10"/>
        <v>1</v>
      </c>
      <c r="E53" s="376">
        <f t="shared" si="10"/>
        <v>0</v>
      </c>
      <c r="F53" s="377">
        <f t="shared" si="10"/>
        <v>0</v>
      </c>
      <c r="G53" s="378">
        <f t="shared" si="10"/>
        <v>0</v>
      </c>
      <c r="H53" s="379">
        <f t="shared" si="10"/>
        <v>0</v>
      </c>
      <c r="I53" s="376">
        <f t="shared" si="10"/>
        <v>0</v>
      </c>
      <c r="J53" s="377">
        <f t="shared" si="10"/>
        <v>0</v>
      </c>
      <c r="K53" s="378">
        <f t="shared" si="10"/>
        <v>1</v>
      </c>
      <c r="L53" s="379">
        <f t="shared" si="10"/>
        <v>0</v>
      </c>
      <c r="M53" s="376">
        <f t="shared" si="10"/>
        <v>0</v>
      </c>
      <c r="N53" s="377">
        <f t="shared" si="10"/>
        <v>0</v>
      </c>
      <c r="O53" s="626"/>
      <c r="P53" s="374">
        <f t="shared" si="10"/>
        <v>0</v>
      </c>
      <c r="Q53" s="379">
        <f t="shared" si="10"/>
        <v>3</v>
      </c>
      <c r="R53" s="376">
        <f t="shared" si="10"/>
        <v>0</v>
      </c>
      <c r="S53" s="377">
        <f t="shared" si="10"/>
        <v>0</v>
      </c>
      <c r="T53" s="378">
        <f t="shared" si="10"/>
        <v>1</v>
      </c>
      <c r="U53" s="379">
        <f t="shared" si="10"/>
        <v>5</v>
      </c>
      <c r="V53" s="376">
        <f t="shared" si="10"/>
        <v>0</v>
      </c>
      <c r="W53" s="377">
        <f t="shared" si="10"/>
        <v>0</v>
      </c>
      <c r="X53" s="378">
        <f t="shared" si="10"/>
        <v>0</v>
      </c>
      <c r="Y53" s="379">
        <f t="shared" si="10"/>
        <v>0</v>
      </c>
      <c r="Z53" s="376">
        <f t="shared" si="10"/>
        <v>0</v>
      </c>
      <c r="AA53" s="551">
        <f t="shared" si="10"/>
        <v>0</v>
      </c>
      <c r="AB53" s="952" t="s">
        <v>12</v>
      </c>
      <c r="AC53" s="953"/>
      <c r="AD53" s="112">
        <f t="shared" si="2"/>
        <v>105</v>
      </c>
      <c r="AE53" s="193">
        <f t="shared" si="3"/>
        <v>0.64761904761904765</v>
      </c>
      <c r="AF53" s="193">
        <f t="shared" si="4"/>
        <v>0.33333333333333331</v>
      </c>
      <c r="AG53" s="193">
        <f t="shared" si="5"/>
        <v>0.88571428571428568</v>
      </c>
      <c r="AH53" s="193">
        <f>IF(AD53=0,0,AH65/AD53)</f>
        <v>0.33333333333333331</v>
      </c>
      <c r="AI53" s="186"/>
      <c r="AJ53" s="187"/>
      <c r="AK53" s="113"/>
    </row>
    <row r="54" spans="1:37" ht="54.95" customHeight="1" thickBot="1">
      <c r="A54" s="1045" t="str">
        <f>IF($AD$48=MAX($AD$48:$AD$52),A48,IF($AD$49=MAX($AD$48:$AD$52),A49,IF($AD$50=MAX($AD$48:$AD$52),A50,IF($AD$51=MAX($AD$48:$AD$52),A51,A52))))</f>
        <v>de 7:30 à 8:30</v>
      </c>
      <c r="B54" s="1046"/>
      <c r="C54" s="380">
        <f t="shared" ref="C54:N54" si="11">IF($AD$48=MAX($AD$48:$AD$52),C48,IF($AD$49=MAX($AD$48:$AD$52),C49,IF($AD$50=MAX($AD$48:$AD$52),C50,IF($AD$51=MAX($AD$48:$AD$52),(C51),C52))))</f>
        <v>0</v>
      </c>
      <c r="D54" s="385">
        <f t="shared" si="11"/>
        <v>1</v>
      </c>
      <c r="E54" s="382">
        <f t="shared" si="11"/>
        <v>0</v>
      </c>
      <c r="F54" s="383">
        <f t="shared" si="11"/>
        <v>0</v>
      </c>
      <c r="G54" s="384">
        <f t="shared" si="11"/>
        <v>0</v>
      </c>
      <c r="H54" s="385">
        <f t="shared" si="11"/>
        <v>0</v>
      </c>
      <c r="I54" s="382">
        <f t="shared" si="11"/>
        <v>0</v>
      </c>
      <c r="J54" s="383">
        <f t="shared" si="11"/>
        <v>0</v>
      </c>
      <c r="K54" s="384">
        <f t="shared" si="11"/>
        <v>1</v>
      </c>
      <c r="L54" s="385">
        <f t="shared" si="11"/>
        <v>0</v>
      </c>
      <c r="M54" s="382">
        <f t="shared" si="11"/>
        <v>0</v>
      </c>
      <c r="N54" s="383">
        <f t="shared" si="11"/>
        <v>0</v>
      </c>
      <c r="O54" s="629"/>
      <c r="P54" s="380">
        <f t="shared" ref="P54:W54" si="12">IF($AD$48=MAX($AD$48:$AD$52),P48,IF($AD$49=MAX($AD$48:$AD$52),P49,IF($AD$50=MAX($AD$48:$AD$52),P50,IF($AD$51=MAX($AD$48:$AD$52),(P51),P52))))</f>
        <v>0</v>
      </c>
      <c r="Q54" s="385">
        <f t="shared" si="12"/>
        <v>2</v>
      </c>
      <c r="R54" s="382">
        <f t="shared" si="12"/>
        <v>0</v>
      </c>
      <c r="S54" s="383">
        <f t="shared" si="12"/>
        <v>0</v>
      </c>
      <c r="T54" s="384">
        <f t="shared" si="12"/>
        <v>1</v>
      </c>
      <c r="U54" s="385">
        <f t="shared" si="12"/>
        <v>0</v>
      </c>
      <c r="V54" s="382">
        <f t="shared" si="12"/>
        <v>0</v>
      </c>
      <c r="W54" s="383">
        <f t="shared" si="12"/>
        <v>0</v>
      </c>
      <c r="X54" s="384">
        <f t="shared" ref="X54:AA54" si="13">IF($AD$48=MAX($AD$48:$AD$52),X48,IF($AD$49=MAX($AD$48:$AD$52),X49,IF($AD$50=MAX($AD$48:$AD$52),X50,IF($AD$51=MAX($AD$48:$AD$52),(X51),X52))))</f>
        <v>0</v>
      </c>
      <c r="Y54" s="385">
        <f t="shared" si="13"/>
        <v>0</v>
      </c>
      <c r="Z54" s="382">
        <f t="shared" si="13"/>
        <v>0</v>
      </c>
      <c r="AA54" s="552">
        <f t="shared" si="13"/>
        <v>0</v>
      </c>
      <c r="AB54" s="956" t="str">
        <f>IF($AD$48=MAX($AD$48:$AD$52),A48,IF($AD$49=MAX($AD$48:$AD$52),A49,IF($AD$50=MAX($AD$48:$AD$52),A50,IF($AD$51=MAX($AD$48:$AD$52),A51,A52))))</f>
        <v>de 7:30 à 8:30</v>
      </c>
      <c r="AC54" s="957"/>
      <c r="AD54" s="124">
        <f>IF($AD$48=MAX($AD$48:$AD$52),AD48,IF($AD$49=MAX($AD$48:$AD$52),AD49,IF($AD$50=MAX($AD$48:$AD$52),AD50,IF($AD$51=MAX($AD$48:$AD$52),(AD51),AD52))))</f>
        <v>54</v>
      </c>
      <c r="AE54" s="194">
        <f t="shared" si="3"/>
        <v>0.68518518518518523</v>
      </c>
      <c r="AF54" s="194">
        <f t="shared" si="4"/>
        <v>0.29629629629629628</v>
      </c>
      <c r="AG54" s="194">
        <f t="shared" si="5"/>
        <v>0.875</v>
      </c>
      <c r="AH54" s="194">
        <f t="shared" si="8"/>
        <v>0.35185185185185186</v>
      </c>
      <c r="AI54" s="125"/>
      <c r="AJ54" s="188"/>
      <c r="AK54" s="126"/>
    </row>
    <row r="55" spans="1:37" ht="12.75" customHeight="1" thickTop="1" thickBot="1">
      <c r="A55" s="572"/>
      <c r="B55" s="573"/>
      <c r="C55" s="573"/>
      <c r="D55" s="573"/>
      <c r="E55" s="573"/>
      <c r="F55" s="573"/>
      <c r="G55" s="573"/>
      <c r="H55" s="573"/>
      <c r="I55" s="573"/>
      <c r="J55" s="573"/>
      <c r="K55" s="573"/>
      <c r="L55" s="573"/>
      <c r="M55" s="573"/>
      <c r="N55" s="573"/>
      <c r="O55" s="573"/>
      <c r="P55" s="573"/>
      <c r="Q55" s="573"/>
      <c r="R55" s="573"/>
      <c r="S55" s="573"/>
      <c r="T55" s="573"/>
      <c r="U55" s="573"/>
      <c r="V55" s="573"/>
      <c r="W55" s="573"/>
      <c r="X55" s="573"/>
      <c r="Y55" s="573"/>
      <c r="Z55" s="573"/>
      <c r="AA55" s="574"/>
      <c r="AB55" s="958"/>
      <c r="AC55" s="958"/>
      <c r="AD55" s="102"/>
      <c r="AE55" s="103"/>
      <c r="AF55" s="103"/>
      <c r="AG55" s="103"/>
      <c r="AH55" s="103"/>
      <c r="AI55" s="104"/>
      <c r="AJ55" s="104"/>
      <c r="AK55" s="104"/>
    </row>
    <row r="56" spans="1:37" ht="32.25" customHeight="1" thickTop="1">
      <c r="A56" s="227"/>
      <c r="B56" s="228"/>
      <c r="C56" s="875" t="str">
        <f>C26</f>
        <v>Depuis 'Reignier'</v>
      </c>
      <c r="D56" s="1049"/>
      <c r="E56" s="876"/>
      <c r="F56" s="876"/>
      <c r="G56" s="876"/>
      <c r="H56" s="876"/>
      <c r="I56" s="876"/>
      <c r="J56" s="876"/>
      <c r="K56" s="876"/>
      <c r="L56" s="876"/>
      <c r="M56" s="876"/>
      <c r="N56" s="877"/>
      <c r="O56" s="589"/>
      <c r="P56" s="875" t="str">
        <f>P26</f>
        <v>Depuis 'Monnetier - La Muraz'</v>
      </c>
      <c r="Q56" s="1049"/>
      <c r="R56" s="876"/>
      <c r="S56" s="876"/>
      <c r="T56" s="876"/>
      <c r="U56" s="876"/>
      <c r="V56" s="876"/>
      <c r="W56" s="876"/>
      <c r="X56" s="876"/>
      <c r="Y56" s="876"/>
      <c r="Z56" s="876"/>
      <c r="AA56" s="877"/>
      <c r="AB56" s="958"/>
      <c r="AC56" s="958"/>
      <c r="AD56" s="102"/>
      <c r="AE56" s="869" t="s">
        <v>108</v>
      </c>
      <c r="AF56" s="869" t="s">
        <v>109</v>
      </c>
      <c r="AG56" s="869" t="s">
        <v>110</v>
      </c>
      <c r="AH56" s="872" t="s">
        <v>19</v>
      </c>
      <c r="AI56" s="104"/>
      <c r="AJ56" s="104"/>
      <c r="AK56" s="104"/>
    </row>
    <row r="57" spans="1:37" ht="22.7" customHeight="1">
      <c r="A57" s="227"/>
      <c r="B57" s="228"/>
      <c r="C57" s="1041" t="str">
        <f>C27</f>
        <v>vers 'Château d'Etrembières'</v>
      </c>
      <c r="D57" s="1041"/>
      <c r="E57" s="1041"/>
      <c r="F57" s="1041"/>
      <c r="G57" s="1041" t="str">
        <f>G27</f>
        <v>vers 'Etrembières - Autoroute'</v>
      </c>
      <c r="H57" s="1041"/>
      <c r="I57" s="1041"/>
      <c r="J57" s="1041"/>
      <c r="K57" s="1041" t="str">
        <f t="shared" ref="K57" si="14">K27</f>
        <v>vers 'Monnetier - La Muraz'</v>
      </c>
      <c r="L57" s="1041"/>
      <c r="M57" s="1041"/>
      <c r="N57" s="1041"/>
      <c r="O57" s="586"/>
      <c r="P57" s="1041" t="str">
        <f t="shared" ref="P57" si="15">P27</f>
        <v>vers 'Château d'Etrembières'</v>
      </c>
      <c r="Q57" s="1041"/>
      <c r="R57" s="1041"/>
      <c r="S57" s="1041"/>
      <c r="T57" s="1041" t="str">
        <f t="shared" ref="T57" si="16">T27</f>
        <v>vers 'Etrembières - Autoroute'</v>
      </c>
      <c r="U57" s="1041"/>
      <c r="V57" s="1041"/>
      <c r="W57" s="1041"/>
      <c r="X57" s="1041" t="str">
        <f t="shared" ref="X57" si="17">X27</f>
        <v>vers 'Reignier'</v>
      </c>
      <c r="Y57" s="1041"/>
      <c r="Z57" s="1041"/>
      <c r="AA57" s="1041"/>
      <c r="AB57" s="958"/>
      <c r="AC57" s="958"/>
      <c r="AD57" s="102"/>
      <c r="AE57" s="870"/>
      <c r="AF57" s="870"/>
      <c r="AG57" s="870"/>
      <c r="AH57" s="873"/>
      <c r="AI57" s="104"/>
      <c r="AJ57" s="104"/>
      <c r="AK57" s="104"/>
    </row>
    <row r="58" spans="1:37" ht="18.600000000000001" customHeight="1" thickBot="1">
      <c r="A58" s="227"/>
      <c r="B58" s="228"/>
      <c r="C58" s="908" t="s">
        <v>4</v>
      </c>
      <c r="D58" s="1042"/>
      <c r="E58" s="910" t="s">
        <v>5</v>
      </c>
      <c r="F58" s="911"/>
      <c r="G58" s="911" t="s">
        <v>4</v>
      </c>
      <c r="H58" s="912"/>
      <c r="I58" s="910" t="s">
        <v>5</v>
      </c>
      <c r="J58" s="911"/>
      <c r="K58" s="911" t="s">
        <v>4</v>
      </c>
      <c r="L58" s="912"/>
      <c r="M58" s="910" t="s">
        <v>5</v>
      </c>
      <c r="N58" s="911"/>
      <c r="O58" s="624"/>
      <c r="P58" s="908" t="s">
        <v>4</v>
      </c>
      <c r="Q58" s="1042"/>
      <c r="R58" s="910" t="s">
        <v>5</v>
      </c>
      <c r="S58" s="911"/>
      <c r="T58" s="911" t="s">
        <v>4</v>
      </c>
      <c r="U58" s="912"/>
      <c r="V58" s="910" t="s">
        <v>5</v>
      </c>
      <c r="W58" s="911"/>
      <c r="X58" s="911" t="s">
        <v>4</v>
      </c>
      <c r="Y58" s="912"/>
      <c r="Z58" s="910" t="s">
        <v>5</v>
      </c>
      <c r="AA58" s="911"/>
      <c r="AB58" s="958"/>
      <c r="AC58" s="958"/>
      <c r="AD58" s="102"/>
      <c r="AE58" s="870"/>
      <c r="AF58" s="870"/>
      <c r="AG58" s="870"/>
      <c r="AH58" s="873"/>
      <c r="AI58" s="104"/>
      <c r="AJ58" s="104"/>
      <c r="AK58" s="104"/>
    </row>
    <row r="59" spans="1:37" ht="21.75" customHeight="1" thickTop="1">
      <c r="A59" s="1052" t="s">
        <v>13</v>
      </c>
      <c r="B59" s="1053"/>
      <c r="C59" s="368" t="s">
        <v>8</v>
      </c>
      <c r="D59" s="373" t="s">
        <v>9</v>
      </c>
      <c r="E59" s="370" t="s">
        <v>8</v>
      </c>
      <c r="F59" s="371" t="s">
        <v>9</v>
      </c>
      <c r="G59" s="372" t="s">
        <v>8</v>
      </c>
      <c r="H59" s="373" t="s">
        <v>9</v>
      </c>
      <c r="I59" s="370" t="s">
        <v>8</v>
      </c>
      <c r="J59" s="371" t="s">
        <v>9</v>
      </c>
      <c r="K59" s="372" t="s">
        <v>8</v>
      </c>
      <c r="L59" s="373" t="s">
        <v>9</v>
      </c>
      <c r="M59" s="370" t="s">
        <v>8</v>
      </c>
      <c r="N59" s="371" t="s">
        <v>9</v>
      </c>
      <c r="O59" s="625"/>
      <c r="P59" s="368" t="s">
        <v>8</v>
      </c>
      <c r="Q59" s="373" t="s">
        <v>9</v>
      </c>
      <c r="R59" s="370" t="s">
        <v>8</v>
      </c>
      <c r="S59" s="371" t="s">
        <v>9</v>
      </c>
      <c r="T59" s="372" t="s">
        <v>8</v>
      </c>
      <c r="U59" s="373" t="s">
        <v>9</v>
      </c>
      <c r="V59" s="370" t="s">
        <v>8</v>
      </c>
      <c r="W59" s="371" t="s">
        <v>9</v>
      </c>
      <c r="X59" s="372" t="s">
        <v>8</v>
      </c>
      <c r="Y59" s="373" t="s">
        <v>9</v>
      </c>
      <c r="Z59" s="370" t="s">
        <v>8</v>
      </c>
      <c r="AA59" s="371" t="s">
        <v>9</v>
      </c>
      <c r="AB59" s="958"/>
      <c r="AC59" s="958"/>
      <c r="AD59" s="102"/>
      <c r="AE59" s="871"/>
      <c r="AF59" s="871"/>
      <c r="AG59" s="871"/>
      <c r="AH59" s="874"/>
      <c r="AI59" s="104"/>
      <c r="AJ59" s="104"/>
      <c r="AK59" s="104"/>
    </row>
    <row r="60" spans="1:37" ht="54.95" customHeight="1">
      <c r="A60" s="1039" t="s">
        <v>28</v>
      </c>
      <c r="B60" s="1040"/>
      <c r="C60" s="513">
        <f>SUM(C30:C33)</f>
        <v>1</v>
      </c>
      <c r="D60" s="514">
        <f t="shared" ref="D60:J60" si="18">SUM(D30:D33)</f>
        <v>2</v>
      </c>
      <c r="E60" s="515">
        <f t="shared" si="18"/>
        <v>0</v>
      </c>
      <c r="F60" s="553">
        <f t="shared" si="18"/>
        <v>0</v>
      </c>
      <c r="G60" s="554">
        <f t="shared" si="18"/>
        <v>0</v>
      </c>
      <c r="H60" s="514">
        <f t="shared" si="18"/>
        <v>1</v>
      </c>
      <c r="I60" s="515">
        <f t="shared" si="18"/>
        <v>3</v>
      </c>
      <c r="J60" s="553">
        <f t="shared" si="18"/>
        <v>0</v>
      </c>
      <c r="K60" s="554">
        <f t="shared" ref="K60:N60" si="19">SUM(K30:K33)</f>
        <v>0</v>
      </c>
      <c r="L60" s="514">
        <f t="shared" si="19"/>
        <v>0</v>
      </c>
      <c r="M60" s="515">
        <f t="shared" si="19"/>
        <v>0</v>
      </c>
      <c r="N60" s="516">
        <f t="shared" si="19"/>
        <v>0</v>
      </c>
      <c r="O60" s="647"/>
      <c r="P60" s="513">
        <f t="shared" ref="P60:W60" si="20">SUM(P30:P33)</f>
        <v>0</v>
      </c>
      <c r="Q60" s="514">
        <f t="shared" si="20"/>
        <v>0</v>
      </c>
      <c r="R60" s="515">
        <f t="shared" si="20"/>
        <v>2</v>
      </c>
      <c r="S60" s="553">
        <f t="shared" si="20"/>
        <v>0</v>
      </c>
      <c r="T60" s="554">
        <f t="shared" si="20"/>
        <v>6</v>
      </c>
      <c r="U60" s="514">
        <f t="shared" si="20"/>
        <v>2</v>
      </c>
      <c r="V60" s="515">
        <f t="shared" si="20"/>
        <v>3</v>
      </c>
      <c r="W60" s="553">
        <f t="shared" si="20"/>
        <v>2</v>
      </c>
      <c r="X60" s="554">
        <f t="shared" ref="X60:AA60" si="21">SUM(X30:X33)</f>
        <v>0</v>
      </c>
      <c r="Y60" s="514">
        <f t="shared" si="21"/>
        <v>0</v>
      </c>
      <c r="Z60" s="515">
        <f t="shared" si="21"/>
        <v>0</v>
      </c>
      <c r="AA60" s="516">
        <f t="shared" si="21"/>
        <v>0</v>
      </c>
      <c r="AB60" s="958"/>
      <c r="AC60" s="958"/>
      <c r="AD60" s="102"/>
      <c r="AE60" s="180">
        <f>(C48+E48+G48+I48+K48+M48+P48+R48+T48+V48+X48+Z48+C60+E60+G60+I60+K60+M60+P60+R60+T60+V60+X60+Z60)</f>
        <v>15</v>
      </c>
      <c r="AF60" s="180">
        <f>(E48+F48+I48+J48+M48+N48+R48+S48+V48+W48+Z48+AA48+E60+F60+I60+J60+M60+N60+R60+S60+V60+W60+Z60+AA60)</f>
        <v>10</v>
      </c>
      <c r="AG60" s="180">
        <f>(E48+I48+M48+R48+V48+Z48+E60+I60+M60+R60+V60+Z60)</f>
        <v>8</v>
      </c>
      <c r="AH60" s="171">
        <f>SUM(K48:N48,X48:AA48,P60:S60,G60:J60)</f>
        <v>6</v>
      </c>
      <c r="AI60" s="104"/>
      <c r="AJ60" s="104"/>
      <c r="AK60" s="104"/>
    </row>
    <row r="61" spans="1:37" ht="54.95" customHeight="1">
      <c r="A61" s="1047" t="s">
        <v>11</v>
      </c>
      <c r="B61" s="1048"/>
      <c r="C61" s="519">
        <f>SUM(C32:C35)</f>
        <v>2</v>
      </c>
      <c r="D61" s="520">
        <f t="shared" ref="D61:J61" si="22">SUM(D32:D35)</f>
        <v>3</v>
      </c>
      <c r="E61" s="521">
        <f t="shared" si="22"/>
        <v>1</v>
      </c>
      <c r="F61" s="558">
        <f t="shared" si="22"/>
        <v>0</v>
      </c>
      <c r="G61" s="559">
        <f t="shared" si="22"/>
        <v>2</v>
      </c>
      <c r="H61" s="520">
        <f t="shared" si="22"/>
        <v>1</v>
      </c>
      <c r="I61" s="521">
        <f t="shared" si="22"/>
        <v>3</v>
      </c>
      <c r="J61" s="558">
        <f t="shared" si="22"/>
        <v>0</v>
      </c>
      <c r="K61" s="559">
        <f t="shared" ref="K61:N61" si="23">SUM(K32:K35)</f>
        <v>0</v>
      </c>
      <c r="L61" s="520">
        <f t="shared" si="23"/>
        <v>0</v>
      </c>
      <c r="M61" s="521">
        <f t="shared" si="23"/>
        <v>0</v>
      </c>
      <c r="N61" s="522">
        <f t="shared" si="23"/>
        <v>0</v>
      </c>
      <c r="O61" s="648"/>
      <c r="P61" s="519">
        <f t="shared" ref="P61:W61" si="24">SUM(P32:P35)</f>
        <v>1</v>
      </c>
      <c r="Q61" s="520">
        <f t="shared" si="24"/>
        <v>1</v>
      </c>
      <c r="R61" s="521">
        <f t="shared" si="24"/>
        <v>4</v>
      </c>
      <c r="S61" s="558">
        <f t="shared" si="24"/>
        <v>1</v>
      </c>
      <c r="T61" s="559">
        <f t="shared" si="24"/>
        <v>12</v>
      </c>
      <c r="U61" s="520">
        <f t="shared" si="24"/>
        <v>6</v>
      </c>
      <c r="V61" s="521">
        <f t="shared" si="24"/>
        <v>6</v>
      </c>
      <c r="W61" s="558">
        <f t="shared" si="24"/>
        <v>3</v>
      </c>
      <c r="X61" s="559">
        <f t="shared" ref="X61:AA61" si="25">SUM(X32:X35)</f>
        <v>0</v>
      </c>
      <c r="Y61" s="520">
        <f t="shared" si="25"/>
        <v>0</v>
      </c>
      <c r="Z61" s="521">
        <f t="shared" si="25"/>
        <v>0</v>
      </c>
      <c r="AA61" s="522">
        <f t="shared" si="25"/>
        <v>0</v>
      </c>
      <c r="AB61" s="958"/>
      <c r="AC61" s="958"/>
      <c r="AD61" s="102"/>
      <c r="AE61" s="189">
        <f t="shared" ref="AE61:AE63" si="26">(C49+E49+G49+I49+K49+M49+P49+R49+T49+V49+X49+Z49+C61+E61+G61+I61+K61+M61+P61+R61+T61+V61+X61+Z61)</f>
        <v>32</v>
      </c>
      <c r="AF61" s="189">
        <f t="shared" ref="AF61:AF64" si="27">(E49+F49+I49+J49+M49+N49+R49+S49+V49+W49+Z49+AA49+E61+F61+I61+J61+M61+N61+R61+S61+V61+W61+Z61+AA61)</f>
        <v>18</v>
      </c>
      <c r="AG61" s="189">
        <f t="shared" ref="AG61:AG64" si="28">(E49+I49+M49+R49+V49+Z49+E61+I61+M61+R61+V61+Z61)</f>
        <v>14</v>
      </c>
      <c r="AH61" s="189">
        <f t="shared" ref="AH61:AH66" si="29">SUM(K49:N49,X49:AA49,P61:S61,G61:J61)</f>
        <v>14</v>
      </c>
      <c r="AI61" s="104"/>
      <c r="AJ61" s="104"/>
      <c r="AK61" s="104"/>
    </row>
    <row r="62" spans="1:37" ht="54.95" customHeight="1">
      <c r="A62" s="1047" t="s">
        <v>17</v>
      </c>
      <c r="B62" s="1048"/>
      <c r="C62" s="519">
        <f>SUM(C34:C37)</f>
        <v>5</v>
      </c>
      <c r="D62" s="520">
        <f t="shared" ref="D62:J62" si="30">SUM(D34:D37)</f>
        <v>3</v>
      </c>
      <c r="E62" s="521">
        <f t="shared" si="30"/>
        <v>2</v>
      </c>
      <c r="F62" s="558">
        <f t="shared" si="30"/>
        <v>0</v>
      </c>
      <c r="G62" s="559">
        <f t="shared" si="30"/>
        <v>4</v>
      </c>
      <c r="H62" s="520">
        <f t="shared" si="30"/>
        <v>3</v>
      </c>
      <c r="I62" s="521">
        <f t="shared" si="30"/>
        <v>1</v>
      </c>
      <c r="J62" s="558">
        <f t="shared" si="30"/>
        <v>0</v>
      </c>
      <c r="K62" s="559">
        <f t="shared" ref="K62:N62" si="31">SUM(K34:K37)</f>
        <v>0</v>
      </c>
      <c r="L62" s="520">
        <f t="shared" si="31"/>
        <v>0</v>
      </c>
      <c r="M62" s="521">
        <f t="shared" si="31"/>
        <v>0</v>
      </c>
      <c r="N62" s="522">
        <f t="shared" si="31"/>
        <v>0</v>
      </c>
      <c r="O62" s="648"/>
      <c r="P62" s="519">
        <f t="shared" ref="P62:W62" si="32">SUM(P34:P37)</f>
        <v>2</v>
      </c>
      <c r="Q62" s="520">
        <f t="shared" si="32"/>
        <v>1</v>
      </c>
      <c r="R62" s="521">
        <f t="shared" si="32"/>
        <v>6</v>
      </c>
      <c r="S62" s="558">
        <f t="shared" si="32"/>
        <v>1</v>
      </c>
      <c r="T62" s="559">
        <f t="shared" si="32"/>
        <v>10</v>
      </c>
      <c r="U62" s="520">
        <f t="shared" si="32"/>
        <v>5</v>
      </c>
      <c r="V62" s="521">
        <f t="shared" si="32"/>
        <v>5</v>
      </c>
      <c r="W62" s="558">
        <f t="shared" si="32"/>
        <v>1</v>
      </c>
      <c r="X62" s="559">
        <f t="shared" ref="X62:AA62" si="33">SUM(X34:X37)</f>
        <v>0</v>
      </c>
      <c r="Y62" s="520">
        <f t="shared" si="33"/>
        <v>0</v>
      </c>
      <c r="Z62" s="521">
        <f t="shared" si="33"/>
        <v>0</v>
      </c>
      <c r="AA62" s="522">
        <f t="shared" si="33"/>
        <v>0</v>
      </c>
      <c r="AB62" s="958"/>
      <c r="AC62" s="958"/>
      <c r="AD62" s="102"/>
      <c r="AE62" s="189">
        <f t="shared" si="26"/>
        <v>37</v>
      </c>
      <c r="AF62" s="189">
        <f t="shared" si="27"/>
        <v>16</v>
      </c>
      <c r="AG62" s="189">
        <f t="shared" si="28"/>
        <v>14</v>
      </c>
      <c r="AH62" s="189">
        <f t="shared" si="29"/>
        <v>19</v>
      </c>
      <c r="AI62" s="104"/>
      <c r="AJ62" s="104"/>
      <c r="AK62" s="104"/>
    </row>
    <row r="63" spans="1:37" ht="54.95" customHeight="1">
      <c r="A63" s="1047" t="s">
        <v>10</v>
      </c>
      <c r="B63" s="1048"/>
      <c r="C63" s="519">
        <f>SUM(C36:C39)</f>
        <v>4</v>
      </c>
      <c r="D63" s="520">
        <f t="shared" ref="D63:J63" si="34">SUM(D36:D39)</f>
        <v>3</v>
      </c>
      <c r="E63" s="521">
        <f t="shared" si="34"/>
        <v>2</v>
      </c>
      <c r="F63" s="558">
        <f t="shared" si="34"/>
        <v>0</v>
      </c>
      <c r="G63" s="559">
        <f t="shared" si="34"/>
        <v>3</v>
      </c>
      <c r="H63" s="520">
        <f t="shared" si="34"/>
        <v>6</v>
      </c>
      <c r="I63" s="521">
        <f t="shared" si="34"/>
        <v>2</v>
      </c>
      <c r="J63" s="558">
        <f t="shared" si="34"/>
        <v>0</v>
      </c>
      <c r="K63" s="559">
        <f t="shared" ref="K63:N63" si="35">SUM(K36:K39)</f>
        <v>0</v>
      </c>
      <c r="L63" s="520">
        <f t="shared" si="35"/>
        <v>0</v>
      </c>
      <c r="M63" s="521">
        <f t="shared" si="35"/>
        <v>0</v>
      </c>
      <c r="N63" s="522">
        <f t="shared" si="35"/>
        <v>0</v>
      </c>
      <c r="O63" s="648"/>
      <c r="P63" s="519">
        <f t="shared" ref="P63:W63" si="36">SUM(P36:P39)</f>
        <v>1</v>
      </c>
      <c r="Q63" s="520">
        <f t="shared" si="36"/>
        <v>2</v>
      </c>
      <c r="R63" s="521">
        <f t="shared" si="36"/>
        <v>7</v>
      </c>
      <c r="S63" s="558">
        <f t="shared" si="36"/>
        <v>0</v>
      </c>
      <c r="T63" s="559">
        <f t="shared" si="36"/>
        <v>10</v>
      </c>
      <c r="U63" s="520">
        <f t="shared" si="36"/>
        <v>2</v>
      </c>
      <c r="V63" s="521">
        <f t="shared" si="36"/>
        <v>6</v>
      </c>
      <c r="W63" s="558">
        <f t="shared" si="36"/>
        <v>0</v>
      </c>
      <c r="X63" s="559">
        <f t="shared" ref="X63:AA63" si="37">SUM(X36:X39)</f>
        <v>0</v>
      </c>
      <c r="Y63" s="520">
        <f t="shared" si="37"/>
        <v>0</v>
      </c>
      <c r="Z63" s="521">
        <f t="shared" si="37"/>
        <v>0</v>
      </c>
      <c r="AA63" s="522">
        <f t="shared" si="37"/>
        <v>0</v>
      </c>
      <c r="AB63" s="958"/>
      <c r="AC63" s="958"/>
      <c r="AD63" s="102"/>
      <c r="AE63" s="189">
        <f t="shared" si="26"/>
        <v>36</v>
      </c>
      <c r="AF63" s="189">
        <f t="shared" si="27"/>
        <v>17</v>
      </c>
      <c r="AG63" s="189">
        <f t="shared" si="28"/>
        <v>17</v>
      </c>
      <c r="AH63" s="189">
        <f t="shared" si="29"/>
        <v>21</v>
      </c>
      <c r="AI63" s="104"/>
      <c r="AJ63" s="104"/>
      <c r="AK63" s="104"/>
    </row>
    <row r="64" spans="1:37" ht="54.95" customHeight="1">
      <c r="A64" s="1050" t="s">
        <v>29</v>
      </c>
      <c r="B64" s="1051"/>
      <c r="C64" s="525">
        <f>SUM(C38:C41)</f>
        <v>0</v>
      </c>
      <c r="D64" s="526">
        <f t="shared" ref="D64:J64" si="38">SUM(D38:D41)</f>
        <v>1</v>
      </c>
      <c r="E64" s="527">
        <f t="shared" si="38"/>
        <v>1</v>
      </c>
      <c r="F64" s="563">
        <f t="shared" si="38"/>
        <v>0</v>
      </c>
      <c r="G64" s="564">
        <f t="shared" si="38"/>
        <v>1</v>
      </c>
      <c r="H64" s="526">
        <f t="shared" si="38"/>
        <v>3</v>
      </c>
      <c r="I64" s="527">
        <f t="shared" si="38"/>
        <v>1</v>
      </c>
      <c r="J64" s="563">
        <f t="shared" si="38"/>
        <v>0</v>
      </c>
      <c r="K64" s="564">
        <f t="shared" ref="K64:N64" si="39">SUM(K38:K41)</f>
        <v>0</v>
      </c>
      <c r="L64" s="526">
        <f t="shared" si="39"/>
        <v>0</v>
      </c>
      <c r="M64" s="527">
        <f t="shared" si="39"/>
        <v>0</v>
      </c>
      <c r="N64" s="528">
        <f t="shared" si="39"/>
        <v>0</v>
      </c>
      <c r="O64" s="649"/>
      <c r="P64" s="525">
        <f t="shared" ref="P64:W64" si="40">SUM(P38:P41)</f>
        <v>0</v>
      </c>
      <c r="Q64" s="526">
        <f t="shared" si="40"/>
        <v>2</v>
      </c>
      <c r="R64" s="527">
        <f t="shared" si="40"/>
        <v>3</v>
      </c>
      <c r="S64" s="563">
        <f t="shared" si="40"/>
        <v>0</v>
      </c>
      <c r="T64" s="564">
        <f t="shared" si="40"/>
        <v>6</v>
      </c>
      <c r="U64" s="526">
        <f t="shared" si="40"/>
        <v>1</v>
      </c>
      <c r="V64" s="527">
        <f t="shared" si="40"/>
        <v>4</v>
      </c>
      <c r="W64" s="563">
        <f t="shared" si="40"/>
        <v>0</v>
      </c>
      <c r="X64" s="564">
        <f t="shared" ref="X64:AA64" si="41">SUM(X38:X41)</f>
        <v>0</v>
      </c>
      <c r="Y64" s="526">
        <f t="shared" si="41"/>
        <v>0</v>
      </c>
      <c r="Z64" s="527">
        <f t="shared" si="41"/>
        <v>0</v>
      </c>
      <c r="AA64" s="528">
        <f t="shared" si="41"/>
        <v>0</v>
      </c>
      <c r="AB64" s="958"/>
      <c r="AC64" s="958"/>
      <c r="AD64" s="102"/>
      <c r="AE64" s="190">
        <f>(C52+E52+G52+I52+K52+M52+P52+R52+T52+V52+X52+Z52+C64+E64+G64+I64+K64+M64+P64+R64+T64+V64+X64+Z64)</f>
        <v>16</v>
      </c>
      <c r="AF64" s="190">
        <f t="shared" si="27"/>
        <v>9</v>
      </c>
      <c r="AG64" s="190">
        <f t="shared" si="28"/>
        <v>9</v>
      </c>
      <c r="AH64" s="190">
        <f t="shared" si="29"/>
        <v>10</v>
      </c>
      <c r="AI64" s="104"/>
      <c r="AJ64" s="104"/>
      <c r="AK64" s="104"/>
    </row>
    <row r="65" spans="1:44" ht="54.95" customHeight="1">
      <c r="A65" s="1043" t="s">
        <v>12</v>
      </c>
      <c r="B65" s="1044"/>
      <c r="C65" s="374">
        <f>SUM(C30:C41)</f>
        <v>6</v>
      </c>
      <c r="D65" s="379">
        <f t="shared" ref="D65:J65" si="42">SUM(D30:D41)</f>
        <v>6</v>
      </c>
      <c r="E65" s="376">
        <f t="shared" si="42"/>
        <v>3</v>
      </c>
      <c r="F65" s="377">
        <f t="shared" si="42"/>
        <v>0</v>
      </c>
      <c r="G65" s="378">
        <f t="shared" si="42"/>
        <v>5</v>
      </c>
      <c r="H65" s="379">
        <f t="shared" si="42"/>
        <v>7</v>
      </c>
      <c r="I65" s="376">
        <f t="shared" si="42"/>
        <v>5</v>
      </c>
      <c r="J65" s="377">
        <f t="shared" si="42"/>
        <v>0</v>
      </c>
      <c r="K65" s="378">
        <f t="shared" ref="K65:N65" si="43">SUM(K30:K41)</f>
        <v>0</v>
      </c>
      <c r="L65" s="379">
        <f t="shared" si="43"/>
        <v>0</v>
      </c>
      <c r="M65" s="376">
        <f t="shared" si="43"/>
        <v>0</v>
      </c>
      <c r="N65" s="551">
        <f t="shared" si="43"/>
        <v>0</v>
      </c>
      <c r="O65" s="626"/>
      <c r="P65" s="374">
        <f t="shared" ref="P65:W65" si="44">SUM(P30:P41)</f>
        <v>2</v>
      </c>
      <c r="Q65" s="379">
        <f t="shared" si="44"/>
        <v>3</v>
      </c>
      <c r="R65" s="376">
        <f t="shared" si="44"/>
        <v>11</v>
      </c>
      <c r="S65" s="377">
        <f t="shared" si="44"/>
        <v>1</v>
      </c>
      <c r="T65" s="378">
        <f t="shared" si="44"/>
        <v>22</v>
      </c>
      <c r="U65" s="379">
        <f t="shared" si="44"/>
        <v>8</v>
      </c>
      <c r="V65" s="376">
        <f t="shared" si="44"/>
        <v>12</v>
      </c>
      <c r="W65" s="377">
        <f t="shared" si="44"/>
        <v>3</v>
      </c>
      <c r="X65" s="378">
        <f t="shared" ref="X65:AA65" si="45">SUM(X30:X41)</f>
        <v>0</v>
      </c>
      <c r="Y65" s="379">
        <f t="shared" si="45"/>
        <v>0</v>
      </c>
      <c r="Z65" s="376">
        <f t="shared" si="45"/>
        <v>0</v>
      </c>
      <c r="AA65" s="551">
        <f t="shared" si="45"/>
        <v>0</v>
      </c>
      <c r="AB65" s="105"/>
      <c r="AC65" s="105"/>
      <c r="AD65" s="105"/>
      <c r="AE65" s="191">
        <f>(C53+E53+G53+I53+K53+M53+P53+R53+T53+V53+X53+Z53+C65+E65+G65+I65+K65+M65+P65+R65+T65+V65+X65+Z65)</f>
        <v>68</v>
      </c>
      <c r="AF65" s="191">
        <f t="shared" ref="AF65:AF66" si="46">(E53+F53+I53+J53+M53+N53+R53+S53+V53+W53+Z53+AA53+E65+F65+I65+J65+M65+N65+R65+S65+V65+W65+Z65+AA65)</f>
        <v>35</v>
      </c>
      <c r="AG65" s="191">
        <f t="shared" ref="AG65:AG66" si="47">(E53+I53+M53+R53+V53+Z53+E65+I65+M65+R65+V65+Z65)</f>
        <v>31</v>
      </c>
      <c r="AH65" s="191">
        <f t="shared" si="29"/>
        <v>35</v>
      </c>
      <c r="AI65" s="105"/>
      <c r="AJ65" s="105"/>
      <c r="AK65" s="105"/>
    </row>
    <row r="66" spans="1:44" ht="54.95" customHeight="1" thickBot="1">
      <c r="A66" s="1045" t="str">
        <f>IF($AD$48=MAX($AD$48:$AD$52),A60,IF($AD$49=MAX($AD$48:$AD$52),A61,IF($AD$50=MAX($AD$48:$AD$52),A62,IF($AD$51=MAX($AD$48:$AD$52),A63,A64))))</f>
        <v>de 7:30 à 8:30</v>
      </c>
      <c r="B66" s="1046"/>
      <c r="C66" s="380">
        <f t="shared" ref="C66:N66" si="48">IF($AD$48=MAX($AD$48:$AD$52),C60,IF($AD$49=MAX($AD$48:$AD$52),C61,IF($AD$50=MAX($AD$48:$AD$52),C62,IF($AD$51=MAX($AD$48:$AD$52),C63,C64))))</f>
        <v>5</v>
      </c>
      <c r="D66" s="385">
        <f t="shared" si="48"/>
        <v>3</v>
      </c>
      <c r="E66" s="382">
        <f t="shared" si="48"/>
        <v>2</v>
      </c>
      <c r="F66" s="383">
        <f t="shared" si="48"/>
        <v>0</v>
      </c>
      <c r="G66" s="384">
        <f t="shared" si="48"/>
        <v>4</v>
      </c>
      <c r="H66" s="385">
        <f t="shared" si="48"/>
        <v>3</v>
      </c>
      <c r="I66" s="382">
        <f t="shared" si="48"/>
        <v>1</v>
      </c>
      <c r="J66" s="383">
        <f t="shared" si="48"/>
        <v>0</v>
      </c>
      <c r="K66" s="384">
        <f t="shared" si="48"/>
        <v>0</v>
      </c>
      <c r="L66" s="385">
        <f t="shared" si="48"/>
        <v>0</v>
      </c>
      <c r="M66" s="382">
        <f t="shared" si="48"/>
        <v>0</v>
      </c>
      <c r="N66" s="552">
        <f t="shared" si="48"/>
        <v>0</v>
      </c>
      <c r="O66" s="629"/>
      <c r="P66" s="380">
        <f t="shared" ref="P66:W66" si="49">IF($AD$48=MAX($AD$48:$AD$52),P60,IF($AD$49=MAX($AD$48:$AD$52),P61,IF($AD$50=MAX($AD$48:$AD$52),P62,IF($AD$51=MAX($AD$48:$AD$52),P63,P64))))</f>
        <v>2</v>
      </c>
      <c r="Q66" s="385">
        <f t="shared" si="49"/>
        <v>1</v>
      </c>
      <c r="R66" s="382">
        <f t="shared" si="49"/>
        <v>6</v>
      </c>
      <c r="S66" s="383">
        <f t="shared" si="49"/>
        <v>1</v>
      </c>
      <c r="T66" s="384">
        <f t="shared" si="49"/>
        <v>10</v>
      </c>
      <c r="U66" s="385">
        <f t="shared" si="49"/>
        <v>5</v>
      </c>
      <c r="V66" s="382">
        <f t="shared" si="49"/>
        <v>5</v>
      </c>
      <c r="W66" s="383">
        <f t="shared" si="49"/>
        <v>1</v>
      </c>
      <c r="X66" s="384">
        <f t="shared" ref="X66:AA66" si="50">IF($AD$48=MAX($AD$48:$AD$52),X60,IF($AD$49=MAX($AD$48:$AD$52),X61,IF($AD$50=MAX($AD$48:$AD$52),X62,IF($AD$51=MAX($AD$48:$AD$52),X63,X64))))</f>
        <v>0</v>
      </c>
      <c r="Y66" s="385">
        <f t="shared" si="50"/>
        <v>0</v>
      </c>
      <c r="Z66" s="382">
        <f t="shared" si="50"/>
        <v>0</v>
      </c>
      <c r="AA66" s="552">
        <f t="shared" si="50"/>
        <v>0</v>
      </c>
      <c r="AB66" s="105"/>
      <c r="AC66" s="105"/>
      <c r="AD66" s="105"/>
      <c r="AE66" s="192">
        <f t="shared" ref="AE66" si="51">(C54+E54+G54+I54+K54+M54+P54+R54+T54+V54+X54+Z54+C66+E66+G66+I66+K66+M66+P66+R66+T66+V66+X66+Z66)</f>
        <v>37</v>
      </c>
      <c r="AF66" s="192">
        <f t="shared" si="46"/>
        <v>16</v>
      </c>
      <c r="AG66" s="192">
        <f t="shared" si="47"/>
        <v>14</v>
      </c>
      <c r="AH66" s="192">
        <f t="shared" si="29"/>
        <v>19</v>
      </c>
      <c r="AI66" s="105"/>
      <c r="AJ66" s="105"/>
      <c r="AK66" s="105"/>
    </row>
    <row r="67" spans="1:44" ht="9" customHeight="1" thickTop="1">
      <c r="A67" s="106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106"/>
      <c r="AC67" s="61"/>
      <c r="AD67" s="61"/>
      <c r="AE67" s="61"/>
      <c r="AF67" s="61"/>
      <c r="AG67" s="61"/>
      <c r="AH67" s="61"/>
      <c r="AI67" s="61"/>
      <c r="AJ67" s="61"/>
      <c r="AK67" s="61"/>
      <c r="AL67" s="7"/>
      <c r="AM67" s="1"/>
      <c r="AN67" s="7"/>
      <c r="AO67" s="7"/>
      <c r="AP67" s="7"/>
      <c r="AQ67" s="7"/>
      <c r="AR67" s="7"/>
    </row>
    <row r="69" spans="1:44" ht="15" customHeight="1"/>
    <row r="70" spans="1:44" ht="14.25" customHeight="1"/>
    <row r="71" spans="1:44" ht="14.25" customHeight="1"/>
    <row r="72" spans="1:44" ht="14.25" customHeight="1"/>
  </sheetData>
  <mergeCells count="131">
    <mergeCell ref="P56:AA56"/>
    <mergeCell ref="A47:B47"/>
    <mergeCell ref="P27:S27"/>
    <mergeCell ref="T27:W27"/>
    <mergeCell ref="R28:S28"/>
    <mergeCell ref="X28:Y28"/>
    <mergeCell ref="Z28:AA28"/>
    <mergeCell ref="T9:U9"/>
    <mergeCell ref="V9:W9"/>
    <mergeCell ref="C27:F27"/>
    <mergeCell ref="G27:J27"/>
    <mergeCell ref="A32:A35"/>
    <mergeCell ref="A36:A39"/>
    <mergeCell ref="A17:A20"/>
    <mergeCell ref="A13:A16"/>
    <mergeCell ref="C24:N24"/>
    <mergeCell ref="A64:B64"/>
    <mergeCell ref="AB64:AC64"/>
    <mergeCell ref="A65:B65"/>
    <mergeCell ref="A66:B66"/>
    <mergeCell ref="K8:N8"/>
    <mergeCell ref="K9:L9"/>
    <mergeCell ref="M9:N9"/>
    <mergeCell ref="C44:N44"/>
    <mergeCell ref="P44:AA44"/>
    <mergeCell ref="K45:N45"/>
    <mergeCell ref="A61:B61"/>
    <mergeCell ref="AB61:AC61"/>
    <mergeCell ref="A62:B62"/>
    <mergeCell ref="AB62:AC62"/>
    <mergeCell ref="A63:B63"/>
    <mergeCell ref="AB63:AC63"/>
    <mergeCell ref="V58:W58"/>
    <mergeCell ref="AB58:AC58"/>
    <mergeCell ref="A59:B59"/>
    <mergeCell ref="AB59:AC59"/>
    <mergeCell ref="A60:B60"/>
    <mergeCell ref="AB60:AC60"/>
    <mergeCell ref="AB55:AC55"/>
    <mergeCell ref="A52:B52"/>
    <mergeCell ref="AG56:AG59"/>
    <mergeCell ref="AH56:AH59"/>
    <mergeCell ref="C57:F57"/>
    <mergeCell ref="G57:J57"/>
    <mergeCell ref="P57:S57"/>
    <mergeCell ref="T57:W57"/>
    <mergeCell ref="AB57:AC57"/>
    <mergeCell ref="C58:D58"/>
    <mergeCell ref="E58:F58"/>
    <mergeCell ref="G58:H58"/>
    <mergeCell ref="AB56:AC56"/>
    <mergeCell ref="AE56:AE59"/>
    <mergeCell ref="AF56:AF59"/>
    <mergeCell ref="I58:J58"/>
    <mergeCell ref="P58:Q58"/>
    <mergeCell ref="R58:S58"/>
    <mergeCell ref="T58:U58"/>
    <mergeCell ref="K57:N57"/>
    <mergeCell ref="X57:AA57"/>
    <mergeCell ref="K58:L58"/>
    <mergeCell ref="M58:N58"/>
    <mergeCell ref="X58:Y58"/>
    <mergeCell ref="Z58:AA58"/>
    <mergeCell ref="C56:N56"/>
    <mergeCell ref="AB52:AC52"/>
    <mergeCell ref="A53:B53"/>
    <mergeCell ref="AB53:AC53"/>
    <mergeCell ref="A54:B54"/>
    <mergeCell ref="AB54:AC54"/>
    <mergeCell ref="A49:B49"/>
    <mergeCell ref="AB49:AC49"/>
    <mergeCell ref="A50:B50"/>
    <mergeCell ref="AB50:AC50"/>
    <mergeCell ref="A51:B51"/>
    <mergeCell ref="AB51:AC51"/>
    <mergeCell ref="AH44:AH47"/>
    <mergeCell ref="AI44:AK47"/>
    <mergeCell ref="C45:F45"/>
    <mergeCell ref="G45:J45"/>
    <mergeCell ref="P45:S45"/>
    <mergeCell ref="T45:W45"/>
    <mergeCell ref="C46:D46"/>
    <mergeCell ref="E46:F46"/>
    <mergeCell ref="AD44:AD47"/>
    <mergeCell ref="AE44:AE47"/>
    <mergeCell ref="G46:H46"/>
    <mergeCell ref="I46:J46"/>
    <mergeCell ref="P46:Q46"/>
    <mergeCell ref="R46:S46"/>
    <mergeCell ref="T46:U46"/>
    <mergeCell ref="V46:W46"/>
    <mergeCell ref="X45:AA45"/>
    <mergeCell ref="K46:L46"/>
    <mergeCell ref="M46:N46"/>
    <mergeCell ref="X46:Y46"/>
    <mergeCell ref="Z46:AA46"/>
    <mergeCell ref="AB47:AC47"/>
    <mergeCell ref="A48:B48"/>
    <mergeCell ref="AB48:AC48"/>
    <mergeCell ref="AF44:AF47"/>
    <mergeCell ref="AG44:AG47"/>
    <mergeCell ref="X9:Y9"/>
    <mergeCell ref="Z9:AA9"/>
    <mergeCell ref="C26:N26"/>
    <mergeCell ref="K27:N27"/>
    <mergeCell ref="K28:L28"/>
    <mergeCell ref="M28:N28"/>
    <mergeCell ref="P26:AA26"/>
    <mergeCell ref="X27:AA27"/>
    <mergeCell ref="T28:U28"/>
    <mergeCell ref="V28:W28"/>
    <mergeCell ref="C28:D28"/>
    <mergeCell ref="E28:F28"/>
    <mergeCell ref="G28:H28"/>
    <mergeCell ref="I28:J28"/>
    <mergeCell ref="P28:Q28"/>
    <mergeCell ref="C7:N7"/>
    <mergeCell ref="P7:AA7"/>
    <mergeCell ref="X8:AA8"/>
    <mergeCell ref="C5:N5"/>
    <mergeCell ref="R5:AA5"/>
    <mergeCell ref="C9:D9"/>
    <mergeCell ref="E9:F9"/>
    <mergeCell ref="G9:H9"/>
    <mergeCell ref="I9:J9"/>
    <mergeCell ref="P9:Q9"/>
    <mergeCell ref="R9:S9"/>
    <mergeCell ref="C8:F8"/>
    <mergeCell ref="G8:J8"/>
    <mergeCell ref="P8:S8"/>
    <mergeCell ref="T8:W8"/>
  </mergeCells>
  <pageMargins left="0.19685039370078741" right="0.19685039370078741" top="0.39370078740157483" bottom="0.39370078740157483" header="0.59055118110236227" footer="0.59055118110236227"/>
  <pageSetup paperSize="9" scale="39" fitToHeight="0" pageOrder="overThenDown" orientation="landscape" useFirstPageNumber="1" r:id="rId1"/>
  <headerFooter alignWithMargins="0"/>
  <rowBreaks count="1" manualBreakCount="1">
    <brk id="67" max="2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N48"/>
  <sheetViews>
    <sheetView view="pageBreakPreview" zoomScale="55" zoomScaleNormal="40" zoomScaleSheetLayoutView="55" workbookViewId="0">
      <selection activeCell="M1" sqref="M1:O1"/>
    </sheetView>
  </sheetViews>
  <sheetFormatPr baseColWidth="10" defaultRowHeight="14.25" outlineLevelRow="1"/>
  <cols>
    <col min="1" max="1" width="9.125" style="8" customWidth="1"/>
    <col min="2" max="2" width="13.75" style="8" customWidth="1"/>
    <col min="3" max="10" width="12.875" style="8" customWidth="1"/>
    <col min="11" max="11" width="2.625" style="8" customWidth="1"/>
    <col min="12" max="19" width="12.875" style="8" customWidth="1"/>
    <col min="20" max="20" width="2.625" style="8" customWidth="1"/>
    <col min="21" max="28" width="12.875" style="8" customWidth="1"/>
    <col min="29" max="29" width="9.125" style="8" customWidth="1"/>
    <col min="30" max="30" width="13.75" style="8" customWidth="1"/>
    <col min="31" max="38" width="21.125" style="8" customWidth="1"/>
    <col min="39" max="39" width="82.625" style="8" customWidth="1"/>
    <col min="40" max="40" width="21.125" style="8" customWidth="1"/>
    <col min="41" max="45" width="10.625" style="8" customWidth="1"/>
    <col min="46" max="16384" width="11" style="8"/>
  </cols>
  <sheetData>
    <row r="1" spans="1:38" ht="52.5" customHeight="1" thickBot="1">
      <c r="A1" s="283" t="s">
        <v>89</v>
      </c>
      <c r="B1" s="284" t="s">
        <v>33</v>
      </c>
      <c r="C1" s="285"/>
      <c r="D1" s="285"/>
      <c r="E1" s="285"/>
      <c r="F1" s="286"/>
      <c r="G1" s="286"/>
      <c r="H1" s="285"/>
      <c r="I1" s="285"/>
      <c r="J1" s="286"/>
      <c r="K1" s="286"/>
      <c r="L1" s="286"/>
      <c r="M1" s="240" t="s">
        <v>30</v>
      </c>
      <c r="N1" s="241" t="s">
        <v>139</v>
      </c>
      <c r="O1" s="241"/>
      <c r="P1" s="285"/>
      <c r="Q1" s="285"/>
      <c r="R1" s="285"/>
      <c r="S1" s="285"/>
      <c r="T1" s="600"/>
      <c r="U1" s="285"/>
      <c r="V1" s="285"/>
      <c r="W1" s="758"/>
      <c r="X1" s="770"/>
      <c r="Y1" s="289"/>
      <c r="Z1" s="289"/>
      <c r="AA1" s="289"/>
      <c r="AB1" s="290"/>
    </row>
    <row r="2" spans="1:38" ht="52.5" customHeight="1" thickBot="1">
      <c r="A2" s="227" t="s">
        <v>2</v>
      </c>
      <c r="B2" s="228"/>
      <c r="C2" s="228"/>
      <c r="D2" s="228"/>
      <c r="E2" s="228"/>
      <c r="F2" s="228"/>
      <c r="G2" s="284" t="s">
        <v>129</v>
      </c>
      <c r="H2" s="285"/>
      <c r="I2" s="285"/>
      <c r="J2" s="285"/>
      <c r="K2" s="600"/>
      <c r="L2" s="285"/>
      <c r="M2" s="285"/>
      <c r="N2" s="285"/>
      <c r="O2" s="285"/>
      <c r="P2" s="285"/>
      <c r="Q2" s="285"/>
      <c r="R2" s="285"/>
      <c r="S2" s="285"/>
      <c r="T2" s="600"/>
      <c r="U2" s="285"/>
      <c r="V2" s="285"/>
      <c r="W2" s="758"/>
      <c r="X2" s="770"/>
      <c r="Y2" s="228"/>
      <c r="Z2" s="228"/>
      <c r="AA2" s="228"/>
      <c r="AB2" s="228"/>
    </row>
    <row r="3" spans="1:38" ht="52.5" customHeight="1" thickBot="1">
      <c r="A3" s="227" t="s">
        <v>3</v>
      </c>
      <c r="B3" s="228"/>
      <c r="C3" s="757" t="s">
        <v>151</v>
      </c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8"/>
      <c r="X3" s="770"/>
      <c r="Y3" s="228"/>
      <c r="Z3" s="228"/>
      <c r="AA3" s="228"/>
      <c r="AB3" s="245"/>
    </row>
    <row r="4" spans="1:38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45"/>
    </row>
    <row r="5" spans="1:38" s="642" customFormat="1" ht="75" customHeight="1">
      <c r="A5" s="639" t="s">
        <v>27</v>
      </c>
      <c r="B5" s="640"/>
      <c r="C5" s="866" t="s">
        <v>150</v>
      </c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666"/>
      <c r="AC5" s="666"/>
    </row>
    <row r="6" spans="1:38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597"/>
      <c r="L6" s="228"/>
      <c r="M6" s="228"/>
      <c r="N6" s="228"/>
      <c r="O6" s="228"/>
      <c r="P6" s="228"/>
      <c r="Q6" s="228"/>
      <c r="R6" s="228"/>
      <c r="S6" s="245"/>
      <c r="T6" s="598"/>
      <c r="U6" s="228"/>
      <c r="V6" s="228"/>
      <c r="W6" s="228"/>
      <c r="X6" s="228"/>
      <c r="Y6" s="228"/>
      <c r="Z6" s="228"/>
      <c r="AA6" s="228"/>
      <c r="AB6" s="245"/>
    </row>
    <row r="7" spans="1:38" ht="32.25" customHeight="1" thickTop="1">
      <c r="A7" s="227"/>
      <c r="B7" s="228"/>
      <c r="C7" s="875" t="s">
        <v>44</v>
      </c>
      <c r="D7" s="876"/>
      <c r="E7" s="876"/>
      <c r="F7" s="876"/>
      <c r="G7" s="876"/>
      <c r="H7" s="876"/>
      <c r="I7" s="876"/>
      <c r="J7" s="876"/>
      <c r="K7" s="664"/>
      <c r="L7" s="876" t="s">
        <v>46</v>
      </c>
      <c r="M7" s="876"/>
      <c r="N7" s="876"/>
      <c r="O7" s="876"/>
      <c r="P7" s="876"/>
      <c r="Q7" s="876"/>
      <c r="R7" s="876"/>
      <c r="S7" s="877"/>
      <c r="T7" s="665"/>
      <c r="U7" s="876" t="s">
        <v>39</v>
      </c>
      <c r="V7" s="876"/>
      <c r="W7" s="876"/>
      <c r="X7" s="876"/>
      <c r="Y7" s="876"/>
      <c r="Z7" s="876"/>
      <c r="AA7" s="876"/>
      <c r="AB7" s="877"/>
      <c r="AC7" s="17"/>
      <c r="AD7" s="17"/>
      <c r="AF7" s="9"/>
      <c r="AG7" s="9"/>
      <c r="AH7" s="9"/>
      <c r="AI7" s="9"/>
      <c r="AJ7" s="9"/>
      <c r="AK7" s="9"/>
      <c r="AL7" s="9"/>
    </row>
    <row r="8" spans="1:38" ht="22.7" customHeight="1">
      <c r="A8" s="227"/>
      <c r="B8" s="228"/>
      <c r="C8" s="878" t="s">
        <v>37</v>
      </c>
      <c r="D8" s="879"/>
      <c r="E8" s="879"/>
      <c r="F8" s="879"/>
      <c r="G8" s="1006" t="s">
        <v>45</v>
      </c>
      <c r="H8" s="1006"/>
      <c r="I8" s="1006"/>
      <c r="J8" s="1006"/>
      <c r="K8" s="583"/>
      <c r="L8" s="879" t="s">
        <v>37</v>
      </c>
      <c r="M8" s="879"/>
      <c r="N8" s="879"/>
      <c r="O8" s="879"/>
      <c r="P8" s="1006" t="s">
        <v>47</v>
      </c>
      <c r="Q8" s="1006"/>
      <c r="R8" s="1006"/>
      <c r="S8" s="1007"/>
      <c r="T8" s="656"/>
      <c r="U8" s="879" t="s">
        <v>47</v>
      </c>
      <c r="V8" s="879"/>
      <c r="W8" s="879"/>
      <c r="X8" s="879"/>
      <c r="Y8" s="1006" t="s">
        <v>45</v>
      </c>
      <c r="Z8" s="1006"/>
      <c r="AA8" s="1006"/>
      <c r="AB8" s="1007"/>
      <c r="AC8" s="17"/>
      <c r="AD8" s="17"/>
    </row>
    <row r="9" spans="1:38" ht="18.600000000000001" customHeight="1" thickBot="1">
      <c r="A9" s="227"/>
      <c r="B9" s="228"/>
      <c r="C9" s="913" t="s">
        <v>4</v>
      </c>
      <c r="D9" s="919"/>
      <c r="E9" s="920" t="s">
        <v>5</v>
      </c>
      <c r="F9" s="916"/>
      <c r="G9" s="917" t="s">
        <v>4</v>
      </c>
      <c r="H9" s="919"/>
      <c r="I9" s="920" t="s">
        <v>5</v>
      </c>
      <c r="J9" s="916"/>
      <c r="K9" s="624"/>
      <c r="L9" s="917" t="s">
        <v>4</v>
      </c>
      <c r="M9" s="919"/>
      <c r="N9" s="920" t="s">
        <v>5</v>
      </c>
      <c r="O9" s="916"/>
      <c r="P9" s="917" t="s">
        <v>4</v>
      </c>
      <c r="Q9" s="919"/>
      <c r="R9" s="920" t="s">
        <v>5</v>
      </c>
      <c r="S9" s="921"/>
      <c r="T9" s="624"/>
      <c r="U9" s="917" t="s">
        <v>4</v>
      </c>
      <c r="V9" s="919"/>
      <c r="W9" s="920" t="s">
        <v>5</v>
      </c>
      <c r="X9" s="916"/>
      <c r="Y9" s="917" t="s">
        <v>4</v>
      </c>
      <c r="Z9" s="919"/>
      <c r="AA9" s="920" t="s">
        <v>5</v>
      </c>
      <c r="AB9" s="921"/>
      <c r="AC9" s="17"/>
      <c r="AD9" s="17"/>
    </row>
    <row r="10" spans="1:38" ht="21" thickTop="1">
      <c r="A10" s="763" t="s">
        <v>6</v>
      </c>
      <c r="B10" s="764" t="s">
        <v>7</v>
      </c>
      <c r="C10" s="787" t="s">
        <v>8</v>
      </c>
      <c r="D10" s="829" t="s">
        <v>9</v>
      </c>
      <c r="E10" s="831" t="s">
        <v>8</v>
      </c>
      <c r="F10" s="804" t="s">
        <v>9</v>
      </c>
      <c r="G10" s="819" t="s">
        <v>8</v>
      </c>
      <c r="H10" s="829" t="s">
        <v>9</v>
      </c>
      <c r="I10" s="831" t="s">
        <v>8</v>
      </c>
      <c r="J10" s="804" t="s">
        <v>9</v>
      </c>
      <c r="K10" s="637"/>
      <c r="L10" s="819" t="s">
        <v>8</v>
      </c>
      <c r="M10" s="829" t="s">
        <v>9</v>
      </c>
      <c r="N10" s="831" t="s">
        <v>8</v>
      </c>
      <c r="O10" s="804" t="s">
        <v>9</v>
      </c>
      <c r="P10" s="819" t="s">
        <v>8</v>
      </c>
      <c r="Q10" s="829" t="s">
        <v>9</v>
      </c>
      <c r="R10" s="831" t="s">
        <v>8</v>
      </c>
      <c r="S10" s="833" t="s">
        <v>9</v>
      </c>
      <c r="T10" s="637"/>
      <c r="U10" s="819" t="s">
        <v>8</v>
      </c>
      <c r="V10" s="829" t="s">
        <v>9</v>
      </c>
      <c r="W10" s="831" t="s">
        <v>8</v>
      </c>
      <c r="X10" s="804" t="s">
        <v>9</v>
      </c>
      <c r="Y10" s="819" t="s">
        <v>8</v>
      </c>
      <c r="Z10" s="829" t="s">
        <v>9</v>
      </c>
      <c r="AA10" s="831" t="s">
        <v>8</v>
      </c>
      <c r="AB10" s="833" t="s">
        <v>9</v>
      </c>
      <c r="AC10" s="17"/>
      <c r="AD10" s="17"/>
      <c r="AE10" s="10"/>
    </row>
    <row r="11" spans="1:38" ht="54.95" hidden="1" customHeight="1" outlineLevel="1">
      <c r="A11" s="761">
        <v>6</v>
      </c>
      <c r="B11" s="762" t="s">
        <v>25</v>
      </c>
      <c r="C11" s="840"/>
      <c r="D11" s="841"/>
      <c r="E11" s="843"/>
      <c r="F11" s="844"/>
      <c r="G11" s="842"/>
      <c r="H11" s="841"/>
      <c r="I11" s="843"/>
      <c r="J11" s="844"/>
      <c r="K11" s="638"/>
      <c r="L11" s="842"/>
      <c r="M11" s="841"/>
      <c r="N11" s="843"/>
      <c r="O11" s="844"/>
      <c r="P11" s="842"/>
      <c r="Q11" s="841"/>
      <c r="R11" s="843"/>
      <c r="S11" s="845"/>
      <c r="T11" s="638"/>
      <c r="U11" s="842"/>
      <c r="V11" s="841"/>
      <c r="W11" s="843"/>
      <c r="X11" s="844"/>
      <c r="Y11" s="842"/>
      <c r="Z11" s="841"/>
      <c r="AA11" s="843"/>
      <c r="AB11" s="845"/>
      <c r="AC11" s="17"/>
      <c r="AD11" s="17"/>
      <c r="AE11" s="2"/>
      <c r="AF11" s="2"/>
      <c r="AG11" s="2"/>
      <c r="AH11" s="2"/>
      <c r="AI11" s="2"/>
      <c r="AJ11" s="2"/>
      <c r="AK11" s="2"/>
      <c r="AL11" s="2"/>
    </row>
    <row r="12" spans="1:38" ht="54.95" hidden="1" customHeight="1" outlineLevel="1">
      <c r="A12" s="761"/>
      <c r="B12" s="762" t="s">
        <v>26</v>
      </c>
      <c r="C12" s="840"/>
      <c r="D12" s="841"/>
      <c r="E12" s="843"/>
      <c r="F12" s="844"/>
      <c r="G12" s="842"/>
      <c r="H12" s="841"/>
      <c r="I12" s="843"/>
      <c r="J12" s="844"/>
      <c r="K12" s="638"/>
      <c r="L12" s="842"/>
      <c r="M12" s="841"/>
      <c r="N12" s="843"/>
      <c r="O12" s="844"/>
      <c r="P12" s="842"/>
      <c r="Q12" s="841"/>
      <c r="R12" s="843"/>
      <c r="S12" s="845"/>
      <c r="T12" s="638"/>
      <c r="U12" s="842"/>
      <c r="V12" s="841"/>
      <c r="W12" s="843"/>
      <c r="X12" s="844"/>
      <c r="Y12" s="842"/>
      <c r="Z12" s="841"/>
      <c r="AA12" s="843"/>
      <c r="AB12" s="845"/>
      <c r="AC12" s="17"/>
      <c r="AD12" s="17"/>
      <c r="AE12" s="2"/>
      <c r="AF12" s="2"/>
      <c r="AG12" s="2"/>
      <c r="AH12" s="2"/>
      <c r="AI12" s="2"/>
      <c r="AJ12" s="2"/>
      <c r="AK12" s="2"/>
      <c r="AL12" s="2"/>
    </row>
    <row r="13" spans="1:38" ht="54.95" customHeight="1" collapsed="1">
      <c r="A13" s="1008">
        <v>7</v>
      </c>
      <c r="B13" s="772" t="s">
        <v>140</v>
      </c>
      <c r="C13" s="791"/>
      <c r="D13" s="792"/>
      <c r="E13" s="807"/>
      <c r="F13" s="808"/>
      <c r="G13" s="823"/>
      <c r="H13" s="792"/>
      <c r="I13" s="807"/>
      <c r="J13" s="808"/>
      <c r="K13" s="638"/>
      <c r="L13" s="791"/>
      <c r="M13" s="792"/>
      <c r="N13" s="807"/>
      <c r="O13" s="808"/>
      <c r="P13" s="823"/>
      <c r="Q13" s="792"/>
      <c r="R13" s="807"/>
      <c r="S13" s="808"/>
      <c r="T13" s="638"/>
      <c r="U13" s="791">
        <v>1</v>
      </c>
      <c r="V13" s="792"/>
      <c r="W13" s="807">
        <v>2</v>
      </c>
      <c r="X13" s="808"/>
      <c r="Y13" s="823"/>
      <c r="Z13" s="792"/>
      <c r="AA13" s="807"/>
      <c r="AB13" s="808"/>
      <c r="AC13" s="17"/>
      <c r="AD13" s="17"/>
      <c r="AE13" s="2"/>
      <c r="AF13" s="2"/>
      <c r="AG13" s="2"/>
      <c r="AH13" s="2"/>
      <c r="AI13" s="2"/>
      <c r="AJ13" s="2"/>
      <c r="AK13" s="2"/>
      <c r="AL13" s="2"/>
    </row>
    <row r="14" spans="1:38" ht="54.95" customHeight="1">
      <c r="A14" s="1009"/>
      <c r="B14" s="773" t="s">
        <v>141</v>
      </c>
      <c r="C14" s="793"/>
      <c r="D14" s="794"/>
      <c r="E14" s="809"/>
      <c r="F14" s="810"/>
      <c r="G14" s="824"/>
      <c r="H14" s="794"/>
      <c r="I14" s="809"/>
      <c r="J14" s="810"/>
      <c r="K14" s="638"/>
      <c r="L14" s="793"/>
      <c r="M14" s="794"/>
      <c r="N14" s="809"/>
      <c r="O14" s="810"/>
      <c r="P14" s="824"/>
      <c r="Q14" s="794"/>
      <c r="R14" s="809">
        <v>1</v>
      </c>
      <c r="S14" s="810"/>
      <c r="T14" s="638"/>
      <c r="U14" s="793">
        <v>1</v>
      </c>
      <c r="V14" s="794">
        <v>2</v>
      </c>
      <c r="W14" s="809">
        <v>2</v>
      </c>
      <c r="X14" s="810"/>
      <c r="Y14" s="824"/>
      <c r="Z14" s="794"/>
      <c r="AA14" s="809"/>
      <c r="AB14" s="810"/>
      <c r="AC14" s="17"/>
      <c r="AD14" s="17"/>
      <c r="AE14" s="2"/>
      <c r="AF14" s="2"/>
      <c r="AG14" s="2"/>
      <c r="AH14" s="2"/>
      <c r="AI14" s="2"/>
      <c r="AJ14" s="2"/>
      <c r="AK14" s="2"/>
      <c r="AL14" s="2"/>
    </row>
    <row r="15" spans="1:38" ht="54.95" customHeight="1">
      <c r="A15" s="1009"/>
      <c r="B15" s="773" t="s">
        <v>142</v>
      </c>
      <c r="C15" s="795"/>
      <c r="D15" s="796"/>
      <c r="E15" s="811"/>
      <c r="F15" s="812"/>
      <c r="G15" s="825"/>
      <c r="H15" s="796"/>
      <c r="I15" s="811"/>
      <c r="J15" s="812"/>
      <c r="K15" s="638"/>
      <c r="L15" s="795"/>
      <c r="M15" s="796"/>
      <c r="N15" s="811"/>
      <c r="O15" s="812"/>
      <c r="P15" s="825">
        <v>1</v>
      </c>
      <c r="Q15" s="796"/>
      <c r="R15" s="811"/>
      <c r="S15" s="812"/>
      <c r="T15" s="638"/>
      <c r="U15" s="795">
        <v>3</v>
      </c>
      <c r="V15" s="796">
        <v>3</v>
      </c>
      <c r="W15" s="811">
        <v>3</v>
      </c>
      <c r="X15" s="812">
        <v>1</v>
      </c>
      <c r="Y15" s="825"/>
      <c r="Z15" s="796"/>
      <c r="AA15" s="811"/>
      <c r="AB15" s="812"/>
      <c r="AC15" s="17"/>
      <c r="AD15" s="17"/>
      <c r="AE15" s="2"/>
      <c r="AF15" s="2"/>
      <c r="AG15" s="2"/>
      <c r="AH15" s="2"/>
      <c r="AI15" s="2"/>
      <c r="AJ15" s="2"/>
      <c r="AK15" s="2"/>
      <c r="AL15" s="2"/>
    </row>
    <row r="16" spans="1:38" ht="54.95" customHeight="1" thickBot="1">
      <c r="A16" s="1010"/>
      <c r="B16" s="774" t="s">
        <v>143</v>
      </c>
      <c r="C16" s="797">
        <v>1</v>
      </c>
      <c r="D16" s="798">
        <v>1</v>
      </c>
      <c r="E16" s="813"/>
      <c r="F16" s="814"/>
      <c r="G16" s="826"/>
      <c r="H16" s="798"/>
      <c r="I16" s="813"/>
      <c r="J16" s="814"/>
      <c r="K16" s="638"/>
      <c r="L16" s="797"/>
      <c r="M16" s="798"/>
      <c r="N16" s="813"/>
      <c r="O16" s="814"/>
      <c r="P16" s="826"/>
      <c r="Q16" s="798"/>
      <c r="R16" s="813"/>
      <c r="S16" s="814"/>
      <c r="T16" s="638"/>
      <c r="U16" s="797"/>
      <c r="V16" s="798">
        <v>1</v>
      </c>
      <c r="W16" s="813">
        <v>1</v>
      </c>
      <c r="X16" s="814"/>
      <c r="Y16" s="826"/>
      <c r="Z16" s="798"/>
      <c r="AA16" s="813"/>
      <c r="AB16" s="814"/>
      <c r="AC16" s="17"/>
      <c r="AD16" s="17"/>
      <c r="AE16" s="2"/>
      <c r="AF16" s="2"/>
      <c r="AG16" s="2"/>
      <c r="AH16" s="2"/>
      <c r="AI16" s="2"/>
      <c r="AJ16" s="2"/>
      <c r="AK16" s="2"/>
      <c r="AL16" s="2"/>
    </row>
    <row r="17" spans="1:40" ht="54.95" customHeight="1">
      <c r="A17" s="1011">
        <v>8</v>
      </c>
      <c r="B17" s="775" t="s">
        <v>140</v>
      </c>
      <c r="C17" s="799"/>
      <c r="D17" s="800"/>
      <c r="E17" s="815">
        <v>1</v>
      </c>
      <c r="F17" s="816"/>
      <c r="G17" s="827"/>
      <c r="H17" s="800"/>
      <c r="I17" s="815"/>
      <c r="J17" s="816"/>
      <c r="K17" s="638"/>
      <c r="L17" s="799"/>
      <c r="M17" s="800"/>
      <c r="N17" s="815"/>
      <c r="O17" s="816"/>
      <c r="P17" s="827">
        <v>1</v>
      </c>
      <c r="Q17" s="800"/>
      <c r="R17" s="815"/>
      <c r="S17" s="816"/>
      <c r="T17" s="638"/>
      <c r="U17" s="799">
        <v>4</v>
      </c>
      <c r="V17" s="800">
        <v>2</v>
      </c>
      <c r="W17" s="815">
        <v>3</v>
      </c>
      <c r="X17" s="816"/>
      <c r="Y17" s="827"/>
      <c r="Z17" s="800"/>
      <c r="AA17" s="815"/>
      <c r="AB17" s="816"/>
      <c r="AC17" s="17"/>
      <c r="AD17" s="17"/>
      <c r="AE17" s="2"/>
      <c r="AF17" s="2"/>
      <c r="AG17" s="2"/>
      <c r="AH17" s="2"/>
      <c r="AI17" s="2"/>
      <c r="AJ17" s="2"/>
      <c r="AK17" s="2"/>
      <c r="AL17" s="2"/>
    </row>
    <row r="18" spans="1:40" ht="54.95" customHeight="1">
      <c r="A18" s="1009"/>
      <c r="B18" s="773" t="s">
        <v>141</v>
      </c>
      <c r="C18" s="793"/>
      <c r="D18" s="794"/>
      <c r="E18" s="809"/>
      <c r="F18" s="810"/>
      <c r="G18" s="824"/>
      <c r="H18" s="794"/>
      <c r="I18" s="809"/>
      <c r="J18" s="810"/>
      <c r="K18" s="638"/>
      <c r="L18" s="793"/>
      <c r="M18" s="794"/>
      <c r="N18" s="809"/>
      <c r="O18" s="810"/>
      <c r="P18" s="824">
        <v>1</v>
      </c>
      <c r="Q18" s="794"/>
      <c r="R18" s="809"/>
      <c r="S18" s="810"/>
      <c r="T18" s="638"/>
      <c r="U18" s="793">
        <v>1</v>
      </c>
      <c r="V18" s="794">
        <v>1</v>
      </c>
      <c r="W18" s="809">
        <v>2</v>
      </c>
      <c r="X18" s="810"/>
      <c r="Y18" s="824"/>
      <c r="Z18" s="794"/>
      <c r="AA18" s="809"/>
      <c r="AB18" s="810"/>
      <c r="AC18" s="17"/>
      <c r="AD18" s="17"/>
      <c r="AE18" s="2"/>
      <c r="AF18" s="2"/>
      <c r="AG18" s="2"/>
      <c r="AH18" s="2"/>
      <c r="AI18" s="2"/>
      <c r="AJ18" s="2"/>
      <c r="AK18" s="2"/>
      <c r="AL18" s="2"/>
    </row>
    <row r="19" spans="1:40" ht="54.95" customHeight="1">
      <c r="A19" s="1009"/>
      <c r="B19" s="773" t="s">
        <v>142</v>
      </c>
      <c r="C19" s="795"/>
      <c r="D19" s="796">
        <v>1</v>
      </c>
      <c r="E19" s="811"/>
      <c r="F19" s="812"/>
      <c r="G19" s="825"/>
      <c r="H19" s="796"/>
      <c r="I19" s="811"/>
      <c r="J19" s="812"/>
      <c r="K19" s="638"/>
      <c r="L19" s="795"/>
      <c r="M19" s="796"/>
      <c r="N19" s="811"/>
      <c r="O19" s="812"/>
      <c r="P19" s="825">
        <v>2</v>
      </c>
      <c r="Q19" s="796"/>
      <c r="R19" s="811">
        <v>1</v>
      </c>
      <c r="S19" s="812"/>
      <c r="T19" s="638"/>
      <c r="U19" s="795">
        <v>2</v>
      </c>
      <c r="V19" s="796">
        <v>1</v>
      </c>
      <c r="W19" s="811">
        <v>2</v>
      </c>
      <c r="X19" s="812"/>
      <c r="Y19" s="825"/>
      <c r="Z19" s="796"/>
      <c r="AA19" s="811"/>
      <c r="AB19" s="812"/>
      <c r="AC19" s="17"/>
      <c r="AD19" s="17"/>
      <c r="AE19" s="2"/>
      <c r="AF19" s="2"/>
      <c r="AG19" s="2"/>
      <c r="AH19" s="2"/>
      <c r="AI19" s="2"/>
      <c r="AJ19" s="2"/>
      <c r="AK19" s="2"/>
      <c r="AL19" s="2"/>
    </row>
    <row r="20" spans="1:40" ht="54.95" customHeight="1" thickBot="1">
      <c r="A20" s="1012"/>
      <c r="B20" s="776" t="s">
        <v>143</v>
      </c>
      <c r="C20" s="801"/>
      <c r="D20" s="802"/>
      <c r="E20" s="817"/>
      <c r="F20" s="818"/>
      <c r="G20" s="828"/>
      <c r="H20" s="802"/>
      <c r="I20" s="817"/>
      <c r="J20" s="818"/>
      <c r="K20" s="638"/>
      <c r="L20" s="801"/>
      <c r="M20" s="802"/>
      <c r="N20" s="817"/>
      <c r="O20" s="818"/>
      <c r="P20" s="828"/>
      <c r="Q20" s="802"/>
      <c r="R20" s="817"/>
      <c r="S20" s="818"/>
      <c r="T20" s="638"/>
      <c r="U20" s="801"/>
      <c r="V20" s="802">
        <v>2</v>
      </c>
      <c r="W20" s="817"/>
      <c r="X20" s="818"/>
      <c r="Y20" s="828"/>
      <c r="Z20" s="802"/>
      <c r="AA20" s="817"/>
      <c r="AB20" s="818"/>
      <c r="AC20" s="17"/>
      <c r="AD20" s="17"/>
      <c r="AE20" s="2"/>
      <c r="AF20" s="2"/>
      <c r="AG20" s="2"/>
      <c r="AH20" s="2"/>
      <c r="AI20" s="2"/>
      <c r="AJ20" s="2"/>
      <c r="AK20" s="2"/>
      <c r="AL20" s="2"/>
    </row>
    <row r="21" spans="1:40" ht="54.95" hidden="1" customHeight="1" outlineLevel="1">
      <c r="A21" s="297">
        <v>9</v>
      </c>
      <c r="B21" s="298" t="s">
        <v>23</v>
      </c>
      <c r="C21" s="356"/>
      <c r="D21" s="357"/>
      <c r="E21" s="358"/>
      <c r="F21" s="359"/>
      <c r="G21" s="360"/>
      <c r="H21" s="357"/>
      <c r="I21" s="358"/>
      <c r="J21" s="359"/>
      <c r="K21" s="638"/>
      <c r="L21" s="360"/>
      <c r="M21" s="357"/>
      <c r="N21" s="358"/>
      <c r="O21" s="359"/>
      <c r="P21" s="360"/>
      <c r="Q21" s="357"/>
      <c r="R21" s="358"/>
      <c r="S21" s="361"/>
      <c r="T21" s="638"/>
      <c r="U21" s="360"/>
      <c r="V21" s="357"/>
      <c r="W21" s="358"/>
      <c r="X21" s="359"/>
      <c r="Y21" s="360"/>
      <c r="Z21" s="357"/>
      <c r="AA21" s="358"/>
      <c r="AB21" s="361"/>
      <c r="AC21" s="17"/>
      <c r="AD21" s="17"/>
      <c r="AE21" s="2"/>
      <c r="AF21" s="2"/>
      <c r="AG21" s="2"/>
      <c r="AH21" s="2"/>
      <c r="AI21" s="2"/>
      <c r="AJ21" s="2"/>
      <c r="AK21" s="2"/>
      <c r="AL21" s="2"/>
    </row>
    <row r="22" spans="1:40" ht="54.95" hidden="1" customHeight="1" outlineLevel="1" thickBot="1">
      <c r="A22" s="300"/>
      <c r="B22" s="301" t="s">
        <v>24</v>
      </c>
      <c r="C22" s="362"/>
      <c r="D22" s="363"/>
      <c r="E22" s="364"/>
      <c r="F22" s="365"/>
      <c r="G22" s="366"/>
      <c r="H22" s="363"/>
      <c r="I22" s="364"/>
      <c r="J22" s="365"/>
      <c r="K22" s="638"/>
      <c r="L22" s="366"/>
      <c r="M22" s="363"/>
      <c r="N22" s="364"/>
      <c r="O22" s="365"/>
      <c r="P22" s="366"/>
      <c r="Q22" s="363"/>
      <c r="R22" s="364"/>
      <c r="S22" s="367"/>
      <c r="T22" s="638"/>
      <c r="U22" s="366"/>
      <c r="V22" s="363"/>
      <c r="W22" s="364"/>
      <c r="X22" s="365"/>
      <c r="Y22" s="366"/>
      <c r="Z22" s="363"/>
      <c r="AA22" s="364"/>
      <c r="AB22" s="367"/>
      <c r="AC22" s="17"/>
      <c r="AD22" s="17"/>
      <c r="AE22" s="2"/>
      <c r="AF22" s="2"/>
      <c r="AG22" s="2"/>
      <c r="AH22" s="2"/>
      <c r="AI22" s="2"/>
      <c r="AJ22" s="2"/>
      <c r="AK22" s="2"/>
      <c r="AL22" s="2"/>
    </row>
    <row r="23" spans="1:40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638"/>
      <c r="L23" s="596"/>
      <c r="M23" s="596"/>
      <c r="N23" s="596"/>
      <c r="O23" s="596"/>
      <c r="P23" s="596"/>
      <c r="Q23" s="596"/>
      <c r="R23" s="596"/>
      <c r="S23" s="596"/>
      <c r="T23" s="638"/>
      <c r="U23" s="596"/>
      <c r="V23" s="596"/>
      <c r="W23" s="596"/>
      <c r="X23" s="596"/>
      <c r="Y23" s="596"/>
      <c r="Z23" s="596"/>
      <c r="AA23" s="596"/>
      <c r="AB23" s="596"/>
      <c r="AC23" s="2"/>
      <c r="AD23" s="2"/>
      <c r="AE23" s="2"/>
      <c r="AF23" s="2"/>
      <c r="AG23" s="2"/>
      <c r="AH23" s="2"/>
    </row>
    <row r="24" spans="1:40" ht="75" customHeight="1" outlineLevel="1" thickBot="1">
      <c r="A24" s="639"/>
      <c r="B24" s="640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986"/>
      <c r="P24" s="594"/>
      <c r="Q24" s="594"/>
      <c r="R24" s="594"/>
      <c r="S24" s="594"/>
      <c r="T24" s="594"/>
      <c r="U24" s="594"/>
      <c r="V24" s="594"/>
      <c r="W24" s="594"/>
      <c r="X24" s="594"/>
      <c r="Y24" s="594"/>
      <c r="Z24" s="594"/>
      <c r="AA24" s="594"/>
      <c r="AB24" s="595"/>
    </row>
    <row r="25" spans="1:40" ht="32.25" customHeight="1" thickTop="1">
      <c r="A25" s="26"/>
      <c r="B25" s="27"/>
      <c r="C25" s="947" t="str">
        <f>C7</f>
        <v>Depuis 'Pas-de-l'Echelle'</v>
      </c>
      <c r="D25" s="948"/>
      <c r="E25" s="948"/>
      <c r="F25" s="948"/>
      <c r="G25" s="948"/>
      <c r="H25" s="948"/>
      <c r="I25" s="948"/>
      <c r="J25" s="948"/>
      <c r="K25" s="581"/>
      <c r="L25" s="948" t="str">
        <f>L7</f>
        <v>Depuis 'Annemasse'</v>
      </c>
      <c r="M25" s="948"/>
      <c r="N25" s="948"/>
      <c r="O25" s="948"/>
      <c r="P25" s="948"/>
      <c r="Q25" s="948"/>
      <c r="R25" s="948"/>
      <c r="S25" s="949"/>
      <c r="T25" s="657"/>
      <c r="U25" s="948" t="str">
        <f>U7</f>
        <v>Depuis 'Reignier'</v>
      </c>
      <c r="V25" s="948"/>
      <c r="W25" s="948"/>
      <c r="X25" s="948"/>
      <c r="Y25" s="948"/>
      <c r="Z25" s="948"/>
      <c r="AA25" s="948"/>
      <c r="AB25" s="949"/>
      <c r="AC25" s="26"/>
      <c r="AD25" s="27"/>
      <c r="AE25" s="928" t="s">
        <v>12</v>
      </c>
      <c r="AF25" s="869" t="s">
        <v>14</v>
      </c>
      <c r="AG25" s="869" t="s">
        <v>15</v>
      </c>
      <c r="AH25" s="869" t="s">
        <v>18</v>
      </c>
      <c r="AI25" s="869" t="s">
        <v>16</v>
      </c>
      <c r="AJ25" s="1003" t="s">
        <v>20</v>
      </c>
      <c r="AK25" s="995" t="s">
        <v>21</v>
      </c>
      <c r="AL25" s="1013" t="s">
        <v>22</v>
      </c>
      <c r="AM25" s="1014"/>
      <c r="AN25" s="1015"/>
    </row>
    <row r="26" spans="1:40" ht="22.7" customHeight="1">
      <c r="A26" s="26"/>
      <c r="B26" s="27"/>
      <c r="C26" s="944" t="str">
        <f>C8</f>
        <v>vers 'Reignier'</v>
      </c>
      <c r="D26" s="945"/>
      <c r="E26" s="945"/>
      <c r="F26" s="945"/>
      <c r="G26" s="944" t="str">
        <f>G8</f>
        <v>vers 'Annemasse'</v>
      </c>
      <c r="H26" s="945"/>
      <c r="I26" s="945"/>
      <c r="J26" s="945"/>
      <c r="K26" s="588"/>
      <c r="L26" s="944" t="str">
        <f>L8</f>
        <v>vers 'Reignier'</v>
      </c>
      <c r="M26" s="945"/>
      <c r="N26" s="945"/>
      <c r="O26" s="945"/>
      <c r="P26" s="944" t="str">
        <f>P8</f>
        <v>vers 'Pas-de-l'Echelle'</v>
      </c>
      <c r="Q26" s="945"/>
      <c r="R26" s="945"/>
      <c r="S26" s="945"/>
      <c r="T26" s="588"/>
      <c r="U26" s="944" t="str">
        <f>U8</f>
        <v>vers 'Pas-de-l'Echelle'</v>
      </c>
      <c r="V26" s="945"/>
      <c r="W26" s="945"/>
      <c r="X26" s="945"/>
      <c r="Y26" s="944" t="str">
        <f>Y8</f>
        <v>vers 'Annemasse'</v>
      </c>
      <c r="Z26" s="945"/>
      <c r="AA26" s="945"/>
      <c r="AB26" s="946"/>
      <c r="AC26" s="26"/>
      <c r="AD26" s="27"/>
      <c r="AE26" s="929"/>
      <c r="AF26" s="870"/>
      <c r="AG26" s="870"/>
      <c r="AH26" s="870"/>
      <c r="AI26" s="870"/>
      <c r="AJ26" s="1004"/>
      <c r="AK26" s="996"/>
      <c r="AL26" s="1016"/>
      <c r="AM26" s="1017"/>
      <c r="AN26" s="1018"/>
    </row>
    <row r="27" spans="1:40" ht="18.600000000000001" customHeight="1" thickBot="1">
      <c r="A27" s="26"/>
      <c r="B27" s="27"/>
      <c r="C27" s="1024" t="s">
        <v>4</v>
      </c>
      <c r="D27" s="973"/>
      <c r="E27" s="976" t="s">
        <v>5</v>
      </c>
      <c r="F27" s="977"/>
      <c r="G27" s="972" t="s">
        <v>4</v>
      </c>
      <c r="H27" s="973"/>
      <c r="I27" s="976" t="s">
        <v>5</v>
      </c>
      <c r="J27" s="977"/>
      <c r="K27" s="658"/>
      <c r="L27" s="972" t="s">
        <v>4</v>
      </c>
      <c r="M27" s="973"/>
      <c r="N27" s="976" t="s">
        <v>5</v>
      </c>
      <c r="O27" s="977"/>
      <c r="P27" s="972" t="s">
        <v>4</v>
      </c>
      <c r="Q27" s="973"/>
      <c r="R27" s="976" t="s">
        <v>5</v>
      </c>
      <c r="S27" s="978"/>
      <c r="T27" s="658"/>
      <c r="U27" s="972" t="s">
        <v>4</v>
      </c>
      <c r="V27" s="973"/>
      <c r="W27" s="976" t="s">
        <v>5</v>
      </c>
      <c r="X27" s="977"/>
      <c r="Y27" s="972" t="s">
        <v>4</v>
      </c>
      <c r="Z27" s="973"/>
      <c r="AA27" s="974" t="s">
        <v>5</v>
      </c>
      <c r="AB27" s="975"/>
      <c r="AC27" s="26"/>
      <c r="AD27" s="27"/>
      <c r="AE27" s="929"/>
      <c r="AF27" s="870"/>
      <c r="AG27" s="870"/>
      <c r="AH27" s="870"/>
      <c r="AI27" s="870"/>
      <c r="AJ27" s="1004"/>
      <c r="AK27" s="996"/>
      <c r="AL27" s="1016"/>
      <c r="AM27" s="1017"/>
      <c r="AN27" s="1018"/>
    </row>
    <row r="28" spans="1:40" ht="21" thickTop="1">
      <c r="A28" s="931" t="s">
        <v>13</v>
      </c>
      <c r="B28" s="932"/>
      <c r="C28" s="15" t="s">
        <v>8</v>
      </c>
      <c r="D28" s="4" t="s">
        <v>9</v>
      </c>
      <c r="E28" s="5" t="s">
        <v>8</v>
      </c>
      <c r="F28" s="6" t="s">
        <v>9</v>
      </c>
      <c r="G28" s="3" t="s">
        <v>8</v>
      </c>
      <c r="H28" s="4" t="s">
        <v>9</v>
      </c>
      <c r="I28" s="5" t="s">
        <v>8</v>
      </c>
      <c r="J28" s="6" t="s">
        <v>9</v>
      </c>
      <c r="K28" s="630"/>
      <c r="L28" s="3" t="s">
        <v>8</v>
      </c>
      <c r="M28" s="4" t="s">
        <v>9</v>
      </c>
      <c r="N28" s="5" t="s">
        <v>8</v>
      </c>
      <c r="O28" s="6" t="s">
        <v>9</v>
      </c>
      <c r="P28" s="3" t="s">
        <v>8</v>
      </c>
      <c r="Q28" s="4" t="s">
        <v>9</v>
      </c>
      <c r="R28" s="5" t="s">
        <v>8</v>
      </c>
      <c r="S28" s="16" t="s">
        <v>9</v>
      </c>
      <c r="T28" s="630"/>
      <c r="U28" s="3" t="s">
        <v>8</v>
      </c>
      <c r="V28" s="4" t="s">
        <v>9</v>
      </c>
      <c r="W28" s="5" t="s">
        <v>8</v>
      </c>
      <c r="X28" s="6" t="s">
        <v>9</v>
      </c>
      <c r="Y28" s="3" t="s">
        <v>8</v>
      </c>
      <c r="Z28" s="4" t="s">
        <v>9</v>
      </c>
      <c r="AA28" s="5" t="s">
        <v>8</v>
      </c>
      <c r="AB28" s="16" t="s">
        <v>9</v>
      </c>
      <c r="AC28" s="933" t="s">
        <v>13</v>
      </c>
      <c r="AD28" s="934"/>
      <c r="AE28" s="929"/>
      <c r="AF28" s="871"/>
      <c r="AG28" s="871"/>
      <c r="AH28" s="871"/>
      <c r="AI28" s="871"/>
      <c r="AJ28" s="1005"/>
      <c r="AK28" s="997"/>
      <c r="AL28" s="1019"/>
      <c r="AM28" s="1020"/>
      <c r="AN28" s="1021"/>
    </row>
    <row r="29" spans="1:40" ht="54.95" customHeight="1">
      <c r="A29" s="935" t="s">
        <v>28</v>
      </c>
      <c r="B29" s="936"/>
      <c r="C29" s="31">
        <f t="shared" ref="C29:AB29" si="0">SUM(C11:C14)</f>
        <v>0</v>
      </c>
      <c r="D29" s="32">
        <f t="shared" si="0"/>
        <v>0</v>
      </c>
      <c r="E29" s="33">
        <f t="shared" si="0"/>
        <v>0</v>
      </c>
      <c r="F29" s="34">
        <f t="shared" si="0"/>
        <v>0</v>
      </c>
      <c r="G29" s="35">
        <f t="shared" si="0"/>
        <v>0</v>
      </c>
      <c r="H29" s="32">
        <f t="shared" si="0"/>
        <v>0</v>
      </c>
      <c r="I29" s="33">
        <f t="shared" si="0"/>
        <v>0</v>
      </c>
      <c r="J29" s="34">
        <f t="shared" si="0"/>
        <v>0</v>
      </c>
      <c r="K29" s="659"/>
      <c r="L29" s="35">
        <f t="shared" si="0"/>
        <v>0</v>
      </c>
      <c r="M29" s="32">
        <f t="shared" si="0"/>
        <v>0</v>
      </c>
      <c r="N29" s="33">
        <f t="shared" si="0"/>
        <v>0</v>
      </c>
      <c r="O29" s="34">
        <f t="shared" si="0"/>
        <v>0</v>
      </c>
      <c r="P29" s="35">
        <f t="shared" si="0"/>
        <v>0</v>
      </c>
      <c r="Q29" s="32">
        <f t="shared" si="0"/>
        <v>0</v>
      </c>
      <c r="R29" s="33">
        <f t="shared" si="0"/>
        <v>1</v>
      </c>
      <c r="S29" s="36">
        <f t="shared" si="0"/>
        <v>0</v>
      </c>
      <c r="T29" s="659"/>
      <c r="U29" s="35">
        <f t="shared" si="0"/>
        <v>2</v>
      </c>
      <c r="V29" s="32">
        <f t="shared" si="0"/>
        <v>2</v>
      </c>
      <c r="W29" s="33">
        <f t="shared" si="0"/>
        <v>4</v>
      </c>
      <c r="X29" s="34">
        <f t="shared" si="0"/>
        <v>0</v>
      </c>
      <c r="Y29" s="35">
        <f t="shared" si="0"/>
        <v>0</v>
      </c>
      <c r="Z29" s="32">
        <f t="shared" si="0"/>
        <v>0</v>
      </c>
      <c r="AA29" s="33">
        <f t="shared" si="0"/>
        <v>0</v>
      </c>
      <c r="AB29" s="36">
        <f t="shared" si="0"/>
        <v>0</v>
      </c>
      <c r="AC29" s="987" t="s">
        <v>28</v>
      </c>
      <c r="AD29" s="988"/>
      <c r="AE29" s="62">
        <f t="shared" ref="AE29:AE35" si="1">SUM(C29:AB29)</f>
        <v>9</v>
      </c>
      <c r="AF29" s="118">
        <f>IF(AE29=0,0,AF41/AE29)</f>
        <v>0.77777777777777779</v>
      </c>
      <c r="AG29" s="118">
        <f>IF(AE29=0,0,AG41/AE29)</f>
        <v>0.55555555555555558</v>
      </c>
      <c r="AH29" s="118">
        <f>IF(AG41=0,0,AH41/AG41)</f>
        <v>1</v>
      </c>
      <c r="AI29" s="118">
        <f t="shared" ref="AI29:AI35" si="2">IF(AE29=0,0,AI41/AE29)</f>
        <v>1</v>
      </c>
      <c r="AJ29" s="63">
        <f>SUM(U29:AB29)</f>
        <v>8</v>
      </c>
      <c r="AK29" s="63" t="e">
        <f>#REF!</f>
        <v>#REF!</v>
      </c>
      <c r="AL29" s="64" t="e">
        <f>AK29-AJ29</f>
        <v>#REF!</v>
      </c>
      <c r="AM29" s="1022"/>
      <c r="AN29" s="1023"/>
    </row>
    <row r="30" spans="1:40" ht="54.95" customHeight="1">
      <c r="A30" s="939" t="s">
        <v>11</v>
      </c>
      <c r="B30" s="940"/>
      <c r="C30" s="37">
        <f t="shared" ref="C30:AB30" si="3">SUM(C13:C16)</f>
        <v>1</v>
      </c>
      <c r="D30" s="38">
        <f t="shared" si="3"/>
        <v>1</v>
      </c>
      <c r="E30" s="39">
        <f t="shared" si="3"/>
        <v>0</v>
      </c>
      <c r="F30" s="40">
        <f t="shared" si="3"/>
        <v>0</v>
      </c>
      <c r="G30" s="41">
        <f t="shared" si="3"/>
        <v>0</v>
      </c>
      <c r="H30" s="38">
        <f t="shared" si="3"/>
        <v>0</v>
      </c>
      <c r="I30" s="39">
        <f t="shared" si="3"/>
        <v>0</v>
      </c>
      <c r="J30" s="40">
        <f t="shared" si="3"/>
        <v>0</v>
      </c>
      <c r="K30" s="660"/>
      <c r="L30" s="41">
        <f t="shared" si="3"/>
        <v>0</v>
      </c>
      <c r="M30" s="38">
        <f t="shared" si="3"/>
        <v>0</v>
      </c>
      <c r="N30" s="39">
        <f t="shared" si="3"/>
        <v>0</v>
      </c>
      <c r="O30" s="40">
        <f t="shared" si="3"/>
        <v>0</v>
      </c>
      <c r="P30" s="41">
        <f t="shared" si="3"/>
        <v>1</v>
      </c>
      <c r="Q30" s="38">
        <f t="shared" si="3"/>
        <v>0</v>
      </c>
      <c r="R30" s="39">
        <f t="shared" si="3"/>
        <v>1</v>
      </c>
      <c r="S30" s="42">
        <f t="shared" si="3"/>
        <v>0</v>
      </c>
      <c r="T30" s="660"/>
      <c r="U30" s="41">
        <f t="shared" si="3"/>
        <v>5</v>
      </c>
      <c r="V30" s="38">
        <f t="shared" si="3"/>
        <v>6</v>
      </c>
      <c r="W30" s="39">
        <f t="shared" si="3"/>
        <v>8</v>
      </c>
      <c r="X30" s="40">
        <f t="shared" si="3"/>
        <v>1</v>
      </c>
      <c r="Y30" s="41">
        <f t="shared" si="3"/>
        <v>0</v>
      </c>
      <c r="Z30" s="38">
        <f t="shared" si="3"/>
        <v>0</v>
      </c>
      <c r="AA30" s="39">
        <f t="shared" si="3"/>
        <v>0</v>
      </c>
      <c r="AB30" s="42">
        <f t="shared" si="3"/>
        <v>0</v>
      </c>
      <c r="AC30" s="970" t="s">
        <v>11</v>
      </c>
      <c r="AD30" s="971"/>
      <c r="AE30" s="65">
        <f t="shared" si="1"/>
        <v>24</v>
      </c>
      <c r="AF30" s="120">
        <f t="shared" ref="AF30:AF35" si="4">IF(AE30=0,0,AF42/AE30)</f>
        <v>0.66666666666666663</v>
      </c>
      <c r="AG30" s="120">
        <f t="shared" ref="AG30:AG35" si="5">IF(AE30=0,0,AG42/AE30)</f>
        <v>0.41666666666666669</v>
      </c>
      <c r="AH30" s="120">
        <f t="shared" ref="AH30:AH35" si="6">IF(AG42=0,0,AH42/AG42)</f>
        <v>0.9</v>
      </c>
      <c r="AI30" s="120">
        <f t="shared" si="2"/>
        <v>0.91666666666666663</v>
      </c>
      <c r="AJ30" s="66">
        <f t="shared" ref="AJ30:AJ35" si="7">SUM(U30:AB30)</f>
        <v>20</v>
      </c>
      <c r="AK30" s="66" t="e">
        <f>#REF!</f>
        <v>#REF!</v>
      </c>
      <c r="AL30" s="67" t="e">
        <f t="shared" ref="AL30:AL35" si="8">AK30-AJ30</f>
        <v>#REF!</v>
      </c>
      <c r="AM30" s="989"/>
      <c r="AN30" s="990"/>
    </row>
    <row r="31" spans="1:40" ht="54.95" customHeight="1">
      <c r="A31" s="939" t="s">
        <v>17</v>
      </c>
      <c r="B31" s="940"/>
      <c r="C31" s="37">
        <f t="shared" ref="C31:AB31" si="9">SUM(C15:C18)</f>
        <v>1</v>
      </c>
      <c r="D31" s="38">
        <f t="shared" si="9"/>
        <v>1</v>
      </c>
      <c r="E31" s="39">
        <f t="shared" si="9"/>
        <v>1</v>
      </c>
      <c r="F31" s="40">
        <f t="shared" si="9"/>
        <v>0</v>
      </c>
      <c r="G31" s="41">
        <f t="shared" si="9"/>
        <v>0</v>
      </c>
      <c r="H31" s="38">
        <f t="shared" si="9"/>
        <v>0</v>
      </c>
      <c r="I31" s="39">
        <f t="shared" si="9"/>
        <v>0</v>
      </c>
      <c r="J31" s="40">
        <f t="shared" si="9"/>
        <v>0</v>
      </c>
      <c r="K31" s="660"/>
      <c r="L31" s="41">
        <f t="shared" si="9"/>
        <v>0</v>
      </c>
      <c r="M31" s="38">
        <f t="shared" si="9"/>
        <v>0</v>
      </c>
      <c r="N31" s="39">
        <f t="shared" si="9"/>
        <v>0</v>
      </c>
      <c r="O31" s="40">
        <f t="shared" si="9"/>
        <v>0</v>
      </c>
      <c r="P31" s="41">
        <f t="shared" si="9"/>
        <v>3</v>
      </c>
      <c r="Q31" s="38">
        <f t="shared" si="9"/>
        <v>0</v>
      </c>
      <c r="R31" s="39">
        <f t="shared" si="9"/>
        <v>0</v>
      </c>
      <c r="S31" s="42">
        <f t="shared" si="9"/>
        <v>0</v>
      </c>
      <c r="T31" s="660"/>
      <c r="U31" s="41">
        <f t="shared" si="9"/>
        <v>8</v>
      </c>
      <c r="V31" s="38">
        <f t="shared" si="9"/>
        <v>7</v>
      </c>
      <c r="W31" s="39">
        <f t="shared" si="9"/>
        <v>9</v>
      </c>
      <c r="X31" s="40">
        <f t="shared" si="9"/>
        <v>1</v>
      </c>
      <c r="Y31" s="41">
        <f t="shared" si="9"/>
        <v>0</v>
      </c>
      <c r="Z31" s="38">
        <f t="shared" si="9"/>
        <v>0</v>
      </c>
      <c r="AA31" s="39">
        <f t="shared" si="9"/>
        <v>0</v>
      </c>
      <c r="AB31" s="42">
        <f t="shared" si="9"/>
        <v>0</v>
      </c>
      <c r="AC31" s="970" t="s">
        <v>17</v>
      </c>
      <c r="AD31" s="971"/>
      <c r="AE31" s="65">
        <f t="shared" si="1"/>
        <v>31</v>
      </c>
      <c r="AF31" s="120">
        <f t="shared" si="4"/>
        <v>0.70967741935483875</v>
      </c>
      <c r="AG31" s="120">
        <f t="shared" si="5"/>
        <v>0.35483870967741937</v>
      </c>
      <c r="AH31" s="120">
        <f t="shared" si="6"/>
        <v>0.90909090909090906</v>
      </c>
      <c r="AI31" s="120">
        <f t="shared" si="2"/>
        <v>0.90322580645161288</v>
      </c>
      <c r="AJ31" s="66">
        <f t="shared" si="7"/>
        <v>25</v>
      </c>
      <c r="AK31" s="66" t="e">
        <f>#REF!</f>
        <v>#REF!</v>
      </c>
      <c r="AL31" s="67" t="e">
        <f t="shared" si="8"/>
        <v>#REF!</v>
      </c>
      <c r="AM31" s="989"/>
      <c r="AN31" s="990"/>
    </row>
    <row r="32" spans="1:40" ht="54.95" customHeight="1">
      <c r="A32" s="939" t="s">
        <v>10</v>
      </c>
      <c r="B32" s="940"/>
      <c r="C32" s="37">
        <f t="shared" ref="C32:AB32" si="10">SUM(C17:C20)</f>
        <v>0</v>
      </c>
      <c r="D32" s="38">
        <f t="shared" si="10"/>
        <v>1</v>
      </c>
      <c r="E32" s="39">
        <f t="shared" si="10"/>
        <v>1</v>
      </c>
      <c r="F32" s="40">
        <f t="shared" si="10"/>
        <v>0</v>
      </c>
      <c r="G32" s="41">
        <f t="shared" si="10"/>
        <v>0</v>
      </c>
      <c r="H32" s="38">
        <f t="shared" si="10"/>
        <v>0</v>
      </c>
      <c r="I32" s="39">
        <f t="shared" si="10"/>
        <v>0</v>
      </c>
      <c r="J32" s="40">
        <f t="shared" si="10"/>
        <v>0</v>
      </c>
      <c r="K32" s="660"/>
      <c r="L32" s="41">
        <f t="shared" si="10"/>
        <v>0</v>
      </c>
      <c r="M32" s="38">
        <f t="shared" si="10"/>
        <v>0</v>
      </c>
      <c r="N32" s="39">
        <f t="shared" si="10"/>
        <v>0</v>
      </c>
      <c r="O32" s="40">
        <f t="shared" si="10"/>
        <v>0</v>
      </c>
      <c r="P32" s="41">
        <f t="shared" si="10"/>
        <v>4</v>
      </c>
      <c r="Q32" s="38">
        <f t="shared" si="10"/>
        <v>0</v>
      </c>
      <c r="R32" s="39">
        <f t="shared" si="10"/>
        <v>1</v>
      </c>
      <c r="S32" s="42">
        <f t="shared" si="10"/>
        <v>0</v>
      </c>
      <c r="T32" s="660"/>
      <c r="U32" s="41">
        <f t="shared" si="10"/>
        <v>7</v>
      </c>
      <c r="V32" s="38">
        <f t="shared" si="10"/>
        <v>6</v>
      </c>
      <c r="W32" s="39">
        <f t="shared" si="10"/>
        <v>7</v>
      </c>
      <c r="X32" s="40">
        <f t="shared" si="10"/>
        <v>0</v>
      </c>
      <c r="Y32" s="41">
        <f t="shared" si="10"/>
        <v>0</v>
      </c>
      <c r="Z32" s="38">
        <f t="shared" si="10"/>
        <v>0</v>
      </c>
      <c r="AA32" s="39">
        <f t="shared" si="10"/>
        <v>0</v>
      </c>
      <c r="AB32" s="42">
        <f t="shared" si="10"/>
        <v>0</v>
      </c>
      <c r="AC32" s="970" t="s">
        <v>10</v>
      </c>
      <c r="AD32" s="971"/>
      <c r="AE32" s="65">
        <f t="shared" si="1"/>
        <v>27</v>
      </c>
      <c r="AF32" s="120">
        <f t="shared" si="4"/>
        <v>0.7407407407407407</v>
      </c>
      <c r="AG32" s="120">
        <f t="shared" si="5"/>
        <v>0.33333333333333331</v>
      </c>
      <c r="AH32" s="120">
        <f t="shared" si="6"/>
        <v>1</v>
      </c>
      <c r="AI32" s="120">
        <f t="shared" si="2"/>
        <v>0.92592592592592593</v>
      </c>
      <c r="AJ32" s="66">
        <f t="shared" si="7"/>
        <v>20</v>
      </c>
      <c r="AK32" s="66" t="e">
        <f>#REF!</f>
        <v>#REF!</v>
      </c>
      <c r="AL32" s="67" t="e">
        <f t="shared" ref="AL32" si="11">AK32-AJ32</f>
        <v>#REF!</v>
      </c>
      <c r="AM32" s="989"/>
      <c r="AN32" s="990"/>
    </row>
    <row r="33" spans="1:40" ht="54.95" customHeight="1">
      <c r="A33" s="959" t="s">
        <v>29</v>
      </c>
      <c r="B33" s="960"/>
      <c r="C33" s="43">
        <f t="shared" ref="C33:AB33" si="12">SUM(C19:C22)</f>
        <v>0</v>
      </c>
      <c r="D33" s="44">
        <f t="shared" si="12"/>
        <v>1</v>
      </c>
      <c r="E33" s="45">
        <f t="shared" si="12"/>
        <v>0</v>
      </c>
      <c r="F33" s="46">
        <f t="shared" si="12"/>
        <v>0</v>
      </c>
      <c r="G33" s="47">
        <f t="shared" si="12"/>
        <v>0</v>
      </c>
      <c r="H33" s="44">
        <f t="shared" si="12"/>
        <v>0</v>
      </c>
      <c r="I33" s="45">
        <f t="shared" si="12"/>
        <v>0</v>
      </c>
      <c r="J33" s="46">
        <f t="shared" si="12"/>
        <v>0</v>
      </c>
      <c r="K33" s="661"/>
      <c r="L33" s="47">
        <f t="shared" si="12"/>
        <v>0</v>
      </c>
      <c r="M33" s="44">
        <f t="shared" si="12"/>
        <v>0</v>
      </c>
      <c r="N33" s="45">
        <f t="shared" si="12"/>
        <v>0</v>
      </c>
      <c r="O33" s="46">
        <f t="shared" si="12"/>
        <v>0</v>
      </c>
      <c r="P33" s="47">
        <f t="shared" si="12"/>
        <v>2</v>
      </c>
      <c r="Q33" s="44">
        <f t="shared" si="12"/>
        <v>0</v>
      </c>
      <c r="R33" s="45">
        <f t="shared" si="12"/>
        <v>1</v>
      </c>
      <c r="S33" s="48">
        <f t="shared" si="12"/>
        <v>0</v>
      </c>
      <c r="T33" s="661"/>
      <c r="U33" s="47">
        <f t="shared" si="12"/>
        <v>2</v>
      </c>
      <c r="V33" s="44">
        <f t="shared" si="12"/>
        <v>3</v>
      </c>
      <c r="W33" s="45">
        <f t="shared" si="12"/>
        <v>2</v>
      </c>
      <c r="X33" s="46">
        <f t="shared" si="12"/>
        <v>0</v>
      </c>
      <c r="Y33" s="47">
        <f t="shared" si="12"/>
        <v>0</v>
      </c>
      <c r="Z33" s="44">
        <f t="shared" si="12"/>
        <v>0</v>
      </c>
      <c r="AA33" s="45">
        <f t="shared" si="12"/>
        <v>0</v>
      </c>
      <c r="AB33" s="48">
        <f t="shared" si="12"/>
        <v>0</v>
      </c>
      <c r="AC33" s="993" t="s">
        <v>29</v>
      </c>
      <c r="AD33" s="994"/>
      <c r="AE33" s="68">
        <f t="shared" si="1"/>
        <v>11</v>
      </c>
      <c r="AF33" s="122">
        <f t="shared" si="4"/>
        <v>0.63636363636363635</v>
      </c>
      <c r="AG33" s="122">
        <f t="shared" si="5"/>
        <v>0.27272727272727271</v>
      </c>
      <c r="AH33" s="122">
        <f t="shared" si="6"/>
        <v>1</v>
      </c>
      <c r="AI33" s="122">
        <f t="shared" si="2"/>
        <v>0.90909090909090906</v>
      </c>
      <c r="AJ33" s="69">
        <f t="shared" si="7"/>
        <v>7</v>
      </c>
      <c r="AK33" s="69" t="e">
        <f>#REF!</f>
        <v>#REF!</v>
      </c>
      <c r="AL33" s="70" t="e">
        <f t="shared" ref="AL33" si="13">AK33-AJ33</f>
        <v>#REF!</v>
      </c>
      <c r="AM33" s="991"/>
      <c r="AN33" s="992"/>
    </row>
    <row r="34" spans="1:40" ht="54.95" customHeight="1">
      <c r="A34" s="950" t="s">
        <v>12</v>
      </c>
      <c r="B34" s="951"/>
      <c r="C34" s="49">
        <f t="shared" ref="C34:AB34" si="14">SUM(C11:C22)</f>
        <v>1</v>
      </c>
      <c r="D34" s="50">
        <f t="shared" si="14"/>
        <v>2</v>
      </c>
      <c r="E34" s="51">
        <f t="shared" si="14"/>
        <v>1</v>
      </c>
      <c r="F34" s="52">
        <f t="shared" si="14"/>
        <v>0</v>
      </c>
      <c r="G34" s="53">
        <f t="shared" si="14"/>
        <v>0</v>
      </c>
      <c r="H34" s="50">
        <f t="shared" si="14"/>
        <v>0</v>
      </c>
      <c r="I34" s="51">
        <f t="shared" si="14"/>
        <v>0</v>
      </c>
      <c r="J34" s="52">
        <f t="shared" si="14"/>
        <v>0</v>
      </c>
      <c r="K34" s="662"/>
      <c r="L34" s="53">
        <f t="shared" si="14"/>
        <v>0</v>
      </c>
      <c r="M34" s="50">
        <f t="shared" si="14"/>
        <v>0</v>
      </c>
      <c r="N34" s="51">
        <f t="shared" si="14"/>
        <v>0</v>
      </c>
      <c r="O34" s="52">
        <f t="shared" si="14"/>
        <v>0</v>
      </c>
      <c r="P34" s="53">
        <f t="shared" si="14"/>
        <v>5</v>
      </c>
      <c r="Q34" s="50">
        <f t="shared" si="14"/>
        <v>0</v>
      </c>
      <c r="R34" s="51">
        <f t="shared" si="14"/>
        <v>2</v>
      </c>
      <c r="S34" s="54">
        <f t="shared" si="14"/>
        <v>0</v>
      </c>
      <c r="T34" s="662"/>
      <c r="U34" s="53">
        <f t="shared" si="14"/>
        <v>12</v>
      </c>
      <c r="V34" s="50">
        <f t="shared" si="14"/>
        <v>12</v>
      </c>
      <c r="W34" s="51">
        <f t="shared" si="14"/>
        <v>15</v>
      </c>
      <c r="X34" s="52">
        <f t="shared" si="14"/>
        <v>1</v>
      </c>
      <c r="Y34" s="53">
        <f t="shared" si="14"/>
        <v>0</v>
      </c>
      <c r="Z34" s="50">
        <f t="shared" si="14"/>
        <v>0</v>
      </c>
      <c r="AA34" s="51">
        <f t="shared" si="14"/>
        <v>0</v>
      </c>
      <c r="AB34" s="54">
        <f t="shared" si="14"/>
        <v>0</v>
      </c>
      <c r="AC34" s="968" t="s">
        <v>12</v>
      </c>
      <c r="AD34" s="969"/>
      <c r="AE34" s="20">
        <f t="shared" si="1"/>
        <v>51</v>
      </c>
      <c r="AF34" s="193">
        <f t="shared" si="4"/>
        <v>0.70588235294117652</v>
      </c>
      <c r="AG34" s="193">
        <f t="shared" si="5"/>
        <v>0.37254901960784315</v>
      </c>
      <c r="AH34" s="193">
        <f t="shared" si="6"/>
        <v>0.94736842105263153</v>
      </c>
      <c r="AI34" s="193">
        <f t="shared" si="2"/>
        <v>0.92156862745098034</v>
      </c>
      <c r="AJ34" s="22">
        <f t="shared" si="7"/>
        <v>40</v>
      </c>
      <c r="AK34" s="22" t="e">
        <f>#REF!</f>
        <v>#REF!</v>
      </c>
      <c r="AL34" s="24" t="e">
        <f t="shared" si="8"/>
        <v>#REF!</v>
      </c>
      <c r="AM34" s="982"/>
      <c r="AN34" s="983"/>
    </row>
    <row r="35" spans="1:40" ht="54.95" customHeight="1" thickBot="1">
      <c r="A35" s="954" t="str">
        <f>IF($AE$29=MAX($AE$29:$AE$33),A29,IF($AE$30=MAX($AE$29:$AE$33),A30,IF($AE$31=MAX($AE$29:$AE$33),A31,IF($AE$32=MAX($AE$29:$AE$33),A32,A33))))</f>
        <v>de 7:30 à 8:30</v>
      </c>
      <c r="B35" s="955"/>
      <c r="C35" s="55">
        <f t="shared" ref="C35:J35" si="15">IF($AE$29=MAX($AE$29:$AE$33),C29,IF($AE$30=MAX($AE$29:$AE$33),C30,IF($AE$31=MAX($AE$29:$AE$33),C31,IF($AE$32=MAX($AE$29:$AE$33),C32,C33))))</f>
        <v>1</v>
      </c>
      <c r="D35" s="56">
        <f t="shared" si="15"/>
        <v>1</v>
      </c>
      <c r="E35" s="57">
        <f t="shared" si="15"/>
        <v>1</v>
      </c>
      <c r="F35" s="58">
        <f t="shared" si="15"/>
        <v>0</v>
      </c>
      <c r="G35" s="59">
        <f t="shared" si="15"/>
        <v>0</v>
      </c>
      <c r="H35" s="56">
        <f t="shared" si="15"/>
        <v>0</v>
      </c>
      <c r="I35" s="57">
        <f t="shared" si="15"/>
        <v>0</v>
      </c>
      <c r="J35" s="58">
        <f t="shared" si="15"/>
        <v>0</v>
      </c>
      <c r="K35" s="663"/>
      <c r="L35" s="59">
        <f t="shared" ref="L35:S35" si="16">IF($AE$29=MAX($AE$29:$AE$33),L29,IF($AE$30=MAX($AE$29:$AE$33),L30,IF($AE$31=MAX($AE$29:$AE$33),L31,IF($AE$32=MAX($AE$29:$AE$33),L32,L33))))</f>
        <v>0</v>
      </c>
      <c r="M35" s="56">
        <f t="shared" si="16"/>
        <v>0</v>
      </c>
      <c r="N35" s="57">
        <f t="shared" si="16"/>
        <v>0</v>
      </c>
      <c r="O35" s="58">
        <f t="shared" si="16"/>
        <v>0</v>
      </c>
      <c r="P35" s="59">
        <f t="shared" si="16"/>
        <v>3</v>
      </c>
      <c r="Q35" s="56">
        <f t="shared" si="16"/>
        <v>0</v>
      </c>
      <c r="R35" s="57">
        <f t="shared" si="16"/>
        <v>0</v>
      </c>
      <c r="S35" s="60">
        <f t="shared" si="16"/>
        <v>0</v>
      </c>
      <c r="T35" s="663"/>
      <c r="U35" s="59">
        <f t="shared" ref="U35:AB35" si="17">IF($AE$29=MAX($AE$29:$AE$33),U29,IF($AE$30=MAX($AE$29:$AE$33),U30,IF($AE$31=MAX($AE$29:$AE$33),U31,IF($AE$32=MAX($AE$29:$AE$33),U32,U33))))</f>
        <v>8</v>
      </c>
      <c r="V35" s="56">
        <f t="shared" si="17"/>
        <v>7</v>
      </c>
      <c r="W35" s="57">
        <f t="shared" si="17"/>
        <v>9</v>
      </c>
      <c r="X35" s="58">
        <f t="shared" si="17"/>
        <v>1</v>
      </c>
      <c r="Y35" s="59">
        <f t="shared" si="17"/>
        <v>0</v>
      </c>
      <c r="Z35" s="56">
        <f t="shared" si="17"/>
        <v>0</v>
      </c>
      <c r="AA35" s="57">
        <f t="shared" si="17"/>
        <v>0</v>
      </c>
      <c r="AB35" s="60">
        <f t="shared" si="17"/>
        <v>0</v>
      </c>
      <c r="AC35" s="998" t="str">
        <f>A35</f>
        <v>de 7:30 à 8:30</v>
      </c>
      <c r="AD35" s="999"/>
      <c r="AE35" s="21">
        <f t="shared" si="1"/>
        <v>31</v>
      </c>
      <c r="AF35" s="194">
        <f t="shared" si="4"/>
        <v>0.70967741935483875</v>
      </c>
      <c r="AG35" s="194">
        <f t="shared" si="5"/>
        <v>0.35483870967741937</v>
      </c>
      <c r="AH35" s="194">
        <f t="shared" si="6"/>
        <v>0.90909090909090906</v>
      </c>
      <c r="AI35" s="194">
        <f t="shared" si="2"/>
        <v>0.90322580645161288</v>
      </c>
      <c r="AJ35" s="23">
        <f t="shared" si="7"/>
        <v>25</v>
      </c>
      <c r="AK35" s="23" t="e">
        <f>#REF!</f>
        <v>#REF!</v>
      </c>
      <c r="AL35" s="25" t="e">
        <f t="shared" si="8"/>
        <v>#REF!</v>
      </c>
      <c r="AM35" s="984"/>
      <c r="AN35" s="985"/>
    </row>
    <row r="36" spans="1:40" ht="12.75" customHeight="1" thickTop="1" thickBot="1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0"/>
      <c r="V36" s="101"/>
      <c r="W36" s="101"/>
      <c r="X36" s="101"/>
      <c r="Y36" s="101"/>
      <c r="Z36" s="101"/>
      <c r="AA36" s="101"/>
      <c r="AB36" s="101"/>
      <c r="AC36" s="61"/>
      <c r="AD36" s="61"/>
      <c r="AE36" s="101"/>
      <c r="AF36" s="101"/>
      <c r="AG36" s="100"/>
      <c r="AH36" s="101"/>
      <c r="AI36" s="101"/>
      <c r="AJ36" s="101"/>
      <c r="AK36" s="101"/>
      <c r="AL36" s="101"/>
      <c r="AM36" s="61"/>
      <c r="AN36" s="105"/>
    </row>
    <row r="37" spans="1:40" ht="32.25" customHeight="1" thickTop="1">
      <c r="A37" s="106"/>
      <c r="B37" s="61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106"/>
      <c r="AD37" s="61"/>
      <c r="AE37" s="205"/>
      <c r="AF37" s="1000" t="s">
        <v>108</v>
      </c>
      <c r="AG37" s="1000" t="s">
        <v>109</v>
      </c>
      <c r="AH37" s="1000" t="s">
        <v>110</v>
      </c>
      <c r="AI37" s="979" t="s">
        <v>19</v>
      </c>
      <c r="AJ37" s="208"/>
      <c r="AK37" s="209"/>
      <c r="AL37" s="209"/>
      <c r="AM37" s="209"/>
      <c r="AN37" s="209"/>
    </row>
    <row r="38" spans="1:40" ht="22.7" customHeight="1">
      <c r="A38" s="106"/>
      <c r="B38" s="61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106"/>
      <c r="AD38" s="61"/>
      <c r="AE38" s="205"/>
      <c r="AF38" s="1001"/>
      <c r="AG38" s="1001"/>
      <c r="AH38" s="1001"/>
      <c r="AI38" s="980"/>
      <c r="AJ38" s="208"/>
      <c r="AK38" s="209"/>
      <c r="AL38" s="209"/>
      <c r="AM38" s="209"/>
      <c r="AN38" s="209"/>
    </row>
    <row r="39" spans="1:40" ht="18.600000000000001" customHeight="1">
      <c r="A39" s="106"/>
      <c r="B39" s="61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106"/>
      <c r="AD39" s="61"/>
      <c r="AE39" s="205"/>
      <c r="AF39" s="1001"/>
      <c r="AG39" s="1001"/>
      <c r="AH39" s="1001"/>
      <c r="AI39" s="980"/>
      <c r="AJ39" s="208"/>
      <c r="AK39" s="209"/>
      <c r="AL39" s="209"/>
      <c r="AM39" s="209"/>
      <c r="AN39" s="209"/>
    </row>
    <row r="40" spans="1:40" ht="20.25">
      <c r="A40" s="206"/>
      <c r="B40" s="206"/>
      <c r="C40" s="148"/>
      <c r="D40" s="148"/>
      <c r="E40" s="148"/>
      <c r="F40" s="148"/>
      <c r="G40" s="148"/>
      <c r="H40" s="148"/>
      <c r="I40" s="148"/>
      <c r="J40" s="148"/>
      <c r="K40" s="582"/>
      <c r="L40" s="148"/>
      <c r="M40" s="148"/>
      <c r="N40" s="148"/>
      <c r="O40" s="148"/>
      <c r="P40" s="148"/>
      <c r="Q40" s="148"/>
      <c r="R40" s="148"/>
      <c r="S40" s="148"/>
      <c r="T40" s="582"/>
      <c r="U40" s="148"/>
      <c r="V40" s="148"/>
      <c r="W40" s="148"/>
      <c r="X40" s="148"/>
      <c r="Y40" s="148"/>
      <c r="Z40" s="148"/>
      <c r="AA40" s="148"/>
      <c r="AB40" s="148"/>
      <c r="AC40" s="206"/>
      <c r="AD40" s="206"/>
      <c r="AE40" s="205"/>
      <c r="AF40" s="1002"/>
      <c r="AG40" s="1002"/>
      <c r="AH40" s="1002"/>
      <c r="AI40" s="981"/>
      <c r="AJ40" s="208"/>
      <c r="AK40" s="209"/>
      <c r="AL40" s="209"/>
      <c r="AM40" s="209"/>
      <c r="AN40" s="209"/>
    </row>
    <row r="41" spans="1:40" ht="54.95" customHeight="1">
      <c r="A41" s="206"/>
      <c r="B41" s="206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206"/>
      <c r="AD41" s="206"/>
      <c r="AE41" s="207"/>
      <c r="AF41" s="196">
        <f>(C29+E29+G29+I29+L29+N29+P29+R29+U29+W29+Y29+AA29)</f>
        <v>7</v>
      </c>
      <c r="AG41" s="196">
        <f>(E29+F29+I29+J29+N29+O29+R29+S29+W29+X29+AA29+AB29)</f>
        <v>5</v>
      </c>
      <c r="AH41" s="196">
        <f>(E29+I29+N29+R29+W29+AA29)</f>
        <v>5</v>
      </c>
      <c r="AI41" s="196">
        <f>SUM(G29:J29,P29:AB29)</f>
        <v>9</v>
      </c>
      <c r="AJ41" s="210"/>
      <c r="AK41" s="104"/>
      <c r="AL41" s="104"/>
      <c r="AM41" s="211"/>
      <c r="AN41" s="211"/>
    </row>
    <row r="42" spans="1:40" ht="54.95" customHeight="1">
      <c r="A42" s="206"/>
      <c r="B42" s="206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206"/>
      <c r="AD42" s="206"/>
      <c r="AE42" s="207"/>
      <c r="AF42" s="197">
        <f t="shared" ref="AF42:AF47" si="18">(C30+E30+G30+I30+L30+N30+P30+R30+U30+W30+Y30+AA30)</f>
        <v>16</v>
      </c>
      <c r="AG42" s="197">
        <f t="shared" ref="AG42:AG47" si="19">(E30+F30+I30+J30+N30+O30+R30+S30+W30+X30+AA30+AB30)</f>
        <v>10</v>
      </c>
      <c r="AH42" s="197">
        <f t="shared" ref="AH42:AH47" si="20">(E30+I30+N30+R30+W30+AA30)</f>
        <v>9</v>
      </c>
      <c r="AI42" s="197">
        <f t="shared" ref="AI42:AI47" si="21">SUM(G30:J30,P30:AB30)</f>
        <v>22</v>
      </c>
      <c r="AJ42" s="210"/>
      <c r="AK42" s="104"/>
      <c r="AL42" s="104"/>
      <c r="AM42" s="211"/>
      <c r="AN42" s="211"/>
    </row>
    <row r="43" spans="1:40" ht="54.95" customHeight="1">
      <c r="A43" s="206"/>
      <c r="B43" s="206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206"/>
      <c r="AD43" s="206"/>
      <c r="AE43" s="207"/>
      <c r="AF43" s="197">
        <f t="shared" si="18"/>
        <v>22</v>
      </c>
      <c r="AG43" s="197">
        <f t="shared" si="19"/>
        <v>11</v>
      </c>
      <c r="AH43" s="197">
        <f t="shared" si="20"/>
        <v>10</v>
      </c>
      <c r="AI43" s="197">
        <f t="shared" si="21"/>
        <v>28</v>
      </c>
      <c r="AJ43" s="210"/>
      <c r="AK43" s="104"/>
      <c r="AL43" s="104"/>
      <c r="AM43" s="211"/>
      <c r="AN43" s="211"/>
    </row>
    <row r="44" spans="1:40" ht="54.95" customHeight="1">
      <c r="A44" s="206"/>
      <c r="B44" s="206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206"/>
      <c r="AD44" s="206"/>
      <c r="AE44" s="207"/>
      <c r="AF44" s="197">
        <f t="shared" si="18"/>
        <v>20</v>
      </c>
      <c r="AG44" s="197">
        <f t="shared" si="19"/>
        <v>9</v>
      </c>
      <c r="AH44" s="197">
        <f t="shared" si="20"/>
        <v>9</v>
      </c>
      <c r="AI44" s="197">
        <f t="shared" si="21"/>
        <v>25</v>
      </c>
      <c r="AJ44" s="210"/>
      <c r="AK44" s="104"/>
      <c r="AL44" s="104"/>
      <c r="AM44" s="211"/>
      <c r="AN44" s="211"/>
    </row>
    <row r="45" spans="1:40" ht="54.95" customHeight="1">
      <c r="A45" s="206"/>
      <c r="B45" s="206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206"/>
      <c r="AD45" s="206"/>
      <c r="AE45" s="207"/>
      <c r="AF45" s="198">
        <f t="shared" si="18"/>
        <v>7</v>
      </c>
      <c r="AG45" s="198">
        <f t="shared" si="19"/>
        <v>3</v>
      </c>
      <c r="AH45" s="198">
        <f t="shared" si="20"/>
        <v>3</v>
      </c>
      <c r="AI45" s="198">
        <f t="shared" si="21"/>
        <v>10</v>
      </c>
      <c r="AJ45" s="210"/>
      <c r="AK45" s="104"/>
      <c r="AL45" s="104"/>
      <c r="AM45" s="211"/>
      <c r="AN45" s="211"/>
    </row>
    <row r="46" spans="1:40" ht="54.95" customHeight="1">
      <c r="A46" s="206"/>
      <c r="B46" s="206"/>
      <c r="C46" s="148"/>
      <c r="D46" s="148"/>
      <c r="E46" s="148"/>
      <c r="F46" s="148"/>
      <c r="G46" s="148"/>
      <c r="H46" s="148"/>
      <c r="I46" s="148"/>
      <c r="J46" s="148"/>
      <c r="K46" s="582"/>
      <c r="L46" s="148"/>
      <c r="M46" s="148"/>
      <c r="N46" s="148"/>
      <c r="O46" s="148"/>
      <c r="P46" s="148"/>
      <c r="Q46" s="148"/>
      <c r="R46" s="148"/>
      <c r="S46" s="148"/>
      <c r="T46" s="582"/>
      <c r="U46" s="148"/>
      <c r="V46" s="148"/>
      <c r="W46" s="148"/>
      <c r="X46" s="148"/>
      <c r="Y46" s="148"/>
      <c r="Z46" s="148"/>
      <c r="AA46" s="148"/>
      <c r="AB46" s="148"/>
      <c r="AC46" s="206"/>
      <c r="AD46" s="206"/>
      <c r="AE46" s="207"/>
      <c r="AF46" s="199">
        <f t="shared" si="18"/>
        <v>36</v>
      </c>
      <c r="AG46" s="199">
        <f t="shared" si="19"/>
        <v>19</v>
      </c>
      <c r="AH46" s="199">
        <f t="shared" si="20"/>
        <v>18</v>
      </c>
      <c r="AI46" s="199">
        <f t="shared" si="21"/>
        <v>47</v>
      </c>
      <c r="AJ46" s="210"/>
      <c r="AK46" s="104"/>
      <c r="AL46" s="104"/>
      <c r="AM46" s="211"/>
      <c r="AN46" s="211"/>
    </row>
    <row r="47" spans="1:40" ht="54.95" customHeight="1" thickBot="1">
      <c r="A47" s="206"/>
      <c r="B47" s="206"/>
      <c r="C47" s="148"/>
      <c r="D47" s="148"/>
      <c r="E47" s="148"/>
      <c r="F47" s="148"/>
      <c r="G47" s="148"/>
      <c r="H47" s="148"/>
      <c r="I47" s="148"/>
      <c r="J47" s="148"/>
      <c r="K47" s="582"/>
      <c r="L47" s="148"/>
      <c r="M47" s="148"/>
      <c r="N47" s="148"/>
      <c r="O47" s="148"/>
      <c r="P47" s="148"/>
      <c r="Q47" s="148"/>
      <c r="R47" s="148"/>
      <c r="S47" s="148"/>
      <c r="T47" s="582"/>
      <c r="U47" s="148"/>
      <c r="V47" s="148"/>
      <c r="W47" s="148"/>
      <c r="X47" s="148"/>
      <c r="Y47" s="148"/>
      <c r="Z47" s="148"/>
      <c r="AA47" s="148"/>
      <c r="AB47" s="148"/>
      <c r="AC47" s="206"/>
      <c r="AD47" s="206"/>
      <c r="AE47" s="207"/>
      <c r="AF47" s="200">
        <f t="shared" si="18"/>
        <v>22</v>
      </c>
      <c r="AG47" s="200">
        <f t="shared" si="19"/>
        <v>11</v>
      </c>
      <c r="AH47" s="200">
        <f t="shared" si="20"/>
        <v>10</v>
      </c>
      <c r="AI47" s="200">
        <f t="shared" si="21"/>
        <v>28</v>
      </c>
      <c r="AJ47" s="210"/>
      <c r="AK47" s="104"/>
      <c r="AL47" s="104"/>
      <c r="AM47" s="211"/>
      <c r="AN47" s="211"/>
    </row>
    <row r="48" spans="1:40" ht="25.5" customHeight="1" thickTop="1">
      <c r="A48" s="203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U48" s="7"/>
      <c r="V48" s="7"/>
      <c r="W48" s="7"/>
      <c r="X48" s="7"/>
      <c r="Y48" s="7"/>
      <c r="Z48" s="7"/>
      <c r="AA48" s="7"/>
    </row>
  </sheetData>
  <mergeCells count="82">
    <mergeCell ref="A13:A16"/>
    <mergeCell ref="A17:A20"/>
    <mergeCell ref="U26:X26"/>
    <mergeCell ref="Y26:AB26"/>
    <mergeCell ref="AJ25:AJ28"/>
    <mergeCell ref="U25:AB25"/>
    <mergeCell ref="AC28:AD28"/>
    <mergeCell ref="L26:O26"/>
    <mergeCell ref="A28:B28"/>
    <mergeCell ref="C7:J7"/>
    <mergeCell ref="U7:AB7"/>
    <mergeCell ref="C8:F8"/>
    <mergeCell ref="G8:J8"/>
    <mergeCell ref="U8:X8"/>
    <mergeCell ref="Y8:AB8"/>
    <mergeCell ref="L7:S7"/>
    <mergeCell ref="L8:O8"/>
    <mergeCell ref="P8:S8"/>
    <mergeCell ref="L9:M9"/>
    <mergeCell ref="N9:O9"/>
    <mergeCell ref="C9:D9"/>
    <mergeCell ref="AM35:AN35"/>
    <mergeCell ref="AL25:AN28"/>
    <mergeCell ref="AM29:AN29"/>
    <mergeCell ref="AM30:AN30"/>
    <mergeCell ref="AM31:AN31"/>
    <mergeCell ref="AM34:AN34"/>
    <mergeCell ref="AM32:AN32"/>
    <mergeCell ref="AM33:AN33"/>
    <mergeCell ref="E9:F9"/>
    <mergeCell ref="G9:H9"/>
    <mergeCell ref="I9:J9"/>
    <mergeCell ref="U9:V9"/>
    <mergeCell ref="AC29:AD29"/>
    <mergeCell ref="W9:X9"/>
    <mergeCell ref="P9:Q9"/>
    <mergeCell ref="R9:S9"/>
    <mergeCell ref="Y9:Z9"/>
    <mergeCell ref="AA9:AB9"/>
    <mergeCell ref="A29:B29"/>
    <mergeCell ref="A30:B30"/>
    <mergeCell ref="N27:O27"/>
    <mergeCell ref="P27:Q27"/>
    <mergeCell ref="AE25:AE28"/>
    <mergeCell ref="Y27:Z27"/>
    <mergeCell ref="AA27:AB27"/>
    <mergeCell ref="R27:S27"/>
    <mergeCell ref="U27:V27"/>
    <mergeCell ref="W27:X27"/>
    <mergeCell ref="AK25:AK28"/>
    <mergeCell ref="AG25:AG28"/>
    <mergeCell ref="AH25:AH28"/>
    <mergeCell ref="AI25:AI28"/>
    <mergeCell ref="AF25:AF28"/>
    <mergeCell ref="AI37:AI40"/>
    <mergeCell ref="AF37:AF40"/>
    <mergeCell ref="A31:B31"/>
    <mergeCell ref="A32:B32"/>
    <mergeCell ref="AC32:AD32"/>
    <mergeCell ref="AC35:AD35"/>
    <mergeCell ref="AC34:AD34"/>
    <mergeCell ref="AC31:AD31"/>
    <mergeCell ref="A34:B34"/>
    <mergeCell ref="A35:B35"/>
    <mergeCell ref="A33:B33"/>
    <mergeCell ref="AC33:AD33"/>
    <mergeCell ref="C5:O5"/>
    <mergeCell ref="C24:O24"/>
    <mergeCell ref="R5:AA5"/>
    <mergeCell ref="AG37:AG40"/>
    <mergeCell ref="AH37:AH40"/>
    <mergeCell ref="I27:J27"/>
    <mergeCell ref="L27:M27"/>
    <mergeCell ref="C25:J25"/>
    <mergeCell ref="L25:S25"/>
    <mergeCell ref="E27:F27"/>
    <mergeCell ref="G27:H27"/>
    <mergeCell ref="C26:F26"/>
    <mergeCell ref="G26:J26"/>
    <mergeCell ref="P26:S26"/>
    <mergeCell ref="AC30:AD30"/>
    <mergeCell ref="C27:D27"/>
  </mergeCells>
  <pageMargins left="0.19685039370078741" right="0.19685039370078741" top="0.39370078740157483" bottom="0.39370078740157483" header="0.59055118110236227" footer="0.59055118110236227"/>
  <pageSetup paperSize="9" scale="39" fitToHeight="0" pageOrder="overThenDown" orientation="landscape" useFirstPageNumber="1" r:id="rId1"/>
  <headerFooter alignWithMargins="0"/>
  <rowBreaks count="1" manualBreakCount="1">
    <brk id="47" max="37" man="1"/>
  </rowBreaks>
  <colBreaks count="1" manualBreakCount="1">
    <brk id="28" max="1048575" man="1"/>
  </colBreaks>
  <ignoredErrors>
    <ignoredError sqref="U29:AB31 U32:AB33 D32 L32:S33 L29:S31 C29:J31 E32:J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50" zoomScaleNormal="40" zoomScaleSheetLayoutView="50" workbookViewId="0">
      <selection activeCell="H13" sqref="H13"/>
    </sheetView>
  </sheetViews>
  <sheetFormatPr baseColWidth="10" defaultRowHeight="14.25"/>
  <cols>
    <col min="1" max="1" width="9.125" style="128" customWidth="1"/>
    <col min="2" max="2" width="13.75" style="128" customWidth="1"/>
    <col min="3" max="26" width="10.875" style="128" customWidth="1"/>
    <col min="27" max="27" width="9.125" style="128" customWidth="1"/>
    <col min="28" max="28" width="13.75" style="128" customWidth="1"/>
    <col min="29" max="36" width="21.125" style="128" customWidth="1"/>
    <col min="37" max="37" width="82.625" style="128" customWidth="1"/>
    <col min="38" max="38" width="21.125" style="128" customWidth="1"/>
    <col min="39" max="43" width="10.625" style="128" customWidth="1"/>
    <col min="44" max="16384" width="11" style="128"/>
  </cols>
  <sheetData>
    <row r="1" spans="1:36" ht="52.5" customHeight="1" thickBot="1">
      <c r="A1" s="386" t="s">
        <v>89</v>
      </c>
      <c r="B1" s="127" t="s">
        <v>80</v>
      </c>
      <c r="C1" s="387"/>
      <c r="D1" s="387"/>
      <c r="E1" s="387"/>
      <c r="F1" s="388"/>
      <c r="G1" s="388"/>
      <c r="H1" s="387"/>
      <c r="I1" s="387"/>
      <c r="J1" s="388"/>
      <c r="K1" s="388"/>
      <c r="L1" s="389"/>
      <c r="M1" s="390" t="s">
        <v>30</v>
      </c>
      <c r="N1" s="338" t="s">
        <v>130</v>
      </c>
      <c r="O1" s="387"/>
      <c r="P1" s="387"/>
      <c r="Q1" s="387"/>
      <c r="R1" s="387"/>
      <c r="S1" s="387"/>
      <c r="T1" s="387"/>
      <c r="U1" s="387"/>
      <c r="V1" s="391"/>
      <c r="W1" s="392"/>
      <c r="X1" s="392"/>
      <c r="Y1" s="392"/>
      <c r="Z1" s="393"/>
    </row>
    <row r="2" spans="1:36" ht="52.5" customHeight="1" thickBot="1">
      <c r="A2" s="394" t="s">
        <v>2</v>
      </c>
      <c r="B2" s="395"/>
      <c r="C2" s="395"/>
      <c r="D2" s="395"/>
      <c r="E2" s="395"/>
      <c r="F2" s="395"/>
      <c r="G2" s="12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91"/>
      <c r="W2" s="395"/>
      <c r="X2" s="395"/>
      <c r="Y2" s="395"/>
      <c r="Z2" s="395"/>
    </row>
    <row r="3" spans="1:36" ht="52.5" customHeight="1" thickBot="1">
      <c r="A3" s="394" t="s">
        <v>3</v>
      </c>
      <c r="B3" s="395"/>
      <c r="C3" s="12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91"/>
      <c r="W3" s="395"/>
      <c r="X3" s="395"/>
      <c r="Y3" s="395"/>
      <c r="Z3" s="396"/>
    </row>
    <row r="4" spans="1:36" ht="52.5" customHeight="1" thickBot="1">
      <c r="A4" s="394" t="s">
        <v>27</v>
      </c>
      <c r="B4" s="395"/>
      <c r="C4" s="127"/>
      <c r="D4" s="387"/>
      <c r="E4" s="387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87"/>
      <c r="S4" s="387"/>
      <c r="T4" s="387"/>
      <c r="U4" s="387"/>
      <c r="V4" s="391"/>
      <c r="W4" s="395"/>
      <c r="X4" s="395"/>
      <c r="Y4" s="395"/>
      <c r="Z4" s="396"/>
    </row>
    <row r="5" spans="1:36" ht="25.5" customHeight="1">
      <c r="A5" s="394" t="s">
        <v>71</v>
      </c>
      <c r="B5" s="395"/>
      <c r="C5" s="395" t="s">
        <v>72</v>
      </c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6"/>
      <c r="S5" s="395"/>
      <c r="T5" s="395"/>
      <c r="U5" s="395"/>
      <c r="V5" s="395"/>
      <c r="W5" s="395"/>
      <c r="X5" s="395"/>
      <c r="Y5" s="395"/>
      <c r="Z5" s="396"/>
    </row>
    <row r="6" spans="1:36" ht="25.5" customHeight="1">
      <c r="A6" s="397"/>
      <c r="B6" s="395"/>
      <c r="C6" s="395" t="s">
        <v>91</v>
      </c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395"/>
      <c r="P6" s="395"/>
      <c r="Q6" s="395"/>
      <c r="R6" s="396"/>
      <c r="S6" s="395"/>
      <c r="T6" s="395"/>
      <c r="U6" s="395"/>
      <c r="V6" s="395"/>
      <c r="W6" s="395"/>
      <c r="X6" s="395"/>
      <c r="Y6" s="395"/>
      <c r="Z6" s="396"/>
    </row>
    <row r="7" spans="1:36" ht="25.5" customHeight="1" thickBot="1">
      <c r="A7" s="397"/>
      <c r="B7" s="395"/>
      <c r="C7" s="395"/>
      <c r="D7" s="395"/>
      <c r="E7" s="395"/>
      <c r="F7" s="395"/>
      <c r="G7" s="395"/>
      <c r="H7" s="395"/>
      <c r="I7" s="395"/>
      <c r="J7" s="395"/>
      <c r="K7" s="395"/>
      <c r="L7" s="395"/>
      <c r="M7" s="395"/>
      <c r="N7" s="395"/>
      <c r="O7" s="395"/>
      <c r="P7" s="395"/>
      <c r="Q7" s="395"/>
      <c r="R7" s="396"/>
      <c r="S7" s="395"/>
      <c r="T7" s="395"/>
      <c r="U7" s="395"/>
      <c r="V7" s="395"/>
      <c r="W7" s="395"/>
      <c r="X7" s="395"/>
      <c r="Y7" s="395"/>
      <c r="Z7" s="396"/>
    </row>
    <row r="8" spans="1:36" ht="32.25" customHeight="1" thickTop="1">
      <c r="A8" s="394"/>
      <c r="B8" s="395"/>
      <c r="C8" s="1062" t="s">
        <v>74</v>
      </c>
      <c r="D8" s="1063"/>
      <c r="E8" s="1063"/>
      <c r="F8" s="1063"/>
      <c r="G8" s="1063"/>
      <c r="H8" s="1063"/>
      <c r="I8" s="1063"/>
      <c r="J8" s="1063"/>
      <c r="K8" s="1063" t="s">
        <v>39</v>
      </c>
      <c r="L8" s="1063"/>
      <c r="M8" s="1063"/>
      <c r="N8" s="1063"/>
      <c r="O8" s="1063"/>
      <c r="P8" s="1063"/>
      <c r="Q8" s="1063"/>
      <c r="R8" s="1064"/>
      <c r="S8" s="1063" t="s">
        <v>76</v>
      </c>
      <c r="T8" s="1063"/>
      <c r="U8" s="1063"/>
      <c r="V8" s="1063"/>
      <c r="W8" s="1063"/>
      <c r="X8" s="1063"/>
      <c r="Y8" s="1063"/>
      <c r="Z8" s="1064"/>
      <c r="AA8" s="129"/>
      <c r="AB8" s="129"/>
      <c r="AD8" s="130"/>
      <c r="AE8" s="130"/>
      <c r="AF8" s="130"/>
      <c r="AG8" s="130"/>
      <c r="AH8" s="130"/>
      <c r="AI8" s="130"/>
      <c r="AJ8" s="130"/>
    </row>
    <row r="9" spans="1:36" ht="22.7" customHeight="1">
      <c r="A9" s="394"/>
      <c r="B9" s="395"/>
      <c r="C9" s="1065" t="s">
        <v>37</v>
      </c>
      <c r="D9" s="1066"/>
      <c r="E9" s="1066"/>
      <c r="F9" s="1066"/>
      <c r="G9" s="1067" t="s">
        <v>75</v>
      </c>
      <c r="H9" s="1067"/>
      <c r="I9" s="1067"/>
      <c r="J9" s="1067"/>
      <c r="K9" s="1066" t="s">
        <v>75</v>
      </c>
      <c r="L9" s="1066"/>
      <c r="M9" s="1066"/>
      <c r="N9" s="1066"/>
      <c r="O9" s="1067" t="s">
        <v>77</v>
      </c>
      <c r="P9" s="1067"/>
      <c r="Q9" s="1067"/>
      <c r="R9" s="1068"/>
      <c r="S9" s="1066" t="s">
        <v>37</v>
      </c>
      <c r="T9" s="1066"/>
      <c r="U9" s="1066"/>
      <c r="V9" s="1066"/>
      <c r="W9" s="1067" t="s">
        <v>77</v>
      </c>
      <c r="X9" s="1067"/>
      <c r="Y9" s="1067"/>
      <c r="Z9" s="1068"/>
      <c r="AA9" s="129"/>
      <c r="AB9" s="129"/>
    </row>
    <row r="10" spans="1:36" ht="18.600000000000001" customHeight="1" thickBot="1">
      <c r="A10" s="394"/>
      <c r="B10" s="395"/>
      <c r="C10" s="1071" t="s">
        <v>4</v>
      </c>
      <c r="D10" s="1072"/>
      <c r="E10" s="1069" t="s">
        <v>5</v>
      </c>
      <c r="F10" s="1073"/>
      <c r="G10" s="1074" t="s">
        <v>4</v>
      </c>
      <c r="H10" s="1072"/>
      <c r="I10" s="1069" t="s">
        <v>5</v>
      </c>
      <c r="J10" s="1073"/>
      <c r="K10" s="1074" t="s">
        <v>4</v>
      </c>
      <c r="L10" s="1072"/>
      <c r="M10" s="1069" t="s">
        <v>5</v>
      </c>
      <c r="N10" s="1073"/>
      <c r="O10" s="1074" t="s">
        <v>4</v>
      </c>
      <c r="P10" s="1072"/>
      <c r="Q10" s="1069" t="s">
        <v>5</v>
      </c>
      <c r="R10" s="1070"/>
      <c r="S10" s="1074" t="s">
        <v>4</v>
      </c>
      <c r="T10" s="1072"/>
      <c r="U10" s="1069" t="s">
        <v>5</v>
      </c>
      <c r="V10" s="1073"/>
      <c r="W10" s="1074" t="s">
        <v>4</v>
      </c>
      <c r="X10" s="1072"/>
      <c r="Y10" s="1069" t="s">
        <v>5</v>
      </c>
      <c r="Z10" s="1070"/>
      <c r="AA10" s="129"/>
      <c r="AB10" s="129"/>
    </row>
    <row r="11" spans="1:36" ht="21" thickTop="1">
      <c r="A11" s="398" t="s">
        <v>6</v>
      </c>
      <c r="B11" s="399" t="s">
        <v>7</v>
      </c>
      <c r="C11" s="400" t="s">
        <v>8</v>
      </c>
      <c r="D11" s="401" t="s">
        <v>9</v>
      </c>
      <c r="E11" s="402" t="s">
        <v>8</v>
      </c>
      <c r="F11" s="403" t="s">
        <v>9</v>
      </c>
      <c r="G11" s="404" t="s">
        <v>8</v>
      </c>
      <c r="H11" s="401" t="s">
        <v>9</v>
      </c>
      <c r="I11" s="402" t="s">
        <v>8</v>
      </c>
      <c r="J11" s="403" t="s">
        <v>9</v>
      </c>
      <c r="K11" s="404" t="s">
        <v>8</v>
      </c>
      <c r="L11" s="401" t="s">
        <v>9</v>
      </c>
      <c r="M11" s="402" t="s">
        <v>8</v>
      </c>
      <c r="N11" s="403" t="s">
        <v>9</v>
      </c>
      <c r="O11" s="404" t="s">
        <v>8</v>
      </c>
      <c r="P11" s="401" t="s">
        <v>9</v>
      </c>
      <c r="Q11" s="402" t="s">
        <v>8</v>
      </c>
      <c r="R11" s="405" t="s">
        <v>9</v>
      </c>
      <c r="S11" s="404" t="s">
        <v>8</v>
      </c>
      <c r="T11" s="401" t="s">
        <v>9</v>
      </c>
      <c r="U11" s="402" t="s">
        <v>8</v>
      </c>
      <c r="V11" s="403" t="s">
        <v>9</v>
      </c>
      <c r="W11" s="404" t="s">
        <v>8</v>
      </c>
      <c r="X11" s="401" t="s">
        <v>9</v>
      </c>
      <c r="Y11" s="402" t="s">
        <v>8</v>
      </c>
      <c r="Z11" s="405" t="s">
        <v>9</v>
      </c>
      <c r="AA11" s="129"/>
      <c r="AB11" s="129"/>
      <c r="AC11" s="131"/>
    </row>
    <row r="12" spans="1:36" ht="54.95" customHeight="1">
      <c r="A12" s="406">
        <v>6</v>
      </c>
      <c r="B12" s="407" t="s">
        <v>25</v>
      </c>
      <c r="C12" s="132"/>
      <c r="D12" s="133"/>
      <c r="E12" s="134"/>
      <c r="F12" s="135"/>
      <c r="G12" s="136"/>
      <c r="H12" s="133"/>
      <c r="I12" s="134"/>
      <c r="J12" s="135"/>
      <c r="K12" s="136"/>
      <c r="L12" s="133"/>
      <c r="M12" s="134"/>
      <c r="N12" s="135"/>
      <c r="O12" s="136"/>
      <c r="P12" s="133"/>
      <c r="Q12" s="134"/>
      <c r="R12" s="137"/>
      <c r="S12" s="136"/>
      <c r="T12" s="133"/>
      <c r="U12" s="134"/>
      <c r="V12" s="135"/>
      <c r="W12" s="136"/>
      <c r="X12" s="133"/>
      <c r="Y12" s="134"/>
      <c r="Z12" s="137"/>
      <c r="AA12" s="129"/>
      <c r="AB12" s="129"/>
      <c r="AC12" s="138"/>
      <c r="AD12" s="138"/>
      <c r="AE12" s="138"/>
      <c r="AF12" s="138"/>
      <c r="AG12" s="138"/>
      <c r="AH12" s="138"/>
      <c r="AI12" s="138"/>
      <c r="AJ12" s="138"/>
    </row>
    <row r="13" spans="1:36" ht="54.95" customHeight="1">
      <c r="A13" s="406"/>
      <c r="B13" s="407" t="s">
        <v>26</v>
      </c>
      <c r="C13" s="132"/>
      <c r="D13" s="133"/>
      <c r="E13" s="134"/>
      <c r="F13" s="135"/>
      <c r="G13" s="136"/>
      <c r="H13" s="133"/>
      <c r="I13" s="134"/>
      <c r="J13" s="135"/>
      <c r="K13" s="136"/>
      <c r="L13" s="133"/>
      <c r="M13" s="134"/>
      <c r="N13" s="135"/>
      <c r="O13" s="136"/>
      <c r="P13" s="133"/>
      <c r="Q13" s="134"/>
      <c r="R13" s="137"/>
      <c r="S13" s="136"/>
      <c r="T13" s="133"/>
      <c r="U13" s="134"/>
      <c r="V13" s="135"/>
      <c r="W13" s="136"/>
      <c r="X13" s="133"/>
      <c r="Y13" s="134"/>
      <c r="Z13" s="137"/>
      <c r="AA13" s="129"/>
      <c r="AB13" s="129"/>
      <c r="AC13" s="138"/>
      <c r="AD13" s="138"/>
      <c r="AE13" s="138"/>
      <c r="AF13" s="138"/>
      <c r="AG13" s="138"/>
      <c r="AH13" s="138"/>
      <c r="AI13" s="138"/>
      <c r="AJ13" s="138"/>
    </row>
    <row r="14" spans="1:36" ht="54.95" customHeight="1">
      <c r="A14" s="406">
        <v>7</v>
      </c>
      <c r="B14" s="407" t="s">
        <v>23</v>
      </c>
      <c r="C14" s="132"/>
      <c r="D14" s="133"/>
      <c r="E14" s="134"/>
      <c r="F14" s="135"/>
      <c r="G14" s="136"/>
      <c r="H14" s="133"/>
      <c r="I14" s="134"/>
      <c r="J14" s="135"/>
      <c r="K14" s="136"/>
      <c r="L14" s="133"/>
      <c r="M14" s="134"/>
      <c r="N14" s="135"/>
      <c r="O14" s="136"/>
      <c r="P14" s="133"/>
      <c r="Q14" s="134"/>
      <c r="R14" s="137"/>
      <c r="S14" s="136"/>
      <c r="T14" s="133"/>
      <c r="U14" s="134"/>
      <c r="V14" s="135"/>
      <c r="W14" s="136"/>
      <c r="X14" s="133"/>
      <c r="Y14" s="134"/>
      <c r="Z14" s="137"/>
      <c r="AA14" s="129"/>
      <c r="AB14" s="129"/>
      <c r="AC14" s="138"/>
      <c r="AD14" s="138"/>
      <c r="AE14" s="138"/>
      <c r="AF14" s="138"/>
      <c r="AG14" s="138"/>
      <c r="AH14" s="138"/>
      <c r="AI14" s="138"/>
      <c r="AJ14" s="138"/>
    </row>
    <row r="15" spans="1:36" ht="54.95" customHeight="1">
      <c r="A15" s="406"/>
      <c r="B15" s="407" t="s">
        <v>24</v>
      </c>
      <c r="C15" s="132"/>
      <c r="D15" s="133"/>
      <c r="E15" s="134"/>
      <c r="F15" s="135"/>
      <c r="G15" s="136"/>
      <c r="H15" s="133"/>
      <c r="I15" s="134"/>
      <c r="J15" s="135"/>
      <c r="K15" s="136"/>
      <c r="L15" s="133"/>
      <c r="M15" s="134"/>
      <c r="N15" s="135"/>
      <c r="O15" s="136"/>
      <c r="P15" s="133"/>
      <c r="Q15" s="134"/>
      <c r="R15" s="137"/>
      <c r="S15" s="136"/>
      <c r="T15" s="133"/>
      <c r="U15" s="134"/>
      <c r="V15" s="135"/>
      <c r="W15" s="136"/>
      <c r="X15" s="133"/>
      <c r="Y15" s="134"/>
      <c r="Z15" s="137"/>
      <c r="AA15" s="129"/>
      <c r="AB15" s="129"/>
      <c r="AC15" s="138"/>
      <c r="AD15" s="138"/>
      <c r="AE15" s="138"/>
      <c r="AF15" s="138"/>
      <c r="AG15" s="138"/>
      <c r="AH15" s="138"/>
      <c r="AI15" s="138"/>
      <c r="AJ15" s="138"/>
    </row>
    <row r="16" spans="1:36" ht="54.95" customHeight="1">
      <c r="A16" s="406"/>
      <c r="B16" s="407" t="s">
        <v>25</v>
      </c>
      <c r="C16" s="132"/>
      <c r="D16" s="133"/>
      <c r="E16" s="134"/>
      <c r="F16" s="135"/>
      <c r="G16" s="136"/>
      <c r="H16" s="133"/>
      <c r="I16" s="134"/>
      <c r="J16" s="135"/>
      <c r="K16" s="136"/>
      <c r="L16" s="133"/>
      <c r="M16" s="134"/>
      <c r="N16" s="135"/>
      <c r="O16" s="136"/>
      <c r="P16" s="133"/>
      <c r="Q16" s="134"/>
      <c r="R16" s="137"/>
      <c r="S16" s="136"/>
      <c r="T16" s="133"/>
      <c r="U16" s="134"/>
      <c r="V16" s="135"/>
      <c r="W16" s="136"/>
      <c r="X16" s="133"/>
      <c r="Y16" s="134"/>
      <c r="Z16" s="137"/>
      <c r="AA16" s="129"/>
      <c r="AB16" s="129"/>
      <c r="AC16" s="138"/>
      <c r="AD16" s="138"/>
      <c r="AE16" s="138"/>
      <c r="AF16" s="138"/>
      <c r="AG16" s="138"/>
      <c r="AH16" s="138"/>
      <c r="AI16" s="138"/>
      <c r="AJ16" s="138"/>
    </row>
    <row r="17" spans="1:38" ht="54.95" customHeight="1">
      <c r="A17" s="406"/>
      <c r="B17" s="407" t="s">
        <v>26</v>
      </c>
      <c r="C17" s="132"/>
      <c r="D17" s="133"/>
      <c r="E17" s="134"/>
      <c r="F17" s="135"/>
      <c r="G17" s="136"/>
      <c r="H17" s="133"/>
      <c r="I17" s="134"/>
      <c r="J17" s="135"/>
      <c r="K17" s="136"/>
      <c r="L17" s="133"/>
      <c r="M17" s="134"/>
      <c r="N17" s="135"/>
      <c r="O17" s="136"/>
      <c r="P17" s="133"/>
      <c r="Q17" s="134"/>
      <c r="R17" s="137"/>
      <c r="S17" s="136"/>
      <c r="T17" s="133"/>
      <c r="U17" s="134"/>
      <c r="V17" s="135"/>
      <c r="W17" s="136"/>
      <c r="X17" s="133"/>
      <c r="Y17" s="134"/>
      <c r="Z17" s="137"/>
      <c r="AA17" s="129"/>
      <c r="AB17" s="129"/>
      <c r="AC17" s="138"/>
      <c r="AD17" s="138"/>
      <c r="AE17" s="138"/>
      <c r="AF17" s="138"/>
      <c r="AG17" s="138"/>
      <c r="AH17" s="138"/>
      <c r="AI17" s="138"/>
      <c r="AJ17" s="138"/>
    </row>
    <row r="18" spans="1:38" ht="54.95" customHeight="1">
      <c r="A18" s="406">
        <v>8</v>
      </c>
      <c r="B18" s="407" t="s">
        <v>23</v>
      </c>
      <c r="C18" s="132"/>
      <c r="D18" s="133"/>
      <c r="E18" s="134"/>
      <c r="F18" s="135"/>
      <c r="G18" s="136"/>
      <c r="H18" s="133"/>
      <c r="I18" s="134"/>
      <c r="J18" s="135"/>
      <c r="K18" s="136"/>
      <c r="L18" s="133"/>
      <c r="M18" s="134"/>
      <c r="N18" s="135"/>
      <c r="O18" s="136"/>
      <c r="P18" s="133"/>
      <c r="Q18" s="134"/>
      <c r="R18" s="137"/>
      <c r="S18" s="136"/>
      <c r="T18" s="133"/>
      <c r="U18" s="134"/>
      <c r="V18" s="135"/>
      <c r="W18" s="136"/>
      <c r="X18" s="133"/>
      <c r="Y18" s="134"/>
      <c r="Z18" s="137"/>
      <c r="AA18" s="129"/>
      <c r="AB18" s="129"/>
      <c r="AC18" s="138"/>
      <c r="AD18" s="138"/>
      <c r="AE18" s="138"/>
      <c r="AF18" s="138"/>
      <c r="AG18" s="138"/>
      <c r="AH18" s="138"/>
      <c r="AI18" s="138"/>
      <c r="AJ18" s="138"/>
    </row>
    <row r="19" spans="1:38" ht="54.95" customHeight="1">
      <c r="A19" s="406"/>
      <c r="B19" s="407" t="s">
        <v>24</v>
      </c>
      <c r="C19" s="132"/>
      <c r="D19" s="133"/>
      <c r="E19" s="134"/>
      <c r="F19" s="135"/>
      <c r="G19" s="136"/>
      <c r="H19" s="133"/>
      <c r="I19" s="134"/>
      <c r="J19" s="135"/>
      <c r="K19" s="136"/>
      <c r="L19" s="133"/>
      <c r="M19" s="134"/>
      <c r="N19" s="135"/>
      <c r="O19" s="136"/>
      <c r="P19" s="133"/>
      <c r="Q19" s="134"/>
      <c r="R19" s="137"/>
      <c r="S19" s="136"/>
      <c r="T19" s="133"/>
      <c r="U19" s="134"/>
      <c r="V19" s="135"/>
      <c r="W19" s="136"/>
      <c r="X19" s="133"/>
      <c r="Y19" s="134"/>
      <c r="Z19" s="137"/>
      <c r="AA19" s="129"/>
      <c r="AB19" s="129"/>
      <c r="AC19" s="138"/>
      <c r="AD19" s="138"/>
      <c r="AE19" s="138"/>
      <c r="AF19" s="138"/>
      <c r="AG19" s="138"/>
      <c r="AH19" s="138"/>
      <c r="AI19" s="138"/>
      <c r="AJ19" s="138"/>
    </row>
    <row r="20" spans="1:38" ht="54.95" customHeight="1">
      <c r="A20" s="406"/>
      <c r="B20" s="407" t="s">
        <v>25</v>
      </c>
      <c r="C20" s="132"/>
      <c r="D20" s="133"/>
      <c r="E20" s="134"/>
      <c r="F20" s="135"/>
      <c r="G20" s="136"/>
      <c r="H20" s="133"/>
      <c r="I20" s="134"/>
      <c r="J20" s="135"/>
      <c r="K20" s="136"/>
      <c r="L20" s="133"/>
      <c r="M20" s="134"/>
      <c r="N20" s="135"/>
      <c r="O20" s="136"/>
      <c r="P20" s="133"/>
      <c r="Q20" s="134"/>
      <c r="R20" s="137"/>
      <c r="S20" s="136"/>
      <c r="T20" s="133"/>
      <c r="U20" s="134"/>
      <c r="V20" s="135"/>
      <c r="W20" s="136"/>
      <c r="X20" s="133"/>
      <c r="Y20" s="134"/>
      <c r="Z20" s="137"/>
      <c r="AA20" s="129"/>
      <c r="AB20" s="129"/>
      <c r="AC20" s="138"/>
      <c r="AD20" s="138"/>
      <c r="AE20" s="138"/>
      <c r="AF20" s="138"/>
      <c r="AG20" s="138"/>
      <c r="AH20" s="138"/>
      <c r="AI20" s="138"/>
      <c r="AJ20" s="138"/>
    </row>
    <row r="21" spans="1:38" ht="54.95" customHeight="1">
      <c r="A21" s="406"/>
      <c r="B21" s="407" t="s">
        <v>26</v>
      </c>
      <c r="C21" s="132"/>
      <c r="D21" s="133"/>
      <c r="E21" s="134"/>
      <c r="F21" s="135"/>
      <c r="G21" s="136"/>
      <c r="H21" s="133"/>
      <c r="I21" s="134"/>
      <c r="J21" s="135"/>
      <c r="K21" s="136"/>
      <c r="L21" s="133"/>
      <c r="M21" s="134"/>
      <c r="N21" s="135"/>
      <c r="O21" s="136"/>
      <c r="P21" s="133"/>
      <c r="Q21" s="134"/>
      <c r="R21" s="137"/>
      <c r="S21" s="136"/>
      <c r="T21" s="133"/>
      <c r="U21" s="134"/>
      <c r="V21" s="135"/>
      <c r="W21" s="136"/>
      <c r="X21" s="133"/>
      <c r="Y21" s="134"/>
      <c r="Z21" s="137"/>
      <c r="AA21" s="129"/>
      <c r="AB21" s="129"/>
      <c r="AC21" s="138"/>
      <c r="AD21" s="138"/>
      <c r="AE21" s="138"/>
      <c r="AF21" s="138"/>
      <c r="AG21" s="138"/>
      <c r="AH21" s="138"/>
      <c r="AI21" s="138"/>
      <c r="AJ21" s="138"/>
    </row>
    <row r="22" spans="1:38" ht="54.95" customHeight="1">
      <c r="A22" s="406">
        <v>9</v>
      </c>
      <c r="B22" s="407" t="s">
        <v>23</v>
      </c>
      <c r="C22" s="132"/>
      <c r="D22" s="133"/>
      <c r="E22" s="134"/>
      <c r="F22" s="135"/>
      <c r="G22" s="136"/>
      <c r="H22" s="133"/>
      <c r="I22" s="134"/>
      <c r="J22" s="135"/>
      <c r="K22" s="136"/>
      <c r="L22" s="133"/>
      <c r="M22" s="134"/>
      <c r="N22" s="135"/>
      <c r="O22" s="136"/>
      <c r="P22" s="133"/>
      <c r="Q22" s="134"/>
      <c r="R22" s="137"/>
      <c r="S22" s="136"/>
      <c r="T22" s="133"/>
      <c r="U22" s="134"/>
      <c r="V22" s="135"/>
      <c r="W22" s="136"/>
      <c r="X22" s="133"/>
      <c r="Y22" s="134"/>
      <c r="Z22" s="137"/>
      <c r="AA22" s="129"/>
      <c r="AB22" s="129"/>
      <c r="AC22" s="138"/>
      <c r="AD22" s="138"/>
      <c r="AE22" s="138"/>
      <c r="AF22" s="138"/>
      <c r="AG22" s="138"/>
      <c r="AH22" s="138"/>
      <c r="AI22" s="138"/>
      <c r="AJ22" s="138"/>
    </row>
    <row r="23" spans="1:38" ht="54.95" customHeight="1" thickBot="1">
      <c r="A23" s="408"/>
      <c r="B23" s="409" t="s">
        <v>24</v>
      </c>
      <c r="C23" s="139"/>
      <c r="D23" s="140"/>
      <c r="E23" s="141"/>
      <c r="F23" s="142"/>
      <c r="G23" s="143"/>
      <c r="H23" s="140"/>
      <c r="I23" s="141"/>
      <c r="J23" s="142"/>
      <c r="K23" s="143"/>
      <c r="L23" s="140"/>
      <c r="M23" s="141"/>
      <c r="N23" s="142"/>
      <c r="O23" s="143"/>
      <c r="P23" s="140"/>
      <c r="Q23" s="141"/>
      <c r="R23" s="144"/>
      <c r="S23" s="143"/>
      <c r="T23" s="140"/>
      <c r="U23" s="141"/>
      <c r="V23" s="142"/>
      <c r="W23" s="143"/>
      <c r="X23" s="140"/>
      <c r="Y23" s="141"/>
      <c r="Z23" s="144"/>
      <c r="AA23" s="129"/>
      <c r="AB23" s="129"/>
      <c r="AC23" s="138"/>
      <c r="AD23" s="138"/>
      <c r="AE23" s="138"/>
      <c r="AF23" s="138"/>
      <c r="AG23" s="138"/>
      <c r="AH23" s="138"/>
      <c r="AI23" s="138"/>
      <c r="AJ23" s="138"/>
    </row>
    <row r="24" spans="1:38" ht="54.95" customHeight="1" thickTop="1" thickBot="1">
      <c r="A24" s="145"/>
      <c r="B24" s="145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38"/>
      <c r="AD24" s="138"/>
      <c r="AE24" s="138"/>
      <c r="AF24" s="138"/>
      <c r="AG24" s="138"/>
      <c r="AH24" s="138"/>
      <c r="AI24" s="138"/>
      <c r="AJ24" s="138"/>
    </row>
    <row r="25" spans="1:38" ht="52.5" customHeight="1" thickBot="1">
      <c r="A25" s="475" t="s">
        <v>0</v>
      </c>
      <c r="B25" s="476" t="str">
        <f>B1</f>
        <v>SCIENTRIER_Carrefour vers la Tour de Bellecombe</v>
      </c>
      <c r="C25" s="477"/>
      <c r="D25" s="477"/>
      <c r="E25" s="477"/>
      <c r="F25" s="478"/>
      <c r="G25" s="478"/>
      <c r="H25" s="477"/>
      <c r="I25" s="477"/>
      <c r="J25" s="478"/>
      <c r="K25" s="478"/>
      <c r="L25" s="479"/>
      <c r="M25" s="410" t="s">
        <v>30</v>
      </c>
      <c r="N25" s="480" t="str">
        <f>N1</f>
        <v>mardi 31 mai 2022</v>
      </c>
      <c r="O25" s="477"/>
      <c r="P25" s="477"/>
      <c r="Q25" s="477"/>
      <c r="R25" s="477"/>
      <c r="S25" s="477"/>
      <c r="T25" s="477"/>
      <c r="U25" s="477"/>
      <c r="V25" s="481"/>
      <c r="W25" s="411"/>
      <c r="X25" s="411"/>
      <c r="Y25" s="411"/>
      <c r="Z25" s="482"/>
      <c r="AA25" s="475" t="s">
        <v>0</v>
      </c>
      <c r="AB25" s="476" t="str">
        <f>B25</f>
        <v>SCIENTRIER_Carrefour vers la Tour de Bellecombe</v>
      </c>
      <c r="AC25" s="477"/>
      <c r="AD25" s="477"/>
      <c r="AE25" s="477"/>
      <c r="AF25" s="479"/>
      <c r="AG25" s="410" t="s">
        <v>1</v>
      </c>
      <c r="AH25" s="476" t="str">
        <f>N25</f>
        <v>mardi 31 mai 2022</v>
      </c>
      <c r="AI25" s="477"/>
      <c r="AJ25" s="477"/>
      <c r="AK25" s="481"/>
      <c r="AL25" s="483"/>
    </row>
    <row r="26" spans="1:38" ht="52.5" customHeight="1" thickBot="1">
      <c r="A26" s="475" t="s">
        <v>2</v>
      </c>
      <c r="B26" s="484"/>
      <c r="C26" s="395"/>
      <c r="D26" s="395"/>
      <c r="E26" s="395"/>
      <c r="F26" s="395"/>
      <c r="G26" s="476">
        <f>G2</f>
        <v>0</v>
      </c>
      <c r="H26" s="477"/>
      <c r="I26" s="477"/>
      <c r="J26" s="477"/>
      <c r="K26" s="477"/>
      <c r="L26" s="477"/>
      <c r="M26" s="477"/>
      <c r="N26" s="477"/>
      <c r="O26" s="477"/>
      <c r="P26" s="477"/>
      <c r="Q26" s="477"/>
      <c r="R26" s="477"/>
      <c r="S26" s="477"/>
      <c r="T26" s="477"/>
      <c r="U26" s="477"/>
      <c r="V26" s="481"/>
      <c r="W26" s="411"/>
      <c r="X26" s="411"/>
      <c r="Y26" s="411"/>
      <c r="Z26" s="411"/>
      <c r="AA26" s="475" t="s">
        <v>2</v>
      </c>
      <c r="AB26" s="484"/>
      <c r="AC26" s="395"/>
      <c r="AD26" s="395"/>
      <c r="AE26" s="476">
        <f>G26</f>
        <v>0</v>
      </c>
      <c r="AF26" s="477"/>
      <c r="AG26" s="477"/>
      <c r="AH26" s="477"/>
      <c r="AI26" s="477"/>
      <c r="AJ26" s="477"/>
      <c r="AK26" s="481"/>
      <c r="AL26" s="483"/>
    </row>
    <row r="27" spans="1:38" ht="52.5" customHeight="1" thickBot="1">
      <c r="A27" s="475" t="s">
        <v>3</v>
      </c>
      <c r="B27" s="411"/>
      <c r="C27" s="476">
        <f>C3</f>
        <v>0</v>
      </c>
      <c r="D27" s="477"/>
      <c r="E27" s="477"/>
      <c r="F27" s="477"/>
      <c r="G27" s="477"/>
      <c r="H27" s="477"/>
      <c r="I27" s="477"/>
      <c r="J27" s="477"/>
      <c r="K27" s="477"/>
      <c r="L27" s="477"/>
      <c r="M27" s="477"/>
      <c r="N27" s="477"/>
      <c r="O27" s="477"/>
      <c r="P27" s="477"/>
      <c r="Q27" s="477"/>
      <c r="R27" s="477"/>
      <c r="S27" s="477"/>
      <c r="T27" s="477"/>
      <c r="U27" s="477"/>
      <c r="V27" s="481"/>
      <c r="W27" s="411"/>
      <c r="X27" s="411"/>
      <c r="Y27" s="411"/>
      <c r="Z27" s="482"/>
      <c r="AA27" s="475" t="s">
        <v>3</v>
      </c>
      <c r="AB27" s="411"/>
      <c r="AC27" s="476">
        <f>C27</f>
        <v>0</v>
      </c>
      <c r="AD27" s="477"/>
      <c r="AE27" s="477"/>
      <c r="AF27" s="477"/>
      <c r="AG27" s="477"/>
      <c r="AH27" s="477"/>
      <c r="AI27" s="477"/>
      <c r="AJ27" s="477"/>
      <c r="AK27" s="481"/>
      <c r="AL27" s="483"/>
    </row>
    <row r="28" spans="1:38" ht="52.5" customHeight="1" thickBot="1">
      <c r="A28" s="386" t="s">
        <v>27</v>
      </c>
      <c r="B28" s="392"/>
      <c r="C28" s="476">
        <f>C4</f>
        <v>0</v>
      </c>
      <c r="D28" s="477"/>
      <c r="E28" s="477"/>
      <c r="F28" s="477"/>
      <c r="G28" s="477"/>
      <c r="H28" s="477"/>
      <c r="I28" s="477"/>
      <c r="J28" s="477"/>
      <c r="K28" s="477"/>
      <c r="L28" s="477"/>
      <c r="M28" s="477"/>
      <c r="N28" s="477"/>
      <c r="O28" s="477"/>
      <c r="P28" s="477"/>
      <c r="Q28" s="477"/>
      <c r="R28" s="477"/>
      <c r="S28" s="477"/>
      <c r="T28" s="477"/>
      <c r="U28" s="477"/>
      <c r="V28" s="481"/>
      <c r="W28" s="392"/>
      <c r="X28" s="392"/>
      <c r="Y28" s="392"/>
      <c r="Z28" s="393"/>
      <c r="AA28" s="386" t="s">
        <v>27</v>
      </c>
      <c r="AB28" s="485"/>
      <c r="AC28" s="476">
        <f>C28</f>
        <v>0</v>
      </c>
      <c r="AD28" s="477"/>
      <c r="AE28" s="477"/>
      <c r="AF28" s="477"/>
      <c r="AG28" s="477"/>
      <c r="AH28" s="477"/>
      <c r="AI28" s="477"/>
      <c r="AJ28" s="477"/>
      <c r="AK28" s="481"/>
      <c r="AL28" s="486"/>
    </row>
    <row r="29" spans="1:38" ht="25.5" customHeight="1">
      <c r="A29" s="397"/>
      <c r="B29" s="395"/>
      <c r="C29" s="395"/>
      <c r="D29" s="395"/>
      <c r="E29" s="39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6"/>
      <c r="S29" s="395"/>
      <c r="T29" s="395"/>
      <c r="U29" s="395"/>
      <c r="V29" s="395"/>
      <c r="W29" s="395"/>
      <c r="X29" s="395"/>
      <c r="Y29" s="395"/>
      <c r="Z29" s="396"/>
      <c r="AA29" s="397"/>
      <c r="AB29" s="395"/>
      <c r="AC29" s="395"/>
      <c r="AD29" s="395"/>
      <c r="AE29" s="395"/>
      <c r="AF29" s="395"/>
      <c r="AG29" s="395"/>
      <c r="AH29" s="395"/>
      <c r="AI29" s="395"/>
      <c r="AJ29" s="395"/>
      <c r="AK29" s="395"/>
      <c r="AL29" s="487"/>
    </row>
    <row r="30" spans="1:38" ht="25.5" customHeight="1">
      <c r="A30" s="397"/>
      <c r="B30" s="395"/>
      <c r="C30" s="395"/>
      <c r="D30" s="395"/>
      <c r="E30" s="395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6"/>
      <c r="S30" s="395"/>
      <c r="T30" s="395"/>
      <c r="U30" s="395"/>
      <c r="V30" s="395"/>
      <c r="W30" s="395"/>
      <c r="X30" s="395"/>
      <c r="Y30" s="395"/>
      <c r="Z30" s="396"/>
      <c r="AA30" s="397"/>
      <c r="AB30" s="395"/>
      <c r="AC30" s="395"/>
      <c r="AD30" s="395"/>
      <c r="AE30" s="395"/>
      <c r="AF30" s="395"/>
      <c r="AG30" s="395"/>
      <c r="AH30" s="395"/>
      <c r="AI30" s="395"/>
      <c r="AJ30" s="395"/>
      <c r="AK30" s="396"/>
      <c r="AL30" s="488"/>
    </row>
    <row r="31" spans="1:38" ht="25.5" customHeight="1" thickBot="1">
      <c r="A31" s="397"/>
      <c r="B31" s="395"/>
      <c r="C31" s="395"/>
      <c r="D31" s="395"/>
      <c r="E31" s="395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6"/>
      <c r="S31" s="395"/>
      <c r="T31" s="395"/>
      <c r="U31" s="395"/>
      <c r="V31" s="395"/>
      <c r="W31" s="395"/>
      <c r="X31" s="395"/>
      <c r="Y31" s="395"/>
      <c r="Z31" s="396"/>
      <c r="AA31" s="396"/>
      <c r="AB31" s="396"/>
      <c r="AC31" s="396"/>
      <c r="AD31" s="396"/>
      <c r="AE31" s="396"/>
      <c r="AF31" s="396"/>
      <c r="AG31" s="396"/>
      <c r="AH31" s="396"/>
      <c r="AI31" s="396"/>
      <c r="AJ31" s="396"/>
      <c r="AK31" s="396"/>
      <c r="AL31" s="489"/>
    </row>
    <row r="32" spans="1:38" ht="32.25" customHeight="1" thickTop="1">
      <c r="A32" s="394"/>
      <c r="B32" s="395"/>
      <c r="C32" s="1062" t="str">
        <f>C8</f>
        <v>Depuis 'La Roche'</v>
      </c>
      <c r="D32" s="1063"/>
      <c r="E32" s="1063"/>
      <c r="F32" s="1063"/>
      <c r="G32" s="1063"/>
      <c r="H32" s="1063"/>
      <c r="I32" s="1063"/>
      <c r="J32" s="1063"/>
      <c r="K32" s="1063" t="str">
        <f>K8</f>
        <v>Depuis 'Reignier'</v>
      </c>
      <c r="L32" s="1063"/>
      <c r="M32" s="1063"/>
      <c r="N32" s="1063"/>
      <c r="O32" s="1063"/>
      <c r="P32" s="1063"/>
      <c r="Q32" s="1063"/>
      <c r="R32" s="1064"/>
      <c r="S32" s="1064" t="str">
        <f>S8</f>
        <v>Depuis 'Findrol'</v>
      </c>
      <c r="T32" s="1079"/>
      <c r="U32" s="1079"/>
      <c r="V32" s="1079"/>
      <c r="W32" s="1079"/>
      <c r="X32" s="1079"/>
      <c r="Y32" s="1079"/>
      <c r="Z32" s="1079"/>
      <c r="AA32" s="394"/>
      <c r="AB32" s="395"/>
      <c r="AC32" s="1080" t="s">
        <v>12</v>
      </c>
      <c r="AD32" s="1075" t="s">
        <v>14</v>
      </c>
      <c r="AE32" s="1075" t="s">
        <v>15</v>
      </c>
      <c r="AF32" s="1075" t="s">
        <v>18</v>
      </c>
      <c r="AG32" s="1075" t="s">
        <v>116</v>
      </c>
      <c r="AH32" s="1075" t="s">
        <v>117</v>
      </c>
      <c r="AI32" s="1075" t="s">
        <v>79</v>
      </c>
      <c r="AJ32" s="1083" t="s">
        <v>31</v>
      </c>
      <c r="AK32" s="1084"/>
      <c r="AL32" s="1085"/>
    </row>
    <row r="33" spans="1:39" ht="22.7" customHeight="1">
      <c r="A33" s="394"/>
      <c r="B33" s="395"/>
      <c r="C33" s="1065" t="str">
        <f>C9</f>
        <v>vers 'Reignier'</v>
      </c>
      <c r="D33" s="1066"/>
      <c r="E33" s="1066"/>
      <c r="F33" s="1066"/>
      <c r="G33" s="1065" t="str">
        <f t="shared" ref="G33" si="0">G9</f>
        <v>vers 'Findrol'</v>
      </c>
      <c r="H33" s="1066"/>
      <c r="I33" s="1066"/>
      <c r="J33" s="1066"/>
      <c r="K33" s="1065" t="str">
        <f t="shared" ref="K33" si="1">K9</f>
        <v>vers 'Findrol'</v>
      </c>
      <c r="L33" s="1066"/>
      <c r="M33" s="1066"/>
      <c r="N33" s="1066"/>
      <c r="O33" s="1065" t="str">
        <f t="shared" ref="O33" si="2">O9</f>
        <v>vers 'La Roche'</v>
      </c>
      <c r="P33" s="1066"/>
      <c r="Q33" s="1066"/>
      <c r="R33" s="1066"/>
      <c r="S33" s="1078" t="str">
        <f t="shared" ref="S33" si="3">S9</f>
        <v>vers 'Reignier'</v>
      </c>
      <c r="T33" s="1078"/>
      <c r="U33" s="1078"/>
      <c r="V33" s="1078"/>
      <c r="W33" s="1078" t="str">
        <f t="shared" ref="W33" si="4">W9</f>
        <v>vers 'La Roche'</v>
      </c>
      <c r="X33" s="1078"/>
      <c r="Y33" s="1078"/>
      <c r="Z33" s="1078"/>
      <c r="AA33" s="394"/>
      <c r="AB33" s="395"/>
      <c r="AC33" s="1081"/>
      <c r="AD33" s="1076"/>
      <c r="AE33" s="1076"/>
      <c r="AF33" s="1076"/>
      <c r="AG33" s="1076"/>
      <c r="AH33" s="1076"/>
      <c r="AI33" s="1076"/>
      <c r="AJ33" s="1086"/>
      <c r="AK33" s="1087"/>
      <c r="AL33" s="1088"/>
    </row>
    <row r="34" spans="1:39" ht="18.600000000000001" customHeight="1" thickBot="1">
      <c r="A34" s="469"/>
      <c r="B34" s="395"/>
      <c r="C34" s="1071" t="s">
        <v>4</v>
      </c>
      <c r="D34" s="1072"/>
      <c r="E34" s="1069" t="s">
        <v>5</v>
      </c>
      <c r="F34" s="1073"/>
      <c r="G34" s="1074" t="s">
        <v>4</v>
      </c>
      <c r="H34" s="1072"/>
      <c r="I34" s="1069" t="s">
        <v>5</v>
      </c>
      <c r="J34" s="1073"/>
      <c r="K34" s="1074" t="s">
        <v>4</v>
      </c>
      <c r="L34" s="1072"/>
      <c r="M34" s="1069" t="s">
        <v>5</v>
      </c>
      <c r="N34" s="1073"/>
      <c r="O34" s="1074" t="s">
        <v>4</v>
      </c>
      <c r="P34" s="1072"/>
      <c r="Q34" s="1069" t="s">
        <v>5</v>
      </c>
      <c r="R34" s="1070"/>
      <c r="S34" s="1095" t="s">
        <v>4</v>
      </c>
      <c r="T34" s="1082"/>
      <c r="U34" s="1082" t="s">
        <v>5</v>
      </c>
      <c r="V34" s="1082"/>
      <c r="W34" s="1082" t="s">
        <v>4</v>
      </c>
      <c r="X34" s="1082"/>
      <c r="Y34" s="1082" t="s">
        <v>5</v>
      </c>
      <c r="Z34" s="1082"/>
      <c r="AA34" s="469"/>
      <c r="AB34" s="395"/>
      <c r="AC34" s="1081"/>
      <c r="AD34" s="1076"/>
      <c r="AE34" s="1076"/>
      <c r="AF34" s="1076"/>
      <c r="AG34" s="1076"/>
      <c r="AH34" s="1076"/>
      <c r="AI34" s="1076"/>
      <c r="AJ34" s="1086"/>
      <c r="AK34" s="1087"/>
      <c r="AL34" s="1088"/>
    </row>
    <row r="35" spans="1:39" ht="21" thickTop="1">
      <c r="A35" s="1092" t="s">
        <v>13</v>
      </c>
      <c r="B35" s="1093"/>
      <c r="C35" s="400" t="s">
        <v>8</v>
      </c>
      <c r="D35" s="401" t="s">
        <v>9</v>
      </c>
      <c r="E35" s="402" t="s">
        <v>8</v>
      </c>
      <c r="F35" s="403" t="s">
        <v>9</v>
      </c>
      <c r="G35" s="404" t="s">
        <v>8</v>
      </c>
      <c r="H35" s="401" t="s">
        <v>9</v>
      </c>
      <c r="I35" s="402" t="s">
        <v>8</v>
      </c>
      <c r="J35" s="403" t="s">
        <v>9</v>
      </c>
      <c r="K35" s="404" t="s">
        <v>8</v>
      </c>
      <c r="L35" s="401" t="s">
        <v>9</v>
      </c>
      <c r="M35" s="402" t="s">
        <v>8</v>
      </c>
      <c r="N35" s="403" t="s">
        <v>9</v>
      </c>
      <c r="O35" s="404" t="s">
        <v>8</v>
      </c>
      <c r="P35" s="401" t="s">
        <v>9</v>
      </c>
      <c r="Q35" s="402" t="s">
        <v>8</v>
      </c>
      <c r="R35" s="405" t="s">
        <v>9</v>
      </c>
      <c r="S35" s="490" t="s">
        <v>8</v>
      </c>
      <c r="T35" s="491" t="s">
        <v>9</v>
      </c>
      <c r="U35" s="491" t="s">
        <v>8</v>
      </c>
      <c r="V35" s="491" t="s">
        <v>9</v>
      </c>
      <c r="W35" s="491" t="s">
        <v>8</v>
      </c>
      <c r="X35" s="491" t="s">
        <v>9</v>
      </c>
      <c r="Y35" s="491" t="s">
        <v>8</v>
      </c>
      <c r="Z35" s="491" t="s">
        <v>9</v>
      </c>
      <c r="AA35" s="1094" t="s">
        <v>13</v>
      </c>
      <c r="AB35" s="1094"/>
      <c r="AC35" s="1081"/>
      <c r="AD35" s="1077"/>
      <c r="AE35" s="1077"/>
      <c r="AF35" s="1077"/>
      <c r="AG35" s="1077"/>
      <c r="AH35" s="1077"/>
      <c r="AI35" s="1077"/>
      <c r="AJ35" s="1089"/>
      <c r="AK35" s="1090"/>
      <c r="AL35" s="1091"/>
    </row>
    <row r="36" spans="1:39" ht="54.95" customHeight="1">
      <c r="A36" s="1103" t="s">
        <v>28</v>
      </c>
      <c r="B36" s="1104"/>
      <c r="C36" s="412">
        <f>SUM(C12:C15)</f>
        <v>0</v>
      </c>
      <c r="D36" s="413">
        <f t="shared" ref="D36:Z36" si="5">SUM(D12:D15)</f>
        <v>0</v>
      </c>
      <c r="E36" s="414">
        <f t="shared" si="5"/>
        <v>0</v>
      </c>
      <c r="F36" s="415">
        <f t="shared" si="5"/>
        <v>0</v>
      </c>
      <c r="G36" s="416">
        <f t="shared" si="5"/>
        <v>0</v>
      </c>
      <c r="H36" s="413">
        <f t="shared" si="5"/>
        <v>0</v>
      </c>
      <c r="I36" s="414">
        <f t="shared" si="5"/>
        <v>0</v>
      </c>
      <c r="J36" s="415">
        <f t="shared" si="5"/>
        <v>0</v>
      </c>
      <c r="K36" s="416">
        <f t="shared" si="5"/>
        <v>0</v>
      </c>
      <c r="L36" s="413">
        <f t="shared" si="5"/>
        <v>0</v>
      </c>
      <c r="M36" s="414">
        <f t="shared" si="5"/>
        <v>0</v>
      </c>
      <c r="N36" s="415">
        <f t="shared" si="5"/>
        <v>0</v>
      </c>
      <c r="O36" s="416">
        <f t="shared" si="5"/>
        <v>0</v>
      </c>
      <c r="P36" s="413">
        <f t="shared" si="5"/>
        <v>0</v>
      </c>
      <c r="Q36" s="414">
        <f t="shared" si="5"/>
        <v>0</v>
      </c>
      <c r="R36" s="417">
        <f t="shared" si="5"/>
        <v>0</v>
      </c>
      <c r="S36" s="492">
        <f t="shared" si="5"/>
        <v>0</v>
      </c>
      <c r="T36" s="493">
        <f t="shared" si="5"/>
        <v>0</v>
      </c>
      <c r="U36" s="493">
        <f t="shared" si="5"/>
        <v>0</v>
      </c>
      <c r="V36" s="493">
        <f t="shared" si="5"/>
        <v>0</v>
      </c>
      <c r="W36" s="493">
        <f t="shared" si="5"/>
        <v>0</v>
      </c>
      <c r="X36" s="493">
        <f t="shared" si="5"/>
        <v>0</v>
      </c>
      <c r="Y36" s="493">
        <f t="shared" si="5"/>
        <v>0</v>
      </c>
      <c r="Z36" s="493">
        <f t="shared" si="5"/>
        <v>0</v>
      </c>
      <c r="AA36" s="1105" t="s">
        <v>28</v>
      </c>
      <c r="AB36" s="1105"/>
      <c r="AC36" s="470">
        <f t="shared" ref="AC36:AC42" si="6">SUM(C36:Z36)</f>
        <v>0</v>
      </c>
      <c r="AD36" s="418">
        <f>IF(AC36=0,0,AD48/AC36)</f>
        <v>0</v>
      </c>
      <c r="AE36" s="418">
        <f>IF(AC36=0,0,AE48/AC36)</f>
        <v>0</v>
      </c>
      <c r="AF36" s="418">
        <f>IF(AE48=0,0,AF48/AE48)</f>
        <v>0</v>
      </c>
      <c r="AG36" s="418">
        <f t="shared" ref="AG36:AG42" si="7">IF(AC36=0,0,AG48/AC36)</f>
        <v>0</v>
      </c>
      <c r="AH36" s="418">
        <f>IF(AC36=0,0,AH48/AC36)</f>
        <v>0</v>
      </c>
      <c r="AI36" s="418">
        <f>IF(AC36=0,0,AI48/AC36)</f>
        <v>0</v>
      </c>
      <c r="AJ36" s="471"/>
      <c r="AK36" s="1096"/>
      <c r="AL36" s="1097"/>
    </row>
    <row r="37" spans="1:39" ht="54.95" customHeight="1">
      <c r="A37" s="1098" t="s">
        <v>11</v>
      </c>
      <c r="B37" s="1099"/>
      <c r="C37" s="419">
        <f>SUM(C14:C17)</f>
        <v>0</v>
      </c>
      <c r="D37" s="420">
        <f t="shared" ref="D37:Z37" si="8">SUM(D14:D17)</f>
        <v>0</v>
      </c>
      <c r="E37" s="421">
        <f t="shared" si="8"/>
        <v>0</v>
      </c>
      <c r="F37" s="422">
        <f t="shared" si="8"/>
        <v>0</v>
      </c>
      <c r="G37" s="423">
        <f t="shared" si="8"/>
        <v>0</v>
      </c>
      <c r="H37" s="420">
        <f t="shared" si="8"/>
        <v>0</v>
      </c>
      <c r="I37" s="421">
        <f t="shared" si="8"/>
        <v>0</v>
      </c>
      <c r="J37" s="422">
        <f t="shared" si="8"/>
        <v>0</v>
      </c>
      <c r="K37" s="423">
        <f t="shared" si="8"/>
        <v>0</v>
      </c>
      <c r="L37" s="420">
        <f t="shared" si="8"/>
        <v>0</v>
      </c>
      <c r="M37" s="421">
        <f t="shared" si="8"/>
        <v>0</v>
      </c>
      <c r="N37" s="422">
        <f t="shared" si="8"/>
        <v>0</v>
      </c>
      <c r="O37" s="423">
        <f t="shared" si="8"/>
        <v>0</v>
      </c>
      <c r="P37" s="420">
        <f t="shared" si="8"/>
        <v>0</v>
      </c>
      <c r="Q37" s="421">
        <f t="shared" si="8"/>
        <v>0</v>
      </c>
      <c r="R37" s="424">
        <f t="shared" si="8"/>
        <v>0</v>
      </c>
      <c r="S37" s="494">
        <f t="shared" si="8"/>
        <v>0</v>
      </c>
      <c r="T37" s="495">
        <f t="shared" si="8"/>
        <v>0</v>
      </c>
      <c r="U37" s="495">
        <f t="shared" si="8"/>
        <v>0</v>
      </c>
      <c r="V37" s="495">
        <f t="shared" si="8"/>
        <v>0</v>
      </c>
      <c r="W37" s="495">
        <f t="shared" si="8"/>
        <v>0</v>
      </c>
      <c r="X37" s="495">
        <f t="shared" si="8"/>
        <v>0</v>
      </c>
      <c r="Y37" s="495">
        <f t="shared" si="8"/>
        <v>0</v>
      </c>
      <c r="Z37" s="495">
        <f t="shared" si="8"/>
        <v>0</v>
      </c>
      <c r="AA37" s="1100" t="s">
        <v>11</v>
      </c>
      <c r="AB37" s="1100"/>
      <c r="AC37" s="472">
        <f t="shared" si="6"/>
        <v>0</v>
      </c>
      <c r="AD37" s="425">
        <f t="shared" ref="AD37:AD42" si="9">IF(AC37=0,0,AD49/AC37)</f>
        <v>0</v>
      </c>
      <c r="AE37" s="425">
        <f t="shared" ref="AE37:AE42" si="10">IF(AC37=0,0,AE49/AC37)</f>
        <v>0</v>
      </c>
      <c r="AF37" s="425">
        <f t="shared" ref="AF37:AF42" si="11">IF(AE49=0,0,AF49/AE49)</f>
        <v>0</v>
      </c>
      <c r="AG37" s="425">
        <f t="shared" si="7"/>
        <v>0</v>
      </c>
      <c r="AH37" s="425">
        <f t="shared" ref="AH37:AH42" si="12">IF(AC37=0,0,AH49/AC37)</f>
        <v>0</v>
      </c>
      <c r="AI37" s="425">
        <f t="shared" ref="AI37:AI42" si="13">IF(AC37=0,0,AI49/AC37)</f>
        <v>0</v>
      </c>
      <c r="AJ37" s="473"/>
      <c r="AK37" s="1101"/>
      <c r="AL37" s="1102"/>
    </row>
    <row r="38" spans="1:39" ht="54.95" customHeight="1">
      <c r="A38" s="1098" t="s">
        <v>17</v>
      </c>
      <c r="B38" s="1099"/>
      <c r="C38" s="419">
        <f>SUM(C16:C19)</f>
        <v>0</v>
      </c>
      <c r="D38" s="420">
        <f t="shared" ref="D38:Z38" si="14">SUM(D16:D19)</f>
        <v>0</v>
      </c>
      <c r="E38" s="421">
        <f t="shared" si="14"/>
        <v>0</v>
      </c>
      <c r="F38" s="422">
        <f t="shared" si="14"/>
        <v>0</v>
      </c>
      <c r="G38" s="423">
        <f t="shared" si="14"/>
        <v>0</v>
      </c>
      <c r="H38" s="420">
        <f t="shared" si="14"/>
        <v>0</v>
      </c>
      <c r="I38" s="421">
        <f t="shared" si="14"/>
        <v>0</v>
      </c>
      <c r="J38" s="422">
        <f t="shared" si="14"/>
        <v>0</v>
      </c>
      <c r="K38" s="423">
        <f t="shared" si="14"/>
        <v>0</v>
      </c>
      <c r="L38" s="420">
        <f t="shared" si="14"/>
        <v>0</v>
      </c>
      <c r="M38" s="421">
        <f t="shared" si="14"/>
        <v>0</v>
      </c>
      <c r="N38" s="422">
        <f t="shared" si="14"/>
        <v>0</v>
      </c>
      <c r="O38" s="423">
        <f t="shared" si="14"/>
        <v>0</v>
      </c>
      <c r="P38" s="420">
        <f t="shared" si="14"/>
        <v>0</v>
      </c>
      <c r="Q38" s="421">
        <f t="shared" si="14"/>
        <v>0</v>
      </c>
      <c r="R38" s="424">
        <f t="shared" si="14"/>
        <v>0</v>
      </c>
      <c r="S38" s="494">
        <f t="shared" si="14"/>
        <v>0</v>
      </c>
      <c r="T38" s="495">
        <f t="shared" si="14"/>
        <v>0</v>
      </c>
      <c r="U38" s="495">
        <f t="shared" si="14"/>
        <v>0</v>
      </c>
      <c r="V38" s="495">
        <f t="shared" si="14"/>
        <v>0</v>
      </c>
      <c r="W38" s="495">
        <f t="shared" si="14"/>
        <v>0</v>
      </c>
      <c r="X38" s="495">
        <f t="shared" si="14"/>
        <v>0</v>
      </c>
      <c r="Y38" s="495">
        <f t="shared" si="14"/>
        <v>0</v>
      </c>
      <c r="Z38" s="495">
        <f t="shared" si="14"/>
        <v>0</v>
      </c>
      <c r="AA38" s="1100" t="s">
        <v>17</v>
      </c>
      <c r="AB38" s="1100"/>
      <c r="AC38" s="472">
        <f t="shared" si="6"/>
        <v>0</v>
      </c>
      <c r="AD38" s="425">
        <f t="shared" si="9"/>
        <v>0</v>
      </c>
      <c r="AE38" s="425">
        <f t="shared" si="10"/>
        <v>0</v>
      </c>
      <c r="AF38" s="425">
        <f t="shared" si="11"/>
        <v>0</v>
      </c>
      <c r="AG38" s="425">
        <f t="shared" si="7"/>
        <v>0</v>
      </c>
      <c r="AH38" s="425">
        <f t="shared" si="12"/>
        <v>0</v>
      </c>
      <c r="AI38" s="425">
        <f t="shared" si="13"/>
        <v>0</v>
      </c>
      <c r="AJ38" s="473"/>
      <c r="AK38" s="1101"/>
      <c r="AL38" s="1102"/>
    </row>
    <row r="39" spans="1:39" ht="54.95" customHeight="1">
      <c r="A39" s="1098" t="s">
        <v>10</v>
      </c>
      <c r="B39" s="1099"/>
      <c r="C39" s="419">
        <f>SUM(C18:C21)</f>
        <v>0</v>
      </c>
      <c r="D39" s="420">
        <f t="shared" ref="D39:Z39" si="15">SUM(D18:D21)</f>
        <v>0</v>
      </c>
      <c r="E39" s="421">
        <f t="shared" si="15"/>
        <v>0</v>
      </c>
      <c r="F39" s="422">
        <f t="shared" si="15"/>
        <v>0</v>
      </c>
      <c r="G39" s="423">
        <f t="shared" si="15"/>
        <v>0</v>
      </c>
      <c r="H39" s="420">
        <f t="shared" si="15"/>
        <v>0</v>
      </c>
      <c r="I39" s="421">
        <f t="shared" si="15"/>
        <v>0</v>
      </c>
      <c r="J39" s="422">
        <f t="shared" si="15"/>
        <v>0</v>
      </c>
      <c r="K39" s="423">
        <f t="shared" si="15"/>
        <v>0</v>
      </c>
      <c r="L39" s="420">
        <f t="shared" si="15"/>
        <v>0</v>
      </c>
      <c r="M39" s="421">
        <f t="shared" si="15"/>
        <v>0</v>
      </c>
      <c r="N39" s="422">
        <f t="shared" si="15"/>
        <v>0</v>
      </c>
      <c r="O39" s="423">
        <f t="shared" si="15"/>
        <v>0</v>
      </c>
      <c r="P39" s="420">
        <f t="shared" si="15"/>
        <v>0</v>
      </c>
      <c r="Q39" s="421">
        <f t="shared" si="15"/>
        <v>0</v>
      </c>
      <c r="R39" s="424">
        <f t="shared" si="15"/>
        <v>0</v>
      </c>
      <c r="S39" s="494">
        <f t="shared" si="15"/>
        <v>0</v>
      </c>
      <c r="T39" s="495">
        <f t="shared" si="15"/>
        <v>0</v>
      </c>
      <c r="U39" s="495">
        <f t="shared" si="15"/>
        <v>0</v>
      </c>
      <c r="V39" s="495">
        <f t="shared" si="15"/>
        <v>0</v>
      </c>
      <c r="W39" s="495">
        <f t="shared" si="15"/>
        <v>0</v>
      </c>
      <c r="X39" s="495">
        <f t="shared" si="15"/>
        <v>0</v>
      </c>
      <c r="Y39" s="495">
        <f t="shared" si="15"/>
        <v>0</v>
      </c>
      <c r="Z39" s="495">
        <f t="shared" si="15"/>
        <v>0</v>
      </c>
      <c r="AA39" s="1100" t="s">
        <v>10</v>
      </c>
      <c r="AB39" s="1100"/>
      <c r="AC39" s="472">
        <f t="shared" si="6"/>
        <v>0</v>
      </c>
      <c r="AD39" s="425">
        <f t="shared" si="9"/>
        <v>0</v>
      </c>
      <c r="AE39" s="425">
        <f t="shared" si="10"/>
        <v>0</v>
      </c>
      <c r="AF39" s="425">
        <f t="shared" si="11"/>
        <v>0</v>
      </c>
      <c r="AG39" s="425">
        <f t="shared" si="7"/>
        <v>0</v>
      </c>
      <c r="AH39" s="425">
        <f t="shared" si="12"/>
        <v>0</v>
      </c>
      <c r="AI39" s="425">
        <f t="shared" si="13"/>
        <v>0</v>
      </c>
      <c r="AJ39" s="473"/>
      <c r="AK39" s="1101"/>
      <c r="AL39" s="1102"/>
    </row>
    <row r="40" spans="1:39" ht="54.95" customHeight="1">
      <c r="A40" s="1106" t="s">
        <v>29</v>
      </c>
      <c r="B40" s="1107"/>
      <c r="C40" s="426">
        <f>SUM(C20:C23)</f>
        <v>0</v>
      </c>
      <c r="D40" s="427">
        <f t="shared" ref="D40:Z40" si="16">SUM(D20:D23)</f>
        <v>0</v>
      </c>
      <c r="E40" s="428">
        <f t="shared" si="16"/>
        <v>0</v>
      </c>
      <c r="F40" s="429">
        <f t="shared" si="16"/>
        <v>0</v>
      </c>
      <c r="G40" s="430">
        <f t="shared" si="16"/>
        <v>0</v>
      </c>
      <c r="H40" s="427">
        <f t="shared" si="16"/>
        <v>0</v>
      </c>
      <c r="I40" s="428">
        <f t="shared" si="16"/>
        <v>0</v>
      </c>
      <c r="J40" s="429">
        <f t="shared" si="16"/>
        <v>0</v>
      </c>
      <c r="K40" s="430">
        <f t="shared" si="16"/>
        <v>0</v>
      </c>
      <c r="L40" s="427">
        <f t="shared" si="16"/>
        <v>0</v>
      </c>
      <c r="M40" s="428">
        <f t="shared" si="16"/>
        <v>0</v>
      </c>
      <c r="N40" s="429">
        <f t="shared" si="16"/>
        <v>0</v>
      </c>
      <c r="O40" s="430">
        <f t="shared" si="16"/>
        <v>0</v>
      </c>
      <c r="P40" s="427">
        <f t="shared" si="16"/>
        <v>0</v>
      </c>
      <c r="Q40" s="428">
        <f t="shared" si="16"/>
        <v>0</v>
      </c>
      <c r="R40" s="431">
        <f t="shared" si="16"/>
        <v>0</v>
      </c>
      <c r="S40" s="496">
        <f t="shared" si="16"/>
        <v>0</v>
      </c>
      <c r="T40" s="497">
        <f t="shared" si="16"/>
        <v>0</v>
      </c>
      <c r="U40" s="497">
        <f t="shared" si="16"/>
        <v>0</v>
      </c>
      <c r="V40" s="497">
        <f t="shared" si="16"/>
        <v>0</v>
      </c>
      <c r="W40" s="497">
        <f t="shared" si="16"/>
        <v>0</v>
      </c>
      <c r="X40" s="497">
        <f t="shared" si="16"/>
        <v>0</v>
      </c>
      <c r="Y40" s="497">
        <f t="shared" si="16"/>
        <v>0</v>
      </c>
      <c r="Z40" s="497">
        <f t="shared" si="16"/>
        <v>0</v>
      </c>
      <c r="AA40" s="1108" t="s">
        <v>29</v>
      </c>
      <c r="AB40" s="1108"/>
      <c r="AC40" s="498">
        <f t="shared" si="6"/>
        <v>0</v>
      </c>
      <c r="AD40" s="432">
        <f t="shared" si="9"/>
        <v>0</v>
      </c>
      <c r="AE40" s="432">
        <f t="shared" si="10"/>
        <v>0</v>
      </c>
      <c r="AF40" s="432">
        <f t="shared" si="11"/>
        <v>0</v>
      </c>
      <c r="AG40" s="432">
        <f t="shared" si="7"/>
        <v>0</v>
      </c>
      <c r="AH40" s="432">
        <f t="shared" si="12"/>
        <v>0</v>
      </c>
      <c r="AI40" s="432">
        <f t="shared" si="13"/>
        <v>0</v>
      </c>
      <c r="AJ40" s="499"/>
      <c r="AK40" s="1109"/>
      <c r="AL40" s="1110"/>
    </row>
    <row r="41" spans="1:39" ht="54.95" customHeight="1">
      <c r="A41" s="1111" t="s">
        <v>12</v>
      </c>
      <c r="B41" s="1112"/>
      <c r="C41" s="433">
        <f>SUM(C12:C23)</f>
        <v>0</v>
      </c>
      <c r="D41" s="434">
        <f t="shared" ref="D41:Z41" si="17">SUM(D12:D23)</f>
        <v>0</v>
      </c>
      <c r="E41" s="435">
        <f t="shared" si="17"/>
        <v>0</v>
      </c>
      <c r="F41" s="436">
        <f t="shared" si="17"/>
        <v>0</v>
      </c>
      <c r="G41" s="437">
        <f t="shared" si="17"/>
        <v>0</v>
      </c>
      <c r="H41" s="434">
        <f t="shared" si="17"/>
        <v>0</v>
      </c>
      <c r="I41" s="435">
        <f t="shared" si="17"/>
        <v>0</v>
      </c>
      <c r="J41" s="436">
        <f t="shared" si="17"/>
        <v>0</v>
      </c>
      <c r="K41" s="437">
        <f t="shared" si="17"/>
        <v>0</v>
      </c>
      <c r="L41" s="434">
        <f t="shared" si="17"/>
        <v>0</v>
      </c>
      <c r="M41" s="435">
        <f t="shared" si="17"/>
        <v>0</v>
      </c>
      <c r="N41" s="436">
        <f t="shared" si="17"/>
        <v>0</v>
      </c>
      <c r="O41" s="437">
        <f t="shared" si="17"/>
        <v>0</v>
      </c>
      <c r="P41" s="434">
        <f t="shared" si="17"/>
        <v>0</v>
      </c>
      <c r="Q41" s="435">
        <f t="shared" si="17"/>
        <v>0</v>
      </c>
      <c r="R41" s="438">
        <f t="shared" si="17"/>
        <v>0</v>
      </c>
      <c r="S41" s="500">
        <f t="shared" si="17"/>
        <v>0</v>
      </c>
      <c r="T41" s="501">
        <f t="shared" si="17"/>
        <v>0</v>
      </c>
      <c r="U41" s="501">
        <f t="shared" si="17"/>
        <v>0</v>
      </c>
      <c r="V41" s="501">
        <f t="shared" si="17"/>
        <v>0</v>
      </c>
      <c r="W41" s="501">
        <f t="shared" si="17"/>
        <v>0</v>
      </c>
      <c r="X41" s="501">
        <f t="shared" si="17"/>
        <v>0</v>
      </c>
      <c r="Y41" s="501">
        <f t="shared" si="17"/>
        <v>0</v>
      </c>
      <c r="Z41" s="501">
        <f t="shared" si="17"/>
        <v>0</v>
      </c>
      <c r="AA41" s="1113" t="s">
        <v>12</v>
      </c>
      <c r="AB41" s="1113"/>
      <c r="AC41" s="474">
        <f t="shared" si="6"/>
        <v>0</v>
      </c>
      <c r="AD41" s="439">
        <f t="shared" si="9"/>
        <v>0</v>
      </c>
      <c r="AE41" s="439">
        <f t="shared" si="10"/>
        <v>0</v>
      </c>
      <c r="AF41" s="439">
        <f t="shared" si="11"/>
        <v>0</v>
      </c>
      <c r="AG41" s="439">
        <f t="shared" si="7"/>
        <v>0</v>
      </c>
      <c r="AH41" s="439">
        <f t="shared" si="12"/>
        <v>0</v>
      </c>
      <c r="AI41" s="439">
        <f t="shared" si="13"/>
        <v>0</v>
      </c>
      <c r="AJ41" s="502"/>
      <c r="AK41" s="1114"/>
      <c r="AL41" s="1115"/>
    </row>
    <row r="42" spans="1:39" ht="54.95" customHeight="1" thickBot="1">
      <c r="A42" s="1116" t="str">
        <f>IF($AC$36=MAX($AC$36:$AC$40),A36,IF($AC$37=MAX($AC$36:$AC$40),A37,IF($AC$38=MAX($AC$36:$AC$40),A38,IF($AC$39=MAX($AC$36:$AC$40),A39,A40))))</f>
        <v>de 6:30 à 7:30</v>
      </c>
      <c r="B42" s="1117"/>
      <c r="C42" s="440">
        <f>IF($AC$36=MAX($AC$36:$AC$40),C36,IF($AC$37=MAX($AC$36:$AC$40),C37,IF($AC$38=MAX($AC$36:$AC$40),C38,IF($AC$39=MAX($AC$36:$AC$40),C39,C40))))</f>
        <v>0</v>
      </c>
      <c r="D42" s="441">
        <f t="shared" ref="D42:Z42" si="18">IF($AC$36=MAX($AC$36:$AC$40),D36,IF($AC$37=MAX($AC$36:$AC$40),D37,IF($AC$38=MAX($AC$36:$AC$40),D38,IF($AC$39=MAX($AC$36:$AC$40),D39,D40))))</f>
        <v>0</v>
      </c>
      <c r="E42" s="442">
        <f t="shared" si="18"/>
        <v>0</v>
      </c>
      <c r="F42" s="443">
        <f t="shared" si="18"/>
        <v>0</v>
      </c>
      <c r="G42" s="444">
        <f t="shared" si="18"/>
        <v>0</v>
      </c>
      <c r="H42" s="441">
        <f t="shared" si="18"/>
        <v>0</v>
      </c>
      <c r="I42" s="442">
        <f t="shared" si="18"/>
        <v>0</v>
      </c>
      <c r="J42" s="443">
        <f t="shared" si="18"/>
        <v>0</v>
      </c>
      <c r="K42" s="444">
        <f t="shared" si="18"/>
        <v>0</v>
      </c>
      <c r="L42" s="441">
        <f t="shared" si="18"/>
        <v>0</v>
      </c>
      <c r="M42" s="442">
        <f t="shared" si="18"/>
        <v>0</v>
      </c>
      <c r="N42" s="443">
        <f t="shared" si="18"/>
        <v>0</v>
      </c>
      <c r="O42" s="444">
        <f t="shared" si="18"/>
        <v>0</v>
      </c>
      <c r="P42" s="441">
        <f t="shared" si="18"/>
        <v>0</v>
      </c>
      <c r="Q42" s="442">
        <f t="shared" si="18"/>
        <v>0</v>
      </c>
      <c r="R42" s="445">
        <f t="shared" si="18"/>
        <v>0</v>
      </c>
      <c r="S42" s="503">
        <f t="shared" si="18"/>
        <v>0</v>
      </c>
      <c r="T42" s="504">
        <f t="shared" si="18"/>
        <v>0</v>
      </c>
      <c r="U42" s="504">
        <f t="shared" si="18"/>
        <v>0</v>
      </c>
      <c r="V42" s="504">
        <f t="shared" si="18"/>
        <v>0</v>
      </c>
      <c r="W42" s="504">
        <f t="shared" si="18"/>
        <v>0</v>
      </c>
      <c r="X42" s="504">
        <f t="shared" si="18"/>
        <v>0</v>
      </c>
      <c r="Y42" s="504">
        <f t="shared" si="18"/>
        <v>0</v>
      </c>
      <c r="Z42" s="504">
        <f t="shared" si="18"/>
        <v>0</v>
      </c>
      <c r="AA42" s="1118" t="str">
        <f>A42</f>
        <v>de 6:30 à 7:30</v>
      </c>
      <c r="AB42" s="1118"/>
      <c r="AC42" s="505">
        <f t="shared" si="6"/>
        <v>0</v>
      </c>
      <c r="AD42" s="446">
        <f t="shared" si="9"/>
        <v>0</v>
      </c>
      <c r="AE42" s="446">
        <f t="shared" si="10"/>
        <v>0</v>
      </c>
      <c r="AF42" s="446">
        <f t="shared" si="11"/>
        <v>0</v>
      </c>
      <c r="AG42" s="446">
        <f t="shared" si="7"/>
        <v>0</v>
      </c>
      <c r="AH42" s="446">
        <f t="shared" si="12"/>
        <v>0</v>
      </c>
      <c r="AI42" s="446">
        <f t="shared" si="13"/>
        <v>0</v>
      </c>
      <c r="AJ42" s="506"/>
      <c r="AK42" s="1119"/>
      <c r="AL42" s="1120"/>
    </row>
    <row r="43" spans="1:39" ht="12.75" customHeight="1" thickTop="1" thickBot="1">
      <c r="A43" s="447"/>
      <c r="B43" s="448"/>
      <c r="C43" s="448"/>
      <c r="D43" s="448"/>
      <c r="E43" s="448"/>
      <c r="F43" s="448"/>
      <c r="G43" s="448"/>
      <c r="H43" s="448"/>
      <c r="I43" s="448"/>
      <c r="J43" s="448"/>
      <c r="K43" s="448"/>
      <c r="L43" s="448"/>
      <c r="M43" s="448"/>
      <c r="N43" s="448"/>
      <c r="O43" s="448"/>
      <c r="P43" s="448"/>
      <c r="Q43" s="448"/>
      <c r="R43" s="448"/>
      <c r="S43" s="447"/>
      <c r="T43" s="448"/>
      <c r="U43" s="448"/>
      <c r="V43" s="448"/>
      <c r="W43" s="448"/>
      <c r="X43" s="448"/>
      <c r="Y43" s="448"/>
      <c r="Z43" s="448"/>
      <c r="AA43" s="449"/>
      <c r="AB43" s="449"/>
      <c r="AC43" s="448"/>
      <c r="AD43" s="448"/>
      <c r="AE43" s="447"/>
      <c r="AF43" s="448"/>
      <c r="AG43" s="448"/>
      <c r="AH43" s="448"/>
      <c r="AI43" s="448"/>
      <c r="AJ43" s="449"/>
      <c r="AK43" s="449"/>
      <c r="AL43" s="450"/>
      <c r="AM43" s="450"/>
    </row>
    <row r="44" spans="1:39" ht="32.25" customHeight="1" thickTop="1">
      <c r="A44" s="451"/>
      <c r="B44" s="449"/>
      <c r="C44" s="452"/>
      <c r="D44" s="452"/>
      <c r="E44" s="452"/>
      <c r="F44" s="452"/>
      <c r="G44" s="452"/>
      <c r="H44" s="452"/>
      <c r="I44" s="452"/>
      <c r="J44" s="452"/>
      <c r="K44" s="452"/>
      <c r="L44" s="452"/>
      <c r="M44" s="452"/>
      <c r="N44" s="452"/>
      <c r="O44" s="452"/>
      <c r="P44" s="452"/>
      <c r="Q44" s="452"/>
      <c r="R44" s="452"/>
      <c r="S44" s="452"/>
      <c r="T44" s="452"/>
      <c r="U44" s="452"/>
      <c r="V44" s="452"/>
      <c r="W44" s="452"/>
      <c r="X44" s="452"/>
      <c r="Y44" s="452"/>
      <c r="Z44" s="452"/>
      <c r="AA44" s="451"/>
      <c r="AB44" s="449"/>
      <c r="AC44" s="453"/>
      <c r="AD44" s="1059" t="s">
        <v>108</v>
      </c>
      <c r="AE44" s="1059" t="s">
        <v>109</v>
      </c>
      <c r="AF44" s="1059" t="s">
        <v>110</v>
      </c>
      <c r="AG44" s="1059" t="s">
        <v>115</v>
      </c>
      <c r="AH44" s="1059" t="s">
        <v>78</v>
      </c>
      <c r="AI44" s="1059" t="s">
        <v>20</v>
      </c>
      <c r="AJ44" s="454"/>
      <c r="AK44" s="455"/>
      <c r="AL44" s="455"/>
      <c r="AM44" s="450"/>
    </row>
    <row r="45" spans="1:39" ht="22.7" customHeight="1">
      <c r="A45" s="451"/>
      <c r="B45" s="449"/>
      <c r="C45" s="456"/>
      <c r="D45" s="456"/>
      <c r="E45" s="456"/>
      <c r="F45" s="456"/>
      <c r="G45" s="456"/>
      <c r="H45" s="456"/>
      <c r="I45" s="456"/>
      <c r="J45" s="456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456"/>
      <c r="Z45" s="456"/>
      <c r="AA45" s="451"/>
      <c r="AB45" s="449"/>
      <c r="AC45" s="453"/>
      <c r="AD45" s="1060"/>
      <c r="AE45" s="1060"/>
      <c r="AF45" s="1060"/>
      <c r="AG45" s="1060"/>
      <c r="AH45" s="1060"/>
      <c r="AI45" s="1060"/>
      <c r="AJ45" s="454"/>
      <c r="AK45" s="455"/>
      <c r="AL45" s="455"/>
      <c r="AM45" s="450"/>
    </row>
    <row r="46" spans="1:39" ht="18.600000000000001" customHeight="1">
      <c r="A46" s="451"/>
      <c r="B46" s="449"/>
      <c r="C46" s="457"/>
      <c r="D46" s="457"/>
      <c r="E46" s="457"/>
      <c r="F46" s="457"/>
      <c r="G46" s="457"/>
      <c r="H46" s="457"/>
      <c r="I46" s="457"/>
      <c r="J46" s="457"/>
      <c r="K46" s="457"/>
      <c r="L46" s="457"/>
      <c r="M46" s="457"/>
      <c r="N46" s="457"/>
      <c r="O46" s="457"/>
      <c r="P46" s="457"/>
      <c r="Q46" s="457"/>
      <c r="R46" s="457"/>
      <c r="S46" s="457"/>
      <c r="T46" s="457"/>
      <c r="U46" s="457"/>
      <c r="V46" s="457"/>
      <c r="W46" s="457"/>
      <c r="X46" s="457"/>
      <c r="Y46" s="457"/>
      <c r="Z46" s="457"/>
      <c r="AA46" s="451"/>
      <c r="AB46" s="449"/>
      <c r="AC46" s="453"/>
      <c r="AD46" s="1060"/>
      <c r="AE46" s="1060"/>
      <c r="AF46" s="1060"/>
      <c r="AG46" s="1060"/>
      <c r="AH46" s="1060"/>
      <c r="AI46" s="1060"/>
      <c r="AJ46" s="454"/>
      <c r="AK46" s="455"/>
      <c r="AL46" s="455"/>
      <c r="AM46" s="450"/>
    </row>
    <row r="47" spans="1:39" ht="20.25">
      <c r="A47" s="458"/>
      <c r="B47" s="458"/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59"/>
      <c r="T47" s="459"/>
      <c r="U47" s="459"/>
      <c r="V47" s="459"/>
      <c r="W47" s="459"/>
      <c r="X47" s="459"/>
      <c r="Y47" s="459"/>
      <c r="Z47" s="459"/>
      <c r="AA47" s="458"/>
      <c r="AB47" s="458"/>
      <c r="AC47" s="453"/>
      <c r="AD47" s="1061"/>
      <c r="AE47" s="1061"/>
      <c r="AF47" s="1061"/>
      <c r="AG47" s="1061"/>
      <c r="AH47" s="1061"/>
      <c r="AI47" s="1061"/>
      <c r="AJ47" s="454"/>
      <c r="AK47" s="455"/>
      <c r="AL47" s="455"/>
      <c r="AM47" s="450"/>
    </row>
    <row r="48" spans="1:39" ht="54.95" customHeight="1">
      <c r="A48" s="458"/>
      <c r="B48" s="458"/>
      <c r="C48" s="460"/>
      <c r="D48" s="460"/>
      <c r="E48" s="460"/>
      <c r="F48" s="460"/>
      <c r="G48" s="460"/>
      <c r="H48" s="460"/>
      <c r="I48" s="460"/>
      <c r="J48" s="460"/>
      <c r="K48" s="460"/>
      <c r="L48" s="460"/>
      <c r="M48" s="460"/>
      <c r="N48" s="460"/>
      <c r="O48" s="460"/>
      <c r="P48" s="460"/>
      <c r="Q48" s="460"/>
      <c r="R48" s="460"/>
      <c r="S48" s="460"/>
      <c r="T48" s="460"/>
      <c r="U48" s="460"/>
      <c r="V48" s="460"/>
      <c r="W48" s="460"/>
      <c r="X48" s="460"/>
      <c r="Y48" s="460"/>
      <c r="Z48" s="460"/>
      <c r="AA48" s="458"/>
      <c r="AB48" s="458"/>
      <c r="AC48" s="461"/>
      <c r="AD48" s="462">
        <f>(C36+E36+G36+I36+K36+M36+O36+Q36+S36+U36+W36+Y36)</f>
        <v>0</v>
      </c>
      <c r="AE48" s="462">
        <f>(E36+F36+I36+J36+M36+N36+Q36+R36+U36+V36+Y36+Z36)</f>
        <v>0</v>
      </c>
      <c r="AF48" s="462">
        <f>(E36+I36+M36+Q36+U36+Y36)</f>
        <v>0</v>
      </c>
      <c r="AG48" s="462">
        <f>SUM(G36:N36)</f>
        <v>0</v>
      </c>
      <c r="AH48" s="462">
        <f>SUM(K36:R36)</f>
        <v>0</v>
      </c>
      <c r="AI48" s="462">
        <f>SUM(C36:J36)</f>
        <v>0</v>
      </c>
      <c r="AJ48" s="463"/>
      <c r="AK48" s="464"/>
      <c r="AL48" s="464"/>
      <c r="AM48" s="450"/>
    </row>
    <row r="49" spans="1:43" ht="54.95" customHeight="1">
      <c r="A49" s="458"/>
      <c r="B49" s="458"/>
      <c r="C49" s="460"/>
      <c r="D49" s="460"/>
      <c r="E49" s="460"/>
      <c r="F49" s="460"/>
      <c r="G49" s="460"/>
      <c r="H49" s="460"/>
      <c r="I49" s="460"/>
      <c r="J49" s="460"/>
      <c r="K49" s="460"/>
      <c r="L49" s="460"/>
      <c r="M49" s="460"/>
      <c r="N49" s="460"/>
      <c r="O49" s="460"/>
      <c r="P49" s="460"/>
      <c r="Q49" s="460"/>
      <c r="R49" s="460"/>
      <c r="S49" s="460"/>
      <c r="T49" s="460"/>
      <c r="U49" s="460"/>
      <c r="V49" s="460"/>
      <c r="W49" s="460"/>
      <c r="X49" s="460"/>
      <c r="Y49" s="460"/>
      <c r="Z49" s="460"/>
      <c r="AA49" s="458"/>
      <c r="AB49" s="458"/>
      <c r="AC49" s="461"/>
      <c r="AD49" s="465">
        <f t="shared" ref="AD49:AD54" si="19">(C37+E37+G37+I37+K37+M37+O37+Q37+S37+U37+W37+Y37)</f>
        <v>0</v>
      </c>
      <c r="AE49" s="465">
        <f t="shared" ref="AE49:AE54" si="20">(E37+F37+I37+J37+M37+N37+Q37+R37+U37+V37+Y37+Z37)</f>
        <v>0</v>
      </c>
      <c r="AF49" s="465">
        <f t="shared" ref="AF49:AF54" si="21">(E37+I37+M37+Q37+U37+Y37)</f>
        <v>0</v>
      </c>
      <c r="AG49" s="465">
        <f t="shared" ref="AG49:AG54" si="22">SUM(G37:N37)</f>
        <v>0</v>
      </c>
      <c r="AH49" s="465">
        <f t="shared" ref="AH49:AH54" si="23">SUM(K37:R37)</f>
        <v>0</v>
      </c>
      <c r="AI49" s="465">
        <f t="shared" ref="AI49:AI54" si="24">SUM(C37:J37)</f>
        <v>0</v>
      </c>
      <c r="AJ49" s="463"/>
      <c r="AK49" s="464"/>
      <c r="AL49" s="464"/>
      <c r="AM49" s="450"/>
    </row>
    <row r="50" spans="1:43" ht="54.95" customHeight="1">
      <c r="A50" s="458"/>
      <c r="B50" s="458"/>
      <c r="C50" s="460"/>
      <c r="D50" s="460"/>
      <c r="E50" s="460"/>
      <c r="F50" s="460"/>
      <c r="G50" s="460"/>
      <c r="H50" s="460"/>
      <c r="I50" s="460"/>
      <c r="J50" s="460"/>
      <c r="K50" s="460"/>
      <c r="L50" s="460"/>
      <c r="M50" s="460"/>
      <c r="N50" s="460"/>
      <c r="O50" s="460"/>
      <c r="P50" s="460"/>
      <c r="Q50" s="460"/>
      <c r="R50" s="460"/>
      <c r="S50" s="460"/>
      <c r="T50" s="460"/>
      <c r="U50" s="460"/>
      <c r="V50" s="460"/>
      <c r="W50" s="460"/>
      <c r="X50" s="460"/>
      <c r="Y50" s="460"/>
      <c r="Z50" s="460"/>
      <c r="AA50" s="458"/>
      <c r="AB50" s="458"/>
      <c r="AC50" s="461"/>
      <c r="AD50" s="465">
        <f t="shared" si="19"/>
        <v>0</v>
      </c>
      <c r="AE50" s="465">
        <f t="shared" si="20"/>
        <v>0</v>
      </c>
      <c r="AF50" s="465">
        <f t="shared" si="21"/>
        <v>0</v>
      </c>
      <c r="AG50" s="465">
        <f t="shared" si="22"/>
        <v>0</v>
      </c>
      <c r="AH50" s="465">
        <f t="shared" si="23"/>
        <v>0</v>
      </c>
      <c r="AI50" s="465">
        <f t="shared" si="24"/>
        <v>0</v>
      </c>
      <c r="AJ50" s="463"/>
      <c r="AK50" s="464"/>
      <c r="AL50" s="464"/>
      <c r="AM50" s="450"/>
    </row>
    <row r="51" spans="1:43" ht="54.95" customHeight="1">
      <c r="A51" s="458"/>
      <c r="B51" s="458"/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460"/>
      <c r="S51" s="460"/>
      <c r="T51" s="460"/>
      <c r="U51" s="460"/>
      <c r="V51" s="460"/>
      <c r="W51" s="460"/>
      <c r="X51" s="460"/>
      <c r="Y51" s="460"/>
      <c r="Z51" s="460"/>
      <c r="AA51" s="458"/>
      <c r="AB51" s="458"/>
      <c r="AC51" s="461"/>
      <c r="AD51" s="465">
        <f t="shared" si="19"/>
        <v>0</v>
      </c>
      <c r="AE51" s="465">
        <f t="shared" si="20"/>
        <v>0</v>
      </c>
      <c r="AF51" s="465">
        <f t="shared" si="21"/>
        <v>0</v>
      </c>
      <c r="AG51" s="465">
        <f t="shared" si="22"/>
        <v>0</v>
      </c>
      <c r="AH51" s="465">
        <f t="shared" si="23"/>
        <v>0</v>
      </c>
      <c r="AI51" s="465">
        <f t="shared" si="24"/>
        <v>0</v>
      </c>
      <c r="AJ51" s="463"/>
      <c r="AK51" s="464"/>
      <c r="AL51" s="464"/>
      <c r="AM51" s="450"/>
    </row>
    <row r="52" spans="1:43" ht="54.95" customHeight="1">
      <c r="A52" s="458"/>
      <c r="B52" s="458"/>
      <c r="C52" s="460"/>
      <c r="D52" s="460"/>
      <c r="E52" s="460"/>
      <c r="F52" s="460"/>
      <c r="G52" s="460"/>
      <c r="H52" s="460"/>
      <c r="I52" s="460"/>
      <c r="J52" s="460"/>
      <c r="K52" s="460"/>
      <c r="L52" s="460"/>
      <c r="M52" s="460"/>
      <c r="N52" s="460"/>
      <c r="O52" s="460"/>
      <c r="P52" s="460"/>
      <c r="Q52" s="460"/>
      <c r="R52" s="460"/>
      <c r="S52" s="460"/>
      <c r="T52" s="460"/>
      <c r="U52" s="460"/>
      <c r="V52" s="460"/>
      <c r="W52" s="460"/>
      <c r="X52" s="460"/>
      <c r="Y52" s="460"/>
      <c r="Z52" s="460"/>
      <c r="AA52" s="458"/>
      <c r="AB52" s="458"/>
      <c r="AC52" s="461"/>
      <c r="AD52" s="466">
        <f t="shared" si="19"/>
        <v>0</v>
      </c>
      <c r="AE52" s="466">
        <f t="shared" si="20"/>
        <v>0</v>
      </c>
      <c r="AF52" s="466">
        <f t="shared" si="21"/>
        <v>0</v>
      </c>
      <c r="AG52" s="466">
        <f t="shared" si="22"/>
        <v>0</v>
      </c>
      <c r="AH52" s="466">
        <f t="shared" si="23"/>
        <v>0</v>
      </c>
      <c r="AI52" s="466">
        <f t="shared" si="24"/>
        <v>0</v>
      </c>
      <c r="AJ52" s="463"/>
      <c r="AK52" s="464"/>
      <c r="AL52" s="464"/>
      <c r="AM52" s="450"/>
    </row>
    <row r="53" spans="1:43" ht="54.95" customHeight="1">
      <c r="A53" s="458"/>
      <c r="B53" s="458"/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  <c r="U53" s="460"/>
      <c r="V53" s="460"/>
      <c r="W53" s="460"/>
      <c r="X53" s="460"/>
      <c r="Y53" s="460"/>
      <c r="Z53" s="460"/>
      <c r="AA53" s="458"/>
      <c r="AB53" s="458"/>
      <c r="AC53" s="461"/>
      <c r="AD53" s="467">
        <f t="shared" si="19"/>
        <v>0</v>
      </c>
      <c r="AE53" s="467">
        <f t="shared" si="20"/>
        <v>0</v>
      </c>
      <c r="AF53" s="467">
        <f t="shared" si="21"/>
        <v>0</v>
      </c>
      <c r="AG53" s="467">
        <f t="shared" si="22"/>
        <v>0</v>
      </c>
      <c r="AH53" s="467">
        <f t="shared" si="23"/>
        <v>0</v>
      </c>
      <c r="AI53" s="467">
        <f t="shared" si="24"/>
        <v>0</v>
      </c>
      <c r="AJ53" s="463"/>
      <c r="AK53" s="464"/>
      <c r="AL53" s="464"/>
      <c r="AM53" s="450"/>
    </row>
    <row r="54" spans="1:43" ht="54.95" customHeight="1" thickBot="1">
      <c r="A54" s="458"/>
      <c r="B54" s="458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60"/>
      <c r="V54" s="460"/>
      <c r="W54" s="460"/>
      <c r="X54" s="460"/>
      <c r="Y54" s="460"/>
      <c r="Z54" s="460"/>
      <c r="AA54" s="458"/>
      <c r="AB54" s="458"/>
      <c r="AC54" s="461"/>
      <c r="AD54" s="468">
        <f t="shared" si="19"/>
        <v>0</v>
      </c>
      <c r="AE54" s="468">
        <f t="shared" si="20"/>
        <v>0</v>
      </c>
      <c r="AF54" s="468">
        <f t="shared" si="21"/>
        <v>0</v>
      </c>
      <c r="AG54" s="468">
        <f t="shared" si="22"/>
        <v>0</v>
      </c>
      <c r="AH54" s="468">
        <f t="shared" si="23"/>
        <v>0</v>
      </c>
      <c r="AI54" s="468">
        <f t="shared" si="24"/>
        <v>0</v>
      </c>
      <c r="AJ54" s="463"/>
      <c r="AK54" s="464"/>
      <c r="AL54" s="464"/>
      <c r="AM54" s="450"/>
    </row>
    <row r="55" spans="1:43" ht="21" thickTop="1">
      <c r="A55" s="147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7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7"/>
      <c r="AF55" s="146"/>
      <c r="AG55" s="146"/>
      <c r="AH55" s="146"/>
      <c r="AI55" s="146"/>
      <c r="AJ55" s="146"/>
      <c r="AK55" s="146"/>
    </row>
    <row r="56" spans="1:43" ht="20.25">
      <c r="A56" s="147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7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7"/>
      <c r="AF56" s="146"/>
      <c r="AG56" s="146"/>
      <c r="AH56" s="146"/>
      <c r="AI56" s="146"/>
      <c r="AJ56" s="146"/>
      <c r="AK56" s="146"/>
    </row>
    <row r="57" spans="1:43" ht="20.25">
      <c r="A57" s="147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7"/>
      <c r="AD57" s="146"/>
      <c r="AE57" s="146"/>
      <c r="AF57" s="146"/>
      <c r="AG57" s="146"/>
      <c r="AH57" s="146"/>
      <c r="AI57" s="146"/>
      <c r="AJ57" s="146"/>
      <c r="AK57" s="146"/>
      <c r="AL57" s="147"/>
      <c r="AM57" s="146"/>
      <c r="AN57" s="146"/>
      <c r="AO57" s="146"/>
      <c r="AP57" s="146"/>
      <c r="AQ57" s="146"/>
    </row>
    <row r="58" spans="1:43" ht="20.25">
      <c r="A58" s="147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7"/>
      <c r="AD58" s="146"/>
      <c r="AE58" s="146"/>
      <c r="AF58" s="146"/>
      <c r="AG58" s="146"/>
      <c r="AH58" s="146"/>
      <c r="AI58" s="146"/>
      <c r="AJ58" s="146"/>
      <c r="AK58" s="146"/>
      <c r="AL58" s="147"/>
      <c r="AM58" s="146"/>
      <c r="AN58" s="146"/>
      <c r="AO58" s="146"/>
      <c r="AP58" s="146"/>
      <c r="AQ58" s="146"/>
    </row>
    <row r="59" spans="1:43" ht="20.25">
      <c r="A59" s="147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7"/>
      <c r="AD59" s="146"/>
      <c r="AE59" s="146"/>
      <c r="AF59" s="146"/>
      <c r="AG59" s="146"/>
      <c r="AH59" s="146"/>
      <c r="AI59" s="146"/>
      <c r="AJ59" s="146"/>
      <c r="AK59" s="146"/>
      <c r="AL59" s="147"/>
      <c r="AM59" s="146"/>
      <c r="AN59" s="146"/>
      <c r="AO59" s="146"/>
      <c r="AP59" s="146"/>
      <c r="AQ59" s="146"/>
    </row>
    <row r="60" spans="1:43" ht="20.25">
      <c r="A60" s="147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7"/>
      <c r="AD60" s="146"/>
      <c r="AE60" s="146"/>
      <c r="AF60" s="146"/>
      <c r="AG60" s="146"/>
      <c r="AH60" s="146"/>
      <c r="AI60" s="146"/>
      <c r="AJ60" s="146"/>
      <c r="AK60" s="146"/>
      <c r="AL60" s="147"/>
      <c r="AM60" s="146"/>
      <c r="AN60" s="146"/>
      <c r="AO60" s="146"/>
      <c r="AP60" s="146"/>
      <c r="AQ60" s="146"/>
    </row>
    <row r="61" spans="1:43" ht="20.25">
      <c r="A61" s="147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7"/>
      <c r="AD61" s="146"/>
      <c r="AE61" s="146"/>
      <c r="AF61" s="146"/>
      <c r="AG61" s="146"/>
      <c r="AH61" s="146"/>
      <c r="AI61" s="146"/>
      <c r="AJ61" s="146"/>
      <c r="AK61" s="146"/>
      <c r="AL61" s="147"/>
      <c r="AM61" s="146"/>
      <c r="AN61" s="146"/>
      <c r="AO61" s="146"/>
      <c r="AP61" s="146"/>
      <c r="AQ61" s="146"/>
    </row>
    <row r="62" spans="1:43" ht="20.25">
      <c r="A62" s="147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7"/>
      <c r="AD62" s="146"/>
      <c r="AE62" s="146"/>
      <c r="AF62" s="146"/>
      <c r="AG62" s="146"/>
      <c r="AH62" s="146"/>
      <c r="AI62" s="146"/>
      <c r="AJ62" s="146"/>
      <c r="AK62" s="146"/>
      <c r="AL62" s="147"/>
      <c r="AM62" s="146"/>
      <c r="AN62" s="146"/>
      <c r="AO62" s="146"/>
      <c r="AP62" s="146"/>
      <c r="AQ62" s="146"/>
    </row>
    <row r="63" spans="1:43" ht="20.25">
      <c r="F63" s="146"/>
      <c r="G63" s="146"/>
      <c r="H63" s="146"/>
      <c r="I63" s="146"/>
      <c r="J63" s="146"/>
      <c r="K63" s="146"/>
      <c r="L63" s="146"/>
      <c r="M63" s="146"/>
      <c r="S63" s="146"/>
      <c r="T63" s="146"/>
      <c r="U63" s="146"/>
    </row>
    <row r="64" spans="1:43" ht="20.25">
      <c r="F64" s="146"/>
      <c r="G64" s="146"/>
      <c r="H64" s="146"/>
      <c r="I64" s="146"/>
      <c r="J64" s="146"/>
      <c r="K64" s="146"/>
      <c r="L64" s="146"/>
      <c r="M64" s="146"/>
      <c r="S64" s="146"/>
      <c r="T64" s="146"/>
      <c r="U64" s="146"/>
    </row>
  </sheetData>
  <mergeCells count="79">
    <mergeCell ref="A41:B41"/>
    <mergeCell ref="AA41:AB41"/>
    <mergeCell ref="AK41:AL41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F32:AF35"/>
    <mergeCell ref="AG32:AG35"/>
    <mergeCell ref="AH32:AH35"/>
    <mergeCell ref="AI32:AI35"/>
    <mergeCell ref="AJ32:AL35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AI44:AI47"/>
    <mergeCell ref="AD44:AD47"/>
    <mergeCell ref="AE44:AE47"/>
    <mergeCell ref="AF44:AF47"/>
    <mergeCell ref="AG44:AG47"/>
    <mergeCell ref="AH44:AH47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50" zoomScaleNormal="40" zoomScaleSheetLayoutView="50" workbookViewId="0">
      <selection activeCell="H13" sqref="H13"/>
    </sheetView>
  </sheetViews>
  <sheetFormatPr baseColWidth="10" defaultRowHeight="14.25"/>
  <cols>
    <col min="1" max="1" width="9.125" style="291" customWidth="1"/>
    <col min="2" max="2" width="13.75" style="291" customWidth="1"/>
    <col min="3" max="26" width="10.875" style="291" customWidth="1"/>
    <col min="27" max="27" width="9.125" style="291" customWidth="1"/>
    <col min="28" max="28" width="13.75" style="291" customWidth="1"/>
    <col min="29" max="36" width="21.125" style="291" customWidth="1"/>
    <col min="37" max="37" width="82.625" style="291" customWidth="1"/>
    <col min="38" max="38" width="21.125" style="291" customWidth="1"/>
    <col min="39" max="43" width="10.625" style="291" customWidth="1"/>
    <col min="44" max="16384" width="11" style="291"/>
  </cols>
  <sheetData>
    <row r="1" spans="1:36" ht="52.5" customHeight="1" thickBot="1">
      <c r="A1" s="283" t="s">
        <v>89</v>
      </c>
      <c r="B1" s="127" t="s">
        <v>70</v>
      </c>
      <c r="C1" s="285"/>
      <c r="D1" s="285"/>
      <c r="E1" s="285"/>
      <c r="F1" s="286"/>
      <c r="G1" s="286"/>
      <c r="H1" s="285"/>
      <c r="I1" s="285"/>
      <c r="J1" s="286"/>
      <c r="K1" s="286"/>
      <c r="L1" s="287"/>
      <c r="M1" s="240" t="s">
        <v>30</v>
      </c>
      <c r="N1" s="338" t="s">
        <v>130</v>
      </c>
      <c r="O1" s="285"/>
      <c r="P1" s="285"/>
      <c r="Q1" s="285"/>
      <c r="R1" s="285"/>
      <c r="S1" s="285"/>
      <c r="T1" s="285"/>
      <c r="U1" s="285"/>
      <c r="V1" s="288"/>
      <c r="W1" s="289"/>
      <c r="X1" s="289"/>
      <c r="Y1" s="289"/>
      <c r="Z1" s="290"/>
    </row>
    <row r="2" spans="1:36" ht="52.5" customHeight="1" thickBot="1">
      <c r="A2" s="227" t="s">
        <v>2</v>
      </c>
      <c r="B2" s="228"/>
      <c r="C2" s="228"/>
      <c r="D2" s="228"/>
      <c r="E2" s="228"/>
      <c r="F2" s="228"/>
      <c r="G2" s="127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8"/>
      <c r="W2" s="228"/>
      <c r="X2" s="228"/>
      <c r="Y2" s="228"/>
      <c r="Z2" s="228"/>
    </row>
    <row r="3" spans="1:36" ht="52.5" customHeight="1" thickBot="1">
      <c r="A3" s="227" t="s">
        <v>3</v>
      </c>
      <c r="B3" s="228"/>
      <c r="C3" s="127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8"/>
      <c r="W3" s="228"/>
      <c r="X3" s="228"/>
      <c r="Y3" s="228"/>
      <c r="Z3" s="245"/>
    </row>
    <row r="4" spans="1:36" ht="52.5" customHeight="1" thickBot="1">
      <c r="A4" s="227" t="s">
        <v>27</v>
      </c>
      <c r="B4" s="228"/>
      <c r="C4" s="127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8"/>
      <c r="W4" s="228"/>
      <c r="X4" s="228"/>
      <c r="Y4" s="228"/>
      <c r="Z4" s="245"/>
    </row>
    <row r="5" spans="1:36" ht="25.5" customHeight="1">
      <c r="A5" s="227" t="s">
        <v>71</v>
      </c>
      <c r="B5" s="228"/>
      <c r="C5" s="228" t="s">
        <v>72</v>
      </c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45"/>
      <c r="S5" s="228"/>
      <c r="T5" s="228"/>
      <c r="U5" s="228"/>
      <c r="V5" s="228"/>
      <c r="W5" s="228"/>
      <c r="X5" s="228"/>
      <c r="Y5" s="228"/>
      <c r="Z5" s="245"/>
    </row>
    <row r="6" spans="1:36" ht="25.5" customHeight="1">
      <c r="A6" s="246"/>
      <c r="B6" s="228"/>
      <c r="C6" s="228" t="s">
        <v>91</v>
      </c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45"/>
      <c r="S6" s="228"/>
      <c r="T6" s="228"/>
      <c r="U6" s="228"/>
      <c r="V6" s="228"/>
      <c r="W6" s="228"/>
      <c r="X6" s="228"/>
      <c r="Y6" s="228"/>
      <c r="Z6" s="245"/>
    </row>
    <row r="7" spans="1:36" ht="25.5" customHeight="1" thickBot="1">
      <c r="A7" s="246"/>
      <c r="B7" s="228"/>
      <c r="C7" s="228" t="s">
        <v>73</v>
      </c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45"/>
      <c r="S7" s="228"/>
      <c r="T7" s="228"/>
      <c r="U7" s="228"/>
      <c r="V7" s="228"/>
      <c r="W7" s="228"/>
      <c r="X7" s="228"/>
      <c r="Y7" s="228"/>
      <c r="Z7" s="245"/>
    </row>
    <row r="8" spans="1:36" ht="32.25" customHeight="1" thickTop="1">
      <c r="A8" s="227"/>
      <c r="B8" s="228"/>
      <c r="C8" s="1124"/>
      <c r="D8" s="1125"/>
      <c r="E8" s="1125"/>
      <c r="F8" s="1125"/>
      <c r="G8" s="1125"/>
      <c r="H8" s="1125"/>
      <c r="I8" s="1125"/>
      <c r="J8" s="1125"/>
      <c r="K8" s="1125"/>
      <c r="L8" s="1125"/>
      <c r="M8" s="1125"/>
      <c r="N8" s="1125"/>
      <c r="O8" s="1125"/>
      <c r="P8" s="1125"/>
      <c r="Q8" s="1125"/>
      <c r="R8" s="1125"/>
      <c r="S8" s="1125"/>
      <c r="T8" s="1125"/>
      <c r="U8" s="1125"/>
      <c r="V8" s="1125"/>
      <c r="W8" s="1125"/>
      <c r="X8" s="1125"/>
      <c r="Y8" s="1125"/>
      <c r="Z8" s="1126"/>
      <c r="AA8" s="292"/>
      <c r="AB8" s="292"/>
      <c r="AD8" s="293"/>
      <c r="AE8" s="293"/>
      <c r="AF8" s="293"/>
      <c r="AG8" s="293"/>
      <c r="AH8" s="293"/>
      <c r="AI8" s="293"/>
      <c r="AJ8" s="293"/>
    </row>
    <row r="9" spans="1:36" ht="22.7" customHeight="1">
      <c r="A9" s="227"/>
      <c r="B9" s="228"/>
      <c r="C9" s="878" t="s">
        <v>64</v>
      </c>
      <c r="D9" s="879"/>
      <c r="E9" s="879"/>
      <c r="F9" s="879"/>
      <c r="G9" s="878" t="s">
        <v>65</v>
      </c>
      <c r="H9" s="879"/>
      <c r="I9" s="879"/>
      <c r="J9" s="879"/>
      <c r="K9" s="878" t="s">
        <v>66</v>
      </c>
      <c r="L9" s="879"/>
      <c r="M9" s="879"/>
      <c r="N9" s="879"/>
      <c r="O9" s="878" t="s">
        <v>67</v>
      </c>
      <c r="P9" s="879"/>
      <c r="Q9" s="879"/>
      <c r="R9" s="879"/>
      <c r="S9" s="878" t="s">
        <v>68</v>
      </c>
      <c r="T9" s="879"/>
      <c r="U9" s="879"/>
      <c r="V9" s="879"/>
      <c r="W9" s="878" t="s">
        <v>69</v>
      </c>
      <c r="X9" s="879"/>
      <c r="Y9" s="879"/>
      <c r="Z9" s="880"/>
      <c r="AA9" s="292"/>
      <c r="AB9" s="292"/>
    </row>
    <row r="10" spans="1:36" ht="18.600000000000001" customHeight="1" thickBot="1">
      <c r="A10" s="227"/>
      <c r="B10" s="228"/>
      <c r="C10" s="1127" t="s">
        <v>4</v>
      </c>
      <c r="D10" s="1128"/>
      <c r="E10" s="923" t="s">
        <v>5</v>
      </c>
      <c r="F10" s="924"/>
      <c r="G10" s="1129" t="s">
        <v>4</v>
      </c>
      <c r="H10" s="1128"/>
      <c r="I10" s="923" t="s">
        <v>5</v>
      </c>
      <c r="J10" s="924"/>
      <c r="K10" s="1129" t="s">
        <v>4</v>
      </c>
      <c r="L10" s="1128"/>
      <c r="M10" s="923" t="s">
        <v>5</v>
      </c>
      <c r="N10" s="924"/>
      <c r="O10" s="1129" t="s">
        <v>4</v>
      </c>
      <c r="P10" s="1128"/>
      <c r="Q10" s="923" t="s">
        <v>5</v>
      </c>
      <c r="R10" s="930"/>
      <c r="S10" s="1129" t="s">
        <v>4</v>
      </c>
      <c r="T10" s="1128"/>
      <c r="U10" s="923" t="s">
        <v>5</v>
      </c>
      <c r="V10" s="924"/>
      <c r="W10" s="1129" t="s">
        <v>4</v>
      </c>
      <c r="X10" s="1128"/>
      <c r="Y10" s="923" t="s">
        <v>5</v>
      </c>
      <c r="Z10" s="930"/>
      <c r="AA10" s="292"/>
      <c r="AB10" s="292"/>
    </row>
    <row r="11" spans="1:36" ht="21" thickTop="1">
      <c r="A11" s="294" t="s">
        <v>6</v>
      </c>
      <c r="B11" s="295" t="s">
        <v>7</v>
      </c>
      <c r="C11" s="247" t="s">
        <v>8</v>
      </c>
      <c r="D11" s="248" t="s">
        <v>9</v>
      </c>
      <c r="E11" s="249" t="s">
        <v>8</v>
      </c>
      <c r="F11" s="250" t="s">
        <v>9</v>
      </c>
      <c r="G11" s="251" t="s">
        <v>8</v>
      </c>
      <c r="H11" s="248" t="s">
        <v>9</v>
      </c>
      <c r="I11" s="249" t="s">
        <v>8</v>
      </c>
      <c r="J11" s="250" t="s">
        <v>9</v>
      </c>
      <c r="K11" s="251" t="s">
        <v>8</v>
      </c>
      <c r="L11" s="248" t="s">
        <v>9</v>
      </c>
      <c r="M11" s="249" t="s">
        <v>8</v>
      </c>
      <c r="N11" s="250" t="s">
        <v>9</v>
      </c>
      <c r="O11" s="251" t="s">
        <v>8</v>
      </c>
      <c r="P11" s="248" t="s">
        <v>9</v>
      </c>
      <c r="Q11" s="249" t="s">
        <v>8</v>
      </c>
      <c r="R11" s="252" t="s">
        <v>9</v>
      </c>
      <c r="S11" s="251" t="s">
        <v>8</v>
      </c>
      <c r="T11" s="248" t="s">
        <v>9</v>
      </c>
      <c r="U11" s="249" t="s">
        <v>8</v>
      </c>
      <c r="V11" s="250" t="s">
        <v>9</v>
      </c>
      <c r="W11" s="251" t="s">
        <v>8</v>
      </c>
      <c r="X11" s="248" t="s">
        <v>9</v>
      </c>
      <c r="Y11" s="249" t="s">
        <v>8</v>
      </c>
      <c r="Z11" s="252" t="s">
        <v>9</v>
      </c>
      <c r="AA11" s="292"/>
      <c r="AB11" s="292"/>
      <c r="AC11" s="296"/>
    </row>
    <row r="12" spans="1:36" ht="54.95" customHeight="1">
      <c r="A12" s="297">
        <v>6</v>
      </c>
      <c r="B12" s="298" t="s">
        <v>25</v>
      </c>
      <c r="C12" s="132"/>
      <c r="D12" s="133"/>
      <c r="E12" s="134"/>
      <c r="F12" s="135"/>
      <c r="G12" s="136"/>
      <c r="H12" s="133"/>
      <c r="I12" s="134"/>
      <c r="J12" s="135"/>
      <c r="K12" s="136"/>
      <c r="L12" s="133"/>
      <c r="M12" s="134"/>
      <c r="N12" s="135"/>
      <c r="O12" s="136"/>
      <c r="P12" s="133"/>
      <c r="Q12" s="134"/>
      <c r="R12" s="137"/>
      <c r="S12" s="136"/>
      <c r="T12" s="133"/>
      <c r="U12" s="134"/>
      <c r="V12" s="135"/>
      <c r="W12" s="136"/>
      <c r="X12" s="133"/>
      <c r="Y12" s="134"/>
      <c r="Z12" s="137"/>
      <c r="AA12" s="292"/>
      <c r="AB12" s="292"/>
      <c r="AC12" s="299"/>
      <c r="AD12" s="299"/>
      <c r="AE12" s="299"/>
      <c r="AF12" s="299"/>
      <c r="AG12" s="299"/>
      <c r="AH12" s="299"/>
      <c r="AI12" s="299"/>
      <c r="AJ12" s="299"/>
    </row>
    <row r="13" spans="1:36" ht="54.95" customHeight="1">
      <c r="A13" s="297"/>
      <c r="B13" s="298" t="s">
        <v>26</v>
      </c>
      <c r="C13" s="132"/>
      <c r="D13" s="133"/>
      <c r="E13" s="134"/>
      <c r="F13" s="135"/>
      <c r="G13" s="136"/>
      <c r="H13" s="133"/>
      <c r="I13" s="134"/>
      <c r="J13" s="135"/>
      <c r="K13" s="136"/>
      <c r="L13" s="133"/>
      <c r="M13" s="134"/>
      <c r="N13" s="135"/>
      <c r="O13" s="136"/>
      <c r="P13" s="133"/>
      <c r="Q13" s="134"/>
      <c r="R13" s="137"/>
      <c r="S13" s="136"/>
      <c r="T13" s="133"/>
      <c r="U13" s="134"/>
      <c r="V13" s="135"/>
      <c r="W13" s="136"/>
      <c r="X13" s="133"/>
      <c r="Y13" s="134"/>
      <c r="Z13" s="137"/>
      <c r="AA13" s="292"/>
      <c r="AB13" s="292"/>
      <c r="AC13" s="299"/>
      <c r="AD13" s="299"/>
      <c r="AE13" s="299"/>
      <c r="AF13" s="299"/>
      <c r="AG13" s="299"/>
      <c r="AH13" s="299"/>
      <c r="AI13" s="299"/>
      <c r="AJ13" s="299"/>
    </row>
    <row r="14" spans="1:36" ht="54.95" customHeight="1">
      <c r="A14" s="297">
        <v>7</v>
      </c>
      <c r="B14" s="298" t="s">
        <v>23</v>
      </c>
      <c r="C14" s="132"/>
      <c r="D14" s="133"/>
      <c r="E14" s="134"/>
      <c r="F14" s="135"/>
      <c r="G14" s="136"/>
      <c r="H14" s="133"/>
      <c r="I14" s="134"/>
      <c r="J14" s="135"/>
      <c r="K14" s="136"/>
      <c r="L14" s="133"/>
      <c r="M14" s="134"/>
      <c r="N14" s="135"/>
      <c r="O14" s="136"/>
      <c r="P14" s="133"/>
      <c r="Q14" s="134"/>
      <c r="R14" s="137"/>
      <c r="S14" s="136"/>
      <c r="T14" s="133"/>
      <c r="U14" s="134"/>
      <c r="V14" s="135"/>
      <c r="W14" s="136"/>
      <c r="X14" s="133"/>
      <c r="Y14" s="134"/>
      <c r="Z14" s="137"/>
      <c r="AA14" s="292"/>
      <c r="AB14" s="292"/>
      <c r="AC14" s="299"/>
      <c r="AD14" s="299"/>
      <c r="AE14" s="299"/>
      <c r="AF14" s="299"/>
      <c r="AG14" s="299"/>
      <c r="AH14" s="299"/>
      <c r="AI14" s="299"/>
      <c r="AJ14" s="299"/>
    </row>
    <row r="15" spans="1:36" ht="54.95" customHeight="1">
      <c r="A15" s="297"/>
      <c r="B15" s="298" t="s">
        <v>24</v>
      </c>
      <c r="C15" s="132"/>
      <c r="D15" s="133"/>
      <c r="E15" s="134"/>
      <c r="F15" s="135"/>
      <c r="G15" s="136"/>
      <c r="H15" s="133"/>
      <c r="I15" s="134"/>
      <c r="J15" s="135"/>
      <c r="K15" s="136"/>
      <c r="L15" s="133"/>
      <c r="M15" s="134"/>
      <c r="N15" s="135"/>
      <c r="O15" s="136"/>
      <c r="P15" s="133"/>
      <c r="Q15" s="134"/>
      <c r="R15" s="137"/>
      <c r="S15" s="136"/>
      <c r="T15" s="133"/>
      <c r="U15" s="134"/>
      <c r="V15" s="135"/>
      <c r="W15" s="136"/>
      <c r="X15" s="133"/>
      <c r="Y15" s="134"/>
      <c r="Z15" s="137"/>
      <c r="AA15" s="292"/>
      <c r="AB15" s="292"/>
      <c r="AC15" s="299"/>
      <c r="AD15" s="299"/>
      <c r="AE15" s="299"/>
      <c r="AF15" s="299"/>
      <c r="AG15" s="299"/>
      <c r="AH15" s="299"/>
      <c r="AI15" s="299"/>
      <c r="AJ15" s="299"/>
    </row>
    <row r="16" spans="1:36" ht="54.95" hidden="1" customHeight="1">
      <c r="A16" s="297"/>
      <c r="B16" s="298" t="s">
        <v>25</v>
      </c>
      <c r="C16" s="132"/>
      <c r="D16" s="133"/>
      <c r="E16" s="134"/>
      <c r="F16" s="135"/>
      <c r="G16" s="136"/>
      <c r="H16" s="133"/>
      <c r="I16" s="134"/>
      <c r="J16" s="135"/>
      <c r="K16" s="136"/>
      <c r="L16" s="133"/>
      <c r="M16" s="134"/>
      <c r="N16" s="135"/>
      <c r="O16" s="136"/>
      <c r="P16" s="133"/>
      <c r="Q16" s="134"/>
      <c r="R16" s="137"/>
      <c r="S16" s="136"/>
      <c r="T16" s="133"/>
      <c r="U16" s="134"/>
      <c r="V16" s="135"/>
      <c r="W16" s="136"/>
      <c r="X16" s="133"/>
      <c r="Y16" s="134"/>
      <c r="Z16" s="137"/>
      <c r="AA16" s="292"/>
      <c r="AB16" s="292"/>
      <c r="AC16" s="299"/>
      <c r="AD16" s="299"/>
      <c r="AE16" s="299"/>
      <c r="AF16" s="299"/>
      <c r="AG16" s="299"/>
      <c r="AH16" s="299"/>
      <c r="AI16" s="299"/>
      <c r="AJ16" s="299"/>
    </row>
    <row r="17" spans="1:38" ht="54.95" customHeight="1">
      <c r="A17" s="297"/>
      <c r="B17" s="298" t="s">
        <v>26</v>
      </c>
      <c r="C17" s="132"/>
      <c r="D17" s="133"/>
      <c r="E17" s="134"/>
      <c r="F17" s="135"/>
      <c r="G17" s="136"/>
      <c r="H17" s="133"/>
      <c r="I17" s="134"/>
      <c r="J17" s="135"/>
      <c r="K17" s="136"/>
      <c r="L17" s="133"/>
      <c r="M17" s="134"/>
      <c r="N17" s="135"/>
      <c r="O17" s="136"/>
      <c r="P17" s="133"/>
      <c r="Q17" s="134"/>
      <c r="R17" s="137"/>
      <c r="S17" s="136"/>
      <c r="T17" s="133"/>
      <c r="U17" s="134"/>
      <c r="V17" s="135"/>
      <c r="W17" s="136"/>
      <c r="X17" s="133"/>
      <c r="Y17" s="134"/>
      <c r="Z17" s="137"/>
      <c r="AA17" s="292"/>
      <c r="AB17" s="292"/>
      <c r="AC17" s="299"/>
      <c r="AD17" s="299"/>
      <c r="AE17" s="299"/>
      <c r="AF17" s="299"/>
      <c r="AG17" s="299"/>
      <c r="AH17" s="299"/>
      <c r="AI17" s="299"/>
      <c r="AJ17" s="299"/>
    </row>
    <row r="18" spans="1:38" ht="54.95" customHeight="1">
      <c r="A18" s="297">
        <v>8</v>
      </c>
      <c r="B18" s="298" t="s">
        <v>23</v>
      </c>
      <c r="C18" s="132"/>
      <c r="D18" s="133"/>
      <c r="E18" s="134"/>
      <c r="F18" s="135"/>
      <c r="G18" s="136"/>
      <c r="H18" s="133"/>
      <c r="I18" s="134"/>
      <c r="J18" s="135"/>
      <c r="K18" s="136"/>
      <c r="L18" s="133"/>
      <c r="M18" s="134"/>
      <c r="N18" s="135"/>
      <c r="O18" s="136"/>
      <c r="P18" s="133"/>
      <c r="Q18" s="134"/>
      <c r="R18" s="137"/>
      <c r="S18" s="136"/>
      <c r="T18" s="133"/>
      <c r="U18" s="134"/>
      <c r="V18" s="135"/>
      <c r="W18" s="136"/>
      <c r="X18" s="133"/>
      <c r="Y18" s="134"/>
      <c r="Z18" s="137"/>
      <c r="AA18" s="292"/>
      <c r="AB18" s="292"/>
      <c r="AC18" s="299"/>
      <c r="AD18" s="299"/>
      <c r="AE18" s="299"/>
      <c r="AF18" s="299"/>
      <c r="AG18" s="299"/>
      <c r="AH18" s="299"/>
      <c r="AI18" s="299"/>
      <c r="AJ18" s="299"/>
    </row>
    <row r="19" spans="1:38" ht="54.95" customHeight="1">
      <c r="A19" s="297"/>
      <c r="B19" s="298" t="s">
        <v>24</v>
      </c>
      <c r="C19" s="132"/>
      <c r="D19" s="133"/>
      <c r="E19" s="134"/>
      <c r="F19" s="135"/>
      <c r="G19" s="136"/>
      <c r="H19" s="133"/>
      <c r="I19" s="134"/>
      <c r="J19" s="135"/>
      <c r="K19" s="136"/>
      <c r="L19" s="133"/>
      <c r="M19" s="134"/>
      <c r="N19" s="135"/>
      <c r="O19" s="136"/>
      <c r="P19" s="133"/>
      <c r="Q19" s="134"/>
      <c r="R19" s="137"/>
      <c r="S19" s="136"/>
      <c r="T19" s="133"/>
      <c r="U19" s="134"/>
      <c r="V19" s="135"/>
      <c r="W19" s="136"/>
      <c r="X19" s="133"/>
      <c r="Y19" s="134"/>
      <c r="Z19" s="137"/>
      <c r="AA19" s="292"/>
      <c r="AB19" s="292"/>
      <c r="AC19" s="299"/>
      <c r="AD19" s="299"/>
      <c r="AE19" s="299"/>
      <c r="AF19" s="299"/>
      <c r="AG19" s="299"/>
      <c r="AH19" s="299"/>
      <c r="AI19" s="299"/>
      <c r="AJ19" s="299"/>
    </row>
    <row r="20" spans="1:38" ht="54.95" customHeight="1">
      <c r="A20" s="297"/>
      <c r="B20" s="298" t="s">
        <v>25</v>
      </c>
      <c r="C20" s="132"/>
      <c r="D20" s="133"/>
      <c r="E20" s="134"/>
      <c r="F20" s="135"/>
      <c r="G20" s="136"/>
      <c r="H20" s="133"/>
      <c r="I20" s="134"/>
      <c r="J20" s="135"/>
      <c r="K20" s="136"/>
      <c r="L20" s="133"/>
      <c r="M20" s="134"/>
      <c r="N20" s="135"/>
      <c r="O20" s="136"/>
      <c r="P20" s="133"/>
      <c r="Q20" s="134"/>
      <c r="R20" s="137"/>
      <c r="S20" s="136"/>
      <c r="T20" s="133"/>
      <c r="U20" s="134"/>
      <c r="V20" s="135"/>
      <c r="W20" s="136"/>
      <c r="X20" s="133"/>
      <c r="Y20" s="134"/>
      <c r="Z20" s="137"/>
      <c r="AA20" s="292"/>
      <c r="AB20" s="292"/>
      <c r="AC20" s="299"/>
      <c r="AD20" s="299"/>
      <c r="AE20" s="299"/>
      <c r="AF20" s="299"/>
      <c r="AG20" s="299"/>
      <c r="AH20" s="299"/>
      <c r="AI20" s="299"/>
      <c r="AJ20" s="299"/>
    </row>
    <row r="21" spans="1:38" ht="54.95" customHeight="1">
      <c r="A21" s="297"/>
      <c r="B21" s="298" t="s">
        <v>26</v>
      </c>
      <c r="C21" s="132"/>
      <c r="D21" s="133"/>
      <c r="E21" s="134"/>
      <c r="F21" s="135"/>
      <c r="G21" s="136"/>
      <c r="H21" s="133"/>
      <c r="I21" s="134"/>
      <c r="J21" s="135"/>
      <c r="K21" s="136"/>
      <c r="L21" s="133"/>
      <c r="M21" s="134"/>
      <c r="N21" s="135"/>
      <c r="O21" s="136"/>
      <c r="P21" s="133"/>
      <c r="Q21" s="134"/>
      <c r="R21" s="137"/>
      <c r="S21" s="136"/>
      <c r="T21" s="133"/>
      <c r="U21" s="134"/>
      <c r="V21" s="135"/>
      <c r="W21" s="136"/>
      <c r="X21" s="133"/>
      <c r="Y21" s="134"/>
      <c r="Z21" s="137"/>
      <c r="AA21" s="292"/>
      <c r="AB21" s="292"/>
      <c r="AC21" s="299"/>
      <c r="AD21" s="299"/>
      <c r="AE21" s="299"/>
      <c r="AF21" s="299"/>
      <c r="AG21" s="299"/>
      <c r="AH21" s="299"/>
      <c r="AI21" s="299"/>
      <c r="AJ21" s="299"/>
    </row>
    <row r="22" spans="1:38" ht="54.95" customHeight="1">
      <c r="A22" s="297">
        <v>9</v>
      </c>
      <c r="B22" s="298" t="s">
        <v>23</v>
      </c>
      <c r="C22" s="132"/>
      <c r="D22" s="133"/>
      <c r="E22" s="134"/>
      <c r="F22" s="135"/>
      <c r="G22" s="136"/>
      <c r="H22" s="133"/>
      <c r="I22" s="134"/>
      <c r="J22" s="135"/>
      <c r="K22" s="136"/>
      <c r="L22" s="133"/>
      <c r="M22" s="134"/>
      <c r="N22" s="135"/>
      <c r="O22" s="136"/>
      <c r="P22" s="133"/>
      <c r="Q22" s="134"/>
      <c r="R22" s="137"/>
      <c r="S22" s="136"/>
      <c r="T22" s="133"/>
      <c r="U22" s="134"/>
      <c r="V22" s="135"/>
      <c r="W22" s="136"/>
      <c r="X22" s="133"/>
      <c r="Y22" s="134"/>
      <c r="Z22" s="137"/>
      <c r="AA22" s="292"/>
      <c r="AB22" s="292"/>
      <c r="AC22" s="299"/>
      <c r="AD22" s="299"/>
      <c r="AE22" s="299"/>
      <c r="AF22" s="299"/>
      <c r="AG22" s="299"/>
      <c r="AH22" s="299"/>
      <c r="AI22" s="299"/>
      <c r="AJ22" s="299"/>
    </row>
    <row r="23" spans="1:38" ht="54.95" customHeight="1" thickBot="1">
      <c r="A23" s="300"/>
      <c r="B23" s="301" t="s">
        <v>24</v>
      </c>
      <c r="C23" s="139"/>
      <c r="D23" s="140"/>
      <c r="E23" s="141"/>
      <c r="F23" s="142"/>
      <c r="G23" s="143"/>
      <c r="H23" s="140"/>
      <c r="I23" s="141"/>
      <c r="J23" s="142"/>
      <c r="K23" s="143"/>
      <c r="L23" s="140"/>
      <c r="M23" s="141"/>
      <c r="N23" s="142"/>
      <c r="O23" s="143"/>
      <c r="P23" s="140"/>
      <c r="Q23" s="141"/>
      <c r="R23" s="144"/>
      <c r="S23" s="143"/>
      <c r="T23" s="140"/>
      <c r="U23" s="141"/>
      <c r="V23" s="142"/>
      <c r="W23" s="143"/>
      <c r="X23" s="140"/>
      <c r="Y23" s="141"/>
      <c r="Z23" s="144"/>
      <c r="AA23" s="292"/>
      <c r="AB23" s="292"/>
      <c r="AC23" s="299"/>
      <c r="AD23" s="299"/>
      <c r="AE23" s="299"/>
      <c r="AF23" s="299"/>
      <c r="AG23" s="299"/>
      <c r="AH23" s="299"/>
      <c r="AI23" s="299"/>
      <c r="AJ23" s="299"/>
    </row>
    <row r="24" spans="1:38" ht="54.95" customHeight="1" thickTop="1" thickBot="1">
      <c r="A24" s="302"/>
      <c r="B24" s="30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  <c r="AA24" s="292"/>
      <c r="AB24" s="292"/>
      <c r="AC24" s="299"/>
      <c r="AD24" s="299"/>
      <c r="AE24" s="299"/>
      <c r="AF24" s="299"/>
      <c r="AG24" s="299"/>
      <c r="AH24" s="299"/>
      <c r="AI24" s="299"/>
      <c r="AJ24" s="299"/>
    </row>
    <row r="25" spans="1:38" ht="52.5" customHeight="1" thickBot="1">
      <c r="A25" s="235" t="s">
        <v>0</v>
      </c>
      <c r="B25" s="236" t="str">
        <f>B1</f>
        <v>AMANCY_Giratoire de la Coriandre</v>
      </c>
      <c r="C25" s="237"/>
      <c r="D25" s="237"/>
      <c r="E25" s="237"/>
      <c r="F25" s="238"/>
      <c r="G25" s="238"/>
      <c r="H25" s="237"/>
      <c r="I25" s="237"/>
      <c r="J25" s="238"/>
      <c r="K25" s="238"/>
      <c r="L25" s="239"/>
      <c r="M25" s="240" t="s">
        <v>30</v>
      </c>
      <c r="N25" s="241" t="str">
        <f>N1</f>
        <v>mardi 31 mai 2022</v>
      </c>
      <c r="O25" s="237"/>
      <c r="P25" s="237"/>
      <c r="Q25" s="237"/>
      <c r="R25" s="237"/>
      <c r="S25" s="237"/>
      <c r="T25" s="237"/>
      <c r="U25" s="237"/>
      <c r="V25" s="242"/>
      <c r="W25" s="243"/>
      <c r="X25" s="243"/>
      <c r="Y25" s="243"/>
      <c r="Z25" s="244"/>
      <c r="AA25" s="303" t="s">
        <v>0</v>
      </c>
      <c r="AB25" s="236" t="str">
        <f>B25</f>
        <v>AMANCY_Giratoire de la Coriandre</v>
      </c>
      <c r="AC25" s="237"/>
      <c r="AD25" s="237"/>
      <c r="AE25" s="237"/>
      <c r="AF25" s="239"/>
      <c r="AG25" s="304" t="s">
        <v>1</v>
      </c>
      <c r="AH25" s="236" t="str">
        <f>N25</f>
        <v>mardi 31 mai 2022</v>
      </c>
      <c r="AI25" s="237"/>
      <c r="AJ25" s="237"/>
      <c r="AK25" s="242"/>
      <c r="AL25" s="305"/>
    </row>
    <row r="26" spans="1:38" ht="52.5" customHeight="1" thickBot="1">
      <c r="A26" s="227" t="s">
        <v>2</v>
      </c>
      <c r="B26" s="228"/>
      <c r="C26" s="228"/>
      <c r="D26" s="228"/>
      <c r="E26" s="228"/>
      <c r="F26" s="228"/>
      <c r="G26" s="236">
        <f>G2</f>
        <v>0</v>
      </c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42"/>
      <c r="W26" s="228"/>
      <c r="X26" s="228"/>
      <c r="Y26" s="228"/>
      <c r="Z26" s="228"/>
      <c r="AA26" s="227" t="s">
        <v>2</v>
      </c>
      <c r="AB26" s="228"/>
      <c r="AC26" s="228"/>
      <c r="AD26" s="228"/>
      <c r="AE26" s="236">
        <f>G26</f>
        <v>0</v>
      </c>
      <c r="AF26" s="237"/>
      <c r="AG26" s="237"/>
      <c r="AH26" s="237"/>
      <c r="AI26" s="237"/>
      <c r="AJ26" s="237"/>
      <c r="AK26" s="242"/>
      <c r="AL26" s="306"/>
    </row>
    <row r="27" spans="1:38" ht="52.5" customHeight="1" thickBot="1">
      <c r="A27" s="227" t="s">
        <v>3</v>
      </c>
      <c r="B27" s="228"/>
      <c r="C27" s="236">
        <f>C3</f>
        <v>0</v>
      </c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42"/>
      <c r="W27" s="228"/>
      <c r="X27" s="228"/>
      <c r="Y27" s="228"/>
      <c r="Z27" s="245"/>
      <c r="AA27" s="227" t="s">
        <v>3</v>
      </c>
      <c r="AB27" s="228"/>
      <c r="AC27" s="236">
        <f>C27</f>
        <v>0</v>
      </c>
      <c r="AD27" s="237"/>
      <c r="AE27" s="237"/>
      <c r="AF27" s="237"/>
      <c r="AG27" s="237"/>
      <c r="AH27" s="237"/>
      <c r="AI27" s="237"/>
      <c r="AJ27" s="237"/>
      <c r="AK27" s="242"/>
      <c r="AL27" s="307"/>
    </row>
    <row r="28" spans="1:38" ht="52.5" customHeight="1" thickBot="1">
      <c r="A28" s="227" t="s">
        <v>27</v>
      </c>
      <c r="B28" s="228"/>
      <c r="C28" s="236">
        <f>C4</f>
        <v>0</v>
      </c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42"/>
      <c r="W28" s="228"/>
      <c r="X28" s="228"/>
      <c r="Y28" s="228"/>
      <c r="Z28" s="245"/>
      <c r="AA28" s="227" t="s">
        <v>27</v>
      </c>
      <c r="AB28" s="228"/>
      <c r="AC28" s="236">
        <f>C28</f>
        <v>0</v>
      </c>
      <c r="AD28" s="237"/>
      <c r="AE28" s="237"/>
      <c r="AF28" s="237"/>
      <c r="AG28" s="237"/>
      <c r="AH28" s="237"/>
      <c r="AI28" s="237"/>
      <c r="AJ28" s="237"/>
      <c r="AK28" s="242"/>
      <c r="AL28" s="307"/>
    </row>
    <row r="29" spans="1:38" ht="25.5" customHeight="1">
      <c r="A29" s="246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45"/>
      <c r="S29" s="228"/>
      <c r="T29" s="228"/>
      <c r="U29" s="228"/>
      <c r="V29" s="228"/>
      <c r="W29" s="228"/>
      <c r="X29" s="228"/>
      <c r="Y29" s="228"/>
      <c r="Z29" s="245"/>
      <c r="AA29" s="246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306"/>
    </row>
    <row r="30" spans="1:38" ht="25.5" customHeight="1">
      <c r="A30" s="246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45"/>
      <c r="S30" s="228"/>
      <c r="T30" s="228"/>
      <c r="U30" s="228"/>
      <c r="V30" s="228"/>
      <c r="W30" s="228"/>
      <c r="X30" s="228"/>
      <c r="Y30" s="228"/>
      <c r="Z30" s="245"/>
      <c r="AA30" s="246"/>
      <c r="AB30" s="228"/>
      <c r="AC30" s="228"/>
      <c r="AD30" s="228"/>
      <c r="AE30" s="228"/>
      <c r="AF30" s="228"/>
      <c r="AG30" s="228"/>
      <c r="AH30" s="228"/>
      <c r="AI30" s="228"/>
      <c r="AJ30" s="228"/>
      <c r="AK30" s="245"/>
      <c r="AL30" s="308"/>
    </row>
    <row r="31" spans="1:38" ht="25.5" customHeight="1" thickBot="1">
      <c r="A31" s="246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45"/>
      <c r="S31" s="228"/>
      <c r="T31" s="228"/>
      <c r="U31" s="228"/>
      <c r="V31" s="228"/>
      <c r="W31" s="228"/>
      <c r="X31" s="228"/>
      <c r="Y31" s="228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308"/>
    </row>
    <row r="32" spans="1:38" ht="32.25" customHeight="1" thickTop="1">
      <c r="A32" s="227"/>
      <c r="B32" s="228"/>
      <c r="C32" s="1124"/>
      <c r="D32" s="1125"/>
      <c r="E32" s="1125"/>
      <c r="F32" s="1125"/>
      <c r="G32" s="1125"/>
      <c r="H32" s="1125"/>
      <c r="I32" s="1125"/>
      <c r="J32" s="1125"/>
      <c r="K32" s="1125"/>
      <c r="L32" s="1125"/>
      <c r="M32" s="1125"/>
      <c r="N32" s="1125"/>
      <c r="O32" s="1125"/>
      <c r="P32" s="1125"/>
      <c r="Q32" s="1125"/>
      <c r="R32" s="1125"/>
      <c r="S32" s="1125"/>
      <c r="T32" s="1125"/>
      <c r="U32" s="1125"/>
      <c r="V32" s="1125"/>
      <c r="W32" s="1125"/>
      <c r="X32" s="1125"/>
      <c r="Y32" s="1125"/>
      <c r="Z32" s="1126"/>
      <c r="AA32" s="227"/>
      <c r="AB32" s="228"/>
      <c r="AC32" s="1130" t="s">
        <v>12</v>
      </c>
      <c r="AD32" s="872" t="s">
        <v>14</v>
      </c>
      <c r="AE32" s="872" t="s">
        <v>15</v>
      </c>
      <c r="AF32" s="872" t="s">
        <v>18</v>
      </c>
      <c r="AG32" s="872"/>
      <c r="AH32" s="872"/>
      <c r="AI32" s="872"/>
      <c r="AJ32" s="884"/>
      <c r="AK32" s="885"/>
      <c r="AL32" s="886"/>
    </row>
    <row r="33" spans="1:39" ht="22.7" customHeight="1">
      <c r="A33" s="227"/>
      <c r="B33" s="228"/>
      <c r="C33" s="878" t="str">
        <f>C9</f>
        <v>D'Intermarché</v>
      </c>
      <c r="D33" s="879"/>
      <c r="E33" s="879"/>
      <c r="F33" s="879"/>
      <c r="G33" s="878" t="str">
        <f t="shared" ref="G33" si="0">G9</f>
        <v>de ZA</v>
      </c>
      <c r="H33" s="879"/>
      <c r="I33" s="879"/>
      <c r="J33" s="879"/>
      <c r="K33" s="878" t="str">
        <f t="shared" ref="K33" si="1">K9</f>
        <v>de Bigaille</v>
      </c>
      <c r="L33" s="879"/>
      <c r="M33" s="879"/>
      <c r="N33" s="879"/>
      <c r="O33" s="878" t="str">
        <f t="shared" ref="O33" si="2">O9</f>
        <v>d'Annecy</v>
      </c>
      <c r="P33" s="879"/>
      <c r="Q33" s="879"/>
      <c r="R33" s="879"/>
      <c r="S33" s="878" t="str">
        <f t="shared" ref="S33" si="3">S9</f>
        <v>de Véto</v>
      </c>
      <c r="T33" s="879"/>
      <c r="U33" s="879"/>
      <c r="V33" s="879"/>
      <c r="W33" s="878" t="str">
        <f t="shared" ref="W33" si="4">W9</f>
        <v>de Collège</v>
      </c>
      <c r="X33" s="879"/>
      <c r="Y33" s="879"/>
      <c r="Z33" s="880"/>
      <c r="AA33" s="227"/>
      <c r="AB33" s="228"/>
      <c r="AC33" s="1131"/>
      <c r="AD33" s="873"/>
      <c r="AE33" s="873"/>
      <c r="AF33" s="873"/>
      <c r="AG33" s="873"/>
      <c r="AH33" s="873"/>
      <c r="AI33" s="873"/>
      <c r="AJ33" s="887"/>
      <c r="AK33" s="888"/>
      <c r="AL33" s="889"/>
    </row>
    <row r="34" spans="1:39" ht="18.600000000000001" customHeight="1" thickBot="1">
      <c r="A34" s="229"/>
      <c r="B34" s="228"/>
      <c r="C34" s="1127" t="s">
        <v>4</v>
      </c>
      <c r="D34" s="1128"/>
      <c r="E34" s="923" t="s">
        <v>5</v>
      </c>
      <c r="F34" s="924"/>
      <c r="G34" s="1129" t="s">
        <v>4</v>
      </c>
      <c r="H34" s="1128"/>
      <c r="I34" s="923" t="s">
        <v>5</v>
      </c>
      <c r="J34" s="924"/>
      <c r="K34" s="1129" t="s">
        <v>4</v>
      </c>
      <c r="L34" s="1128"/>
      <c r="M34" s="923" t="s">
        <v>5</v>
      </c>
      <c r="N34" s="924"/>
      <c r="O34" s="1129" t="s">
        <v>4</v>
      </c>
      <c r="P34" s="1128"/>
      <c r="Q34" s="923" t="s">
        <v>5</v>
      </c>
      <c r="R34" s="930"/>
      <c r="S34" s="1129" t="s">
        <v>4</v>
      </c>
      <c r="T34" s="1128"/>
      <c r="U34" s="923" t="s">
        <v>5</v>
      </c>
      <c r="V34" s="924"/>
      <c r="W34" s="1129" t="s">
        <v>4</v>
      </c>
      <c r="X34" s="1128"/>
      <c r="Y34" s="1136" t="s">
        <v>5</v>
      </c>
      <c r="Z34" s="1137"/>
      <c r="AA34" s="229"/>
      <c r="AB34" s="228"/>
      <c r="AC34" s="1131"/>
      <c r="AD34" s="873"/>
      <c r="AE34" s="873"/>
      <c r="AF34" s="873"/>
      <c r="AG34" s="873"/>
      <c r="AH34" s="873"/>
      <c r="AI34" s="873"/>
      <c r="AJ34" s="887"/>
      <c r="AK34" s="888"/>
      <c r="AL34" s="889"/>
    </row>
    <row r="35" spans="1:39" ht="21" thickTop="1">
      <c r="A35" s="1052" t="s">
        <v>13</v>
      </c>
      <c r="B35" s="1053"/>
      <c r="C35" s="247" t="s">
        <v>8</v>
      </c>
      <c r="D35" s="248" t="s">
        <v>9</v>
      </c>
      <c r="E35" s="249" t="s">
        <v>8</v>
      </c>
      <c r="F35" s="250" t="s">
        <v>9</v>
      </c>
      <c r="G35" s="251" t="s">
        <v>8</v>
      </c>
      <c r="H35" s="248" t="s">
        <v>9</v>
      </c>
      <c r="I35" s="249" t="s">
        <v>8</v>
      </c>
      <c r="J35" s="250" t="s">
        <v>9</v>
      </c>
      <c r="K35" s="251" t="s">
        <v>8</v>
      </c>
      <c r="L35" s="248" t="s">
        <v>9</v>
      </c>
      <c r="M35" s="249" t="s">
        <v>8</v>
      </c>
      <c r="N35" s="250" t="s">
        <v>9</v>
      </c>
      <c r="O35" s="251" t="s">
        <v>8</v>
      </c>
      <c r="P35" s="248" t="s">
        <v>9</v>
      </c>
      <c r="Q35" s="249" t="s">
        <v>8</v>
      </c>
      <c r="R35" s="252" t="s">
        <v>9</v>
      </c>
      <c r="S35" s="251" t="s">
        <v>8</v>
      </c>
      <c r="T35" s="248" t="s">
        <v>9</v>
      </c>
      <c r="U35" s="249" t="s">
        <v>8</v>
      </c>
      <c r="V35" s="250" t="s">
        <v>9</v>
      </c>
      <c r="W35" s="251" t="s">
        <v>8</v>
      </c>
      <c r="X35" s="248" t="s">
        <v>9</v>
      </c>
      <c r="Y35" s="249" t="s">
        <v>8</v>
      </c>
      <c r="Z35" s="252" t="s">
        <v>9</v>
      </c>
      <c r="AA35" s="1138" t="s">
        <v>13</v>
      </c>
      <c r="AB35" s="1139"/>
      <c r="AC35" s="1131"/>
      <c r="AD35" s="874"/>
      <c r="AE35" s="874"/>
      <c r="AF35" s="874"/>
      <c r="AG35" s="874"/>
      <c r="AH35" s="874"/>
      <c r="AI35" s="874"/>
      <c r="AJ35" s="890"/>
      <c r="AK35" s="891"/>
      <c r="AL35" s="892"/>
    </row>
    <row r="36" spans="1:39" ht="54.95" customHeight="1">
      <c r="A36" s="1039" t="s">
        <v>28</v>
      </c>
      <c r="B36" s="1040"/>
      <c r="C36" s="253">
        <f>SUM(C12:C15)</f>
        <v>0</v>
      </c>
      <c r="D36" s="254">
        <f t="shared" ref="D36:Z36" si="5">SUM(D12:D15)</f>
        <v>0</v>
      </c>
      <c r="E36" s="255">
        <f t="shared" si="5"/>
        <v>0</v>
      </c>
      <c r="F36" s="256">
        <f t="shared" si="5"/>
        <v>0</v>
      </c>
      <c r="G36" s="257">
        <f t="shared" si="5"/>
        <v>0</v>
      </c>
      <c r="H36" s="254">
        <f t="shared" si="5"/>
        <v>0</v>
      </c>
      <c r="I36" s="255">
        <f t="shared" si="5"/>
        <v>0</v>
      </c>
      <c r="J36" s="256">
        <f t="shared" si="5"/>
        <v>0</v>
      </c>
      <c r="K36" s="257">
        <f t="shared" si="5"/>
        <v>0</v>
      </c>
      <c r="L36" s="254">
        <f t="shared" si="5"/>
        <v>0</v>
      </c>
      <c r="M36" s="255">
        <f t="shared" si="5"/>
        <v>0</v>
      </c>
      <c r="N36" s="256">
        <f t="shared" si="5"/>
        <v>0</v>
      </c>
      <c r="O36" s="257">
        <f t="shared" si="5"/>
        <v>0</v>
      </c>
      <c r="P36" s="254">
        <f t="shared" si="5"/>
        <v>0</v>
      </c>
      <c r="Q36" s="255">
        <f t="shared" si="5"/>
        <v>0</v>
      </c>
      <c r="R36" s="258">
        <f t="shared" si="5"/>
        <v>0</v>
      </c>
      <c r="S36" s="257">
        <f t="shared" si="5"/>
        <v>0</v>
      </c>
      <c r="T36" s="254">
        <f t="shared" si="5"/>
        <v>0</v>
      </c>
      <c r="U36" s="255">
        <f t="shared" si="5"/>
        <v>0</v>
      </c>
      <c r="V36" s="256">
        <f t="shared" si="5"/>
        <v>0</v>
      </c>
      <c r="W36" s="257">
        <f t="shared" si="5"/>
        <v>0</v>
      </c>
      <c r="X36" s="254">
        <f t="shared" si="5"/>
        <v>0</v>
      </c>
      <c r="Y36" s="255">
        <f t="shared" si="5"/>
        <v>0</v>
      </c>
      <c r="Z36" s="258">
        <f t="shared" si="5"/>
        <v>0</v>
      </c>
      <c r="AA36" s="1140" t="s">
        <v>28</v>
      </c>
      <c r="AB36" s="1141"/>
      <c r="AC36" s="230">
        <f>SUM(C36:Z36)</f>
        <v>0</v>
      </c>
      <c r="AD36" s="170">
        <f>IF(AC36=0,0,AD48/AC36)</f>
        <v>0</v>
      </c>
      <c r="AE36" s="170">
        <f>IF(AC36=0,0,AE48/AC36)</f>
        <v>0</v>
      </c>
      <c r="AF36" s="170">
        <f>IF(AE48=0,0,AF48/AE48)</f>
        <v>0</v>
      </c>
      <c r="AG36" s="309"/>
      <c r="AH36" s="310"/>
      <c r="AI36" s="310"/>
      <c r="AJ36" s="311"/>
      <c r="AK36" s="1144"/>
      <c r="AL36" s="1145"/>
    </row>
    <row r="37" spans="1:39" ht="54.95" customHeight="1">
      <c r="A37" s="1047" t="s">
        <v>11</v>
      </c>
      <c r="B37" s="1048"/>
      <c r="C37" s="259">
        <f>SUM(C14:C17)</f>
        <v>0</v>
      </c>
      <c r="D37" s="260">
        <f t="shared" ref="D37:Z37" si="6">SUM(D14:D17)</f>
        <v>0</v>
      </c>
      <c r="E37" s="261">
        <f t="shared" si="6"/>
        <v>0</v>
      </c>
      <c r="F37" s="262">
        <f t="shared" si="6"/>
        <v>0</v>
      </c>
      <c r="G37" s="263">
        <f t="shared" si="6"/>
        <v>0</v>
      </c>
      <c r="H37" s="260">
        <f t="shared" si="6"/>
        <v>0</v>
      </c>
      <c r="I37" s="261">
        <f t="shared" si="6"/>
        <v>0</v>
      </c>
      <c r="J37" s="262">
        <f t="shared" si="6"/>
        <v>0</v>
      </c>
      <c r="K37" s="263">
        <f t="shared" si="6"/>
        <v>0</v>
      </c>
      <c r="L37" s="260">
        <f t="shared" si="6"/>
        <v>0</v>
      </c>
      <c r="M37" s="261">
        <f t="shared" si="6"/>
        <v>0</v>
      </c>
      <c r="N37" s="262">
        <f t="shared" si="6"/>
        <v>0</v>
      </c>
      <c r="O37" s="263">
        <f t="shared" si="6"/>
        <v>0</v>
      </c>
      <c r="P37" s="260">
        <f t="shared" si="6"/>
        <v>0</v>
      </c>
      <c r="Q37" s="261">
        <f t="shared" si="6"/>
        <v>0</v>
      </c>
      <c r="R37" s="264">
        <f t="shared" si="6"/>
        <v>0</v>
      </c>
      <c r="S37" s="263">
        <f t="shared" si="6"/>
        <v>0</v>
      </c>
      <c r="T37" s="260">
        <f t="shared" si="6"/>
        <v>0</v>
      </c>
      <c r="U37" s="261">
        <f t="shared" si="6"/>
        <v>0</v>
      </c>
      <c r="V37" s="262">
        <f t="shared" si="6"/>
        <v>0</v>
      </c>
      <c r="W37" s="263">
        <f t="shared" si="6"/>
        <v>0</v>
      </c>
      <c r="X37" s="260">
        <f t="shared" si="6"/>
        <v>0</v>
      </c>
      <c r="Y37" s="261">
        <f t="shared" si="6"/>
        <v>0</v>
      </c>
      <c r="Z37" s="264">
        <f t="shared" si="6"/>
        <v>0</v>
      </c>
      <c r="AA37" s="1134" t="s">
        <v>11</v>
      </c>
      <c r="AB37" s="1135"/>
      <c r="AC37" s="231">
        <f>SUM(C37:Z37)</f>
        <v>0</v>
      </c>
      <c r="AD37" s="172">
        <f t="shared" ref="AD37:AD42" si="7">IF(AC37=0,0,AD49/AC37)</f>
        <v>0</v>
      </c>
      <c r="AE37" s="172">
        <f t="shared" ref="AE37:AE42" si="8">IF(AC37=0,0,AE49/AC37)</f>
        <v>0</v>
      </c>
      <c r="AF37" s="172">
        <f t="shared" ref="AF37:AF42" si="9">IF(AE49=0,0,AF49/AE49)</f>
        <v>0</v>
      </c>
      <c r="AG37" s="312"/>
      <c r="AH37" s="313"/>
      <c r="AI37" s="313"/>
      <c r="AJ37" s="314"/>
      <c r="AK37" s="1132"/>
      <c r="AL37" s="1133"/>
    </row>
    <row r="38" spans="1:39" ht="54.95" customHeight="1">
      <c r="A38" s="1047" t="s">
        <v>17</v>
      </c>
      <c r="B38" s="1048"/>
      <c r="C38" s="259">
        <f>SUM(C16:C19)</f>
        <v>0</v>
      </c>
      <c r="D38" s="260">
        <f t="shared" ref="D38:Z38" si="10">SUM(D16:D19)</f>
        <v>0</v>
      </c>
      <c r="E38" s="261">
        <f t="shared" si="10"/>
        <v>0</v>
      </c>
      <c r="F38" s="262">
        <f t="shared" si="10"/>
        <v>0</v>
      </c>
      <c r="G38" s="263">
        <f t="shared" si="10"/>
        <v>0</v>
      </c>
      <c r="H38" s="260">
        <f t="shared" si="10"/>
        <v>0</v>
      </c>
      <c r="I38" s="261">
        <f t="shared" si="10"/>
        <v>0</v>
      </c>
      <c r="J38" s="262">
        <f t="shared" si="10"/>
        <v>0</v>
      </c>
      <c r="K38" s="263">
        <f t="shared" si="10"/>
        <v>0</v>
      </c>
      <c r="L38" s="260">
        <f t="shared" si="10"/>
        <v>0</v>
      </c>
      <c r="M38" s="261">
        <f t="shared" si="10"/>
        <v>0</v>
      </c>
      <c r="N38" s="262">
        <f t="shared" si="10"/>
        <v>0</v>
      </c>
      <c r="O38" s="263">
        <f t="shared" si="10"/>
        <v>0</v>
      </c>
      <c r="P38" s="260">
        <f t="shared" si="10"/>
        <v>0</v>
      </c>
      <c r="Q38" s="261">
        <f t="shared" si="10"/>
        <v>0</v>
      </c>
      <c r="R38" s="264">
        <f t="shared" si="10"/>
        <v>0</v>
      </c>
      <c r="S38" s="263">
        <f t="shared" si="10"/>
        <v>0</v>
      </c>
      <c r="T38" s="260">
        <f t="shared" si="10"/>
        <v>0</v>
      </c>
      <c r="U38" s="261">
        <f t="shared" si="10"/>
        <v>0</v>
      </c>
      <c r="V38" s="262">
        <f t="shared" si="10"/>
        <v>0</v>
      </c>
      <c r="W38" s="263">
        <f t="shared" si="10"/>
        <v>0</v>
      </c>
      <c r="X38" s="260">
        <f t="shared" si="10"/>
        <v>0</v>
      </c>
      <c r="Y38" s="261">
        <f t="shared" si="10"/>
        <v>0</v>
      </c>
      <c r="Z38" s="264">
        <f t="shared" si="10"/>
        <v>0</v>
      </c>
      <c r="AA38" s="1134" t="s">
        <v>17</v>
      </c>
      <c r="AB38" s="1135"/>
      <c r="AC38" s="231">
        <f>SUM(C38:Z38)</f>
        <v>0</v>
      </c>
      <c r="AD38" s="172">
        <f t="shared" si="7"/>
        <v>0</v>
      </c>
      <c r="AE38" s="172">
        <f t="shared" si="8"/>
        <v>0</v>
      </c>
      <c r="AF38" s="172">
        <f t="shared" si="9"/>
        <v>0</v>
      </c>
      <c r="AG38" s="312"/>
      <c r="AH38" s="313"/>
      <c r="AI38" s="313"/>
      <c r="AJ38" s="314"/>
      <c r="AK38" s="1132"/>
      <c r="AL38" s="1133"/>
    </row>
    <row r="39" spans="1:39" ht="54.95" customHeight="1">
      <c r="A39" s="1047" t="s">
        <v>10</v>
      </c>
      <c r="B39" s="1048"/>
      <c r="C39" s="259">
        <f>SUM(C18:C21)</f>
        <v>0</v>
      </c>
      <c r="D39" s="260">
        <f t="shared" ref="D39:Z39" si="11">SUM(D18:D21)</f>
        <v>0</v>
      </c>
      <c r="E39" s="261">
        <f t="shared" si="11"/>
        <v>0</v>
      </c>
      <c r="F39" s="262">
        <f t="shared" si="11"/>
        <v>0</v>
      </c>
      <c r="G39" s="263">
        <f t="shared" si="11"/>
        <v>0</v>
      </c>
      <c r="H39" s="260">
        <f t="shared" si="11"/>
        <v>0</v>
      </c>
      <c r="I39" s="261">
        <f t="shared" si="11"/>
        <v>0</v>
      </c>
      <c r="J39" s="262">
        <f t="shared" si="11"/>
        <v>0</v>
      </c>
      <c r="K39" s="263">
        <f t="shared" si="11"/>
        <v>0</v>
      </c>
      <c r="L39" s="260">
        <f t="shared" si="11"/>
        <v>0</v>
      </c>
      <c r="M39" s="261">
        <f t="shared" si="11"/>
        <v>0</v>
      </c>
      <c r="N39" s="262">
        <f t="shared" si="11"/>
        <v>0</v>
      </c>
      <c r="O39" s="263">
        <f t="shared" si="11"/>
        <v>0</v>
      </c>
      <c r="P39" s="260">
        <f t="shared" si="11"/>
        <v>0</v>
      </c>
      <c r="Q39" s="261">
        <f t="shared" si="11"/>
        <v>0</v>
      </c>
      <c r="R39" s="264">
        <f t="shared" si="11"/>
        <v>0</v>
      </c>
      <c r="S39" s="263">
        <f t="shared" si="11"/>
        <v>0</v>
      </c>
      <c r="T39" s="260">
        <f t="shared" si="11"/>
        <v>0</v>
      </c>
      <c r="U39" s="261">
        <f t="shared" si="11"/>
        <v>0</v>
      </c>
      <c r="V39" s="262">
        <f t="shared" si="11"/>
        <v>0</v>
      </c>
      <c r="W39" s="263">
        <f t="shared" si="11"/>
        <v>0</v>
      </c>
      <c r="X39" s="260">
        <f t="shared" si="11"/>
        <v>0</v>
      </c>
      <c r="Y39" s="261">
        <f t="shared" si="11"/>
        <v>0</v>
      </c>
      <c r="Z39" s="264">
        <f t="shared" si="11"/>
        <v>0</v>
      </c>
      <c r="AA39" s="1134" t="s">
        <v>10</v>
      </c>
      <c r="AB39" s="1135"/>
      <c r="AC39" s="231">
        <f>SUM(C39:Z39)</f>
        <v>0</v>
      </c>
      <c r="AD39" s="172">
        <f t="shared" si="7"/>
        <v>0</v>
      </c>
      <c r="AE39" s="172">
        <f t="shared" si="8"/>
        <v>0</v>
      </c>
      <c r="AF39" s="172">
        <f t="shared" si="9"/>
        <v>0</v>
      </c>
      <c r="AG39" s="312"/>
      <c r="AH39" s="313"/>
      <c r="AI39" s="313"/>
      <c r="AJ39" s="314"/>
      <c r="AK39" s="1132"/>
      <c r="AL39" s="1133"/>
    </row>
    <row r="40" spans="1:39" ht="54.95" customHeight="1">
      <c r="A40" s="1050" t="s">
        <v>29</v>
      </c>
      <c r="B40" s="1051"/>
      <c r="C40" s="265">
        <f>SUM(C20:C23)</f>
        <v>0</v>
      </c>
      <c r="D40" s="266">
        <f t="shared" ref="D40:Z40" si="12">SUM(D20:D23)</f>
        <v>0</v>
      </c>
      <c r="E40" s="267">
        <f t="shared" si="12"/>
        <v>0</v>
      </c>
      <c r="F40" s="268">
        <f t="shared" si="12"/>
        <v>0</v>
      </c>
      <c r="G40" s="269">
        <f t="shared" si="12"/>
        <v>0</v>
      </c>
      <c r="H40" s="266">
        <f t="shared" si="12"/>
        <v>0</v>
      </c>
      <c r="I40" s="267">
        <f t="shared" si="12"/>
        <v>0</v>
      </c>
      <c r="J40" s="268">
        <f t="shared" si="12"/>
        <v>0</v>
      </c>
      <c r="K40" s="269">
        <f t="shared" si="12"/>
        <v>0</v>
      </c>
      <c r="L40" s="266">
        <f t="shared" si="12"/>
        <v>0</v>
      </c>
      <c r="M40" s="267">
        <f t="shared" si="12"/>
        <v>0</v>
      </c>
      <c r="N40" s="268">
        <f t="shared" si="12"/>
        <v>0</v>
      </c>
      <c r="O40" s="269">
        <f t="shared" si="12"/>
        <v>0</v>
      </c>
      <c r="P40" s="266">
        <f t="shared" si="12"/>
        <v>0</v>
      </c>
      <c r="Q40" s="267">
        <f t="shared" si="12"/>
        <v>0</v>
      </c>
      <c r="R40" s="270">
        <f t="shared" si="12"/>
        <v>0</v>
      </c>
      <c r="S40" s="269">
        <f t="shared" si="12"/>
        <v>0</v>
      </c>
      <c r="T40" s="266">
        <f t="shared" si="12"/>
        <v>0</v>
      </c>
      <c r="U40" s="267">
        <f t="shared" si="12"/>
        <v>0</v>
      </c>
      <c r="V40" s="268">
        <f t="shared" si="12"/>
        <v>0</v>
      </c>
      <c r="W40" s="269">
        <f t="shared" si="12"/>
        <v>0</v>
      </c>
      <c r="X40" s="266">
        <f t="shared" si="12"/>
        <v>0</v>
      </c>
      <c r="Y40" s="267">
        <f t="shared" si="12"/>
        <v>0</v>
      </c>
      <c r="Z40" s="270">
        <f t="shared" si="12"/>
        <v>0</v>
      </c>
      <c r="AA40" s="1150" t="s">
        <v>29</v>
      </c>
      <c r="AB40" s="1151"/>
      <c r="AC40" s="232">
        <f>SUM(C40:Z40)</f>
        <v>0</v>
      </c>
      <c r="AD40" s="174">
        <f t="shared" si="7"/>
        <v>0</v>
      </c>
      <c r="AE40" s="174">
        <f t="shared" si="8"/>
        <v>0</v>
      </c>
      <c r="AF40" s="174">
        <f t="shared" si="9"/>
        <v>0</v>
      </c>
      <c r="AG40" s="315"/>
      <c r="AH40" s="316"/>
      <c r="AI40" s="316"/>
      <c r="AJ40" s="317"/>
      <c r="AK40" s="1152"/>
      <c r="AL40" s="1153"/>
    </row>
    <row r="41" spans="1:39" ht="54.95" customHeight="1">
      <c r="A41" s="1043" t="s">
        <v>12</v>
      </c>
      <c r="B41" s="1044"/>
      <c r="C41" s="271">
        <f>SUM(C12:C23)</f>
        <v>0</v>
      </c>
      <c r="D41" s="272">
        <f t="shared" ref="D41:Z41" si="13">SUM(D12:D23)</f>
        <v>0</v>
      </c>
      <c r="E41" s="273">
        <f t="shared" si="13"/>
        <v>0</v>
      </c>
      <c r="F41" s="274">
        <f t="shared" si="13"/>
        <v>0</v>
      </c>
      <c r="G41" s="275">
        <f t="shared" si="13"/>
        <v>0</v>
      </c>
      <c r="H41" s="272">
        <f t="shared" si="13"/>
        <v>0</v>
      </c>
      <c r="I41" s="273">
        <f t="shared" si="13"/>
        <v>0</v>
      </c>
      <c r="J41" s="274">
        <f t="shared" si="13"/>
        <v>0</v>
      </c>
      <c r="K41" s="275">
        <f t="shared" si="13"/>
        <v>0</v>
      </c>
      <c r="L41" s="272">
        <f t="shared" si="13"/>
        <v>0</v>
      </c>
      <c r="M41" s="273">
        <f t="shared" si="13"/>
        <v>0</v>
      </c>
      <c r="N41" s="274">
        <f t="shared" si="13"/>
        <v>0</v>
      </c>
      <c r="O41" s="275">
        <f t="shared" si="13"/>
        <v>0</v>
      </c>
      <c r="P41" s="272">
        <f t="shared" si="13"/>
        <v>0</v>
      </c>
      <c r="Q41" s="273">
        <f t="shared" si="13"/>
        <v>0</v>
      </c>
      <c r="R41" s="276">
        <f t="shared" si="13"/>
        <v>0</v>
      </c>
      <c r="S41" s="275">
        <f t="shared" si="13"/>
        <v>0</v>
      </c>
      <c r="T41" s="272">
        <f t="shared" si="13"/>
        <v>0</v>
      </c>
      <c r="U41" s="273">
        <f t="shared" si="13"/>
        <v>0</v>
      </c>
      <c r="V41" s="274">
        <f t="shared" si="13"/>
        <v>0</v>
      </c>
      <c r="W41" s="275">
        <f t="shared" si="13"/>
        <v>0</v>
      </c>
      <c r="X41" s="272">
        <f t="shared" si="13"/>
        <v>0</v>
      </c>
      <c r="Y41" s="273">
        <f t="shared" si="13"/>
        <v>0</v>
      </c>
      <c r="Z41" s="276">
        <f t="shared" si="13"/>
        <v>0</v>
      </c>
      <c r="AA41" s="1142" t="s">
        <v>12</v>
      </c>
      <c r="AB41" s="1143"/>
      <c r="AC41" s="233">
        <f t="shared" ref="AC41:AC42" si="14">SUM(C41:Z41)</f>
        <v>0</v>
      </c>
      <c r="AD41" s="215">
        <f t="shared" si="7"/>
        <v>0</v>
      </c>
      <c r="AE41" s="215">
        <f t="shared" si="8"/>
        <v>0</v>
      </c>
      <c r="AF41" s="215">
        <f t="shared" si="9"/>
        <v>0</v>
      </c>
      <c r="AG41" s="176"/>
      <c r="AH41" s="177"/>
      <c r="AI41" s="177"/>
      <c r="AJ41" s="1121" t="s">
        <v>118</v>
      </c>
      <c r="AK41" s="1122"/>
      <c r="AL41" s="1123"/>
    </row>
    <row r="42" spans="1:39" ht="54.95" customHeight="1" thickBot="1">
      <c r="A42" s="1045" t="str">
        <f>IF($AC$36=MAX($AC$36:$AC$40),A36,IF($AC$37=MAX($AC$36:$AC$40),A37,IF($AC$38=MAX($AC$36:$AC$40),A38,IF($AC$39=MAX($AC$36:$AC$40),A39,A40))))</f>
        <v>de 6:30 à 7:30</v>
      </c>
      <c r="B42" s="1046"/>
      <c r="C42" s="277">
        <f>IF($AC$36=MAX($AC$36:$AC$40),C36,IF($AC$37=MAX($AC$36:$AC$40),C37,IF($AC$38=MAX($AC$36:$AC$40),C38,IF($AC$39=MAX($AC$36:$AC$40),C39,C40))))</f>
        <v>0</v>
      </c>
      <c r="D42" s="278">
        <f t="shared" ref="D42:Z42" si="15">IF($AC$36=MAX($AC$36:$AC$40),D36,IF($AC$37=MAX($AC$36:$AC$40),D37,IF($AC$38=MAX($AC$36:$AC$40),D38,IF($AC$39=MAX($AC$36:$AC$40),D39,D40))))</f>
        <v>0</v>
      </c>
      <c r="E42" s="279">
        <f t="shared" si="15"/>
        <v>0</v>
      </c>
      <c r="F42" s="280">
        <f t="shared" si="15"/>
        <v>0</v>
      </c>
      <c r="G42" s="281">
        <f t="shared" si="15"/>
        <v>0</v>
      </c>
      <c r="H42" s="278">
        <f t="shared" si="15"/>
        <v>0</v>
      </c>
      <c r="I42" s="279">
        <f t="shared" si="15"/>
        <v>0</v>
      </c>
      <c r="J42" s="280">
        <f t="shared" si="15"/>
        <v>0</v>
      </c>
      <c r="K42" s="281">
        <f t="shared" si="15"/>
        <v>0</v>
      </c>
      <c r="L42" s="278">
        <f t="shared" si="15"/>
        <v>0</v>
      </c>
      <c r="M42" s="279">
        <f t="shared" si="15"/>
        <v>0</v>
      </c>
      <c r="N42" s="280">
        <f t="shared" si="15"/>
        <v>0</v>
      </c>
      <c r="O42" s="281">
        <f t="shared" si="15"/>
        <v>0</v>
      </c>
      <c r="P42" s="278">
        <f t="shared" si="15"/>
        <v>0</v>
      </c>
      <c r="Q42" s="279">
        <f t="shared" si="15"/>
        <v>0</v>
      </c>
      <c r="R42" s="282">
        <f t="shared" si="15"/>
        <v>0</v>
      </c>
      <c r="S42" s="281">
        <f t="shared" si="15"/>
        <v>0</v>
      </c>
      <c r="T42" s="278">
        <f t="shared" si="15"/>
        <v>0</v>
      </c>
      <c r="U42" s="279">
        <f t="shared" si="15"/>
        <v>0</v>
      </c>
      <c r="V42" s="280">
        <f t="shared" si="15"/>
        <v>0</v>
      </c>
      <c r="W42" s="281">
        <f t="shared" si="15"/>
        <v>0</v>
      </c>
      <c r="X42" s="278">
        <f t="shared" si="15"/>
        <v>0</v>
      </c>
      <c r="Y42" s="279">
        <f t="shared" si="15"/>
        <v>0</v>
      </c>
      <c r="Z42" s="282">
        <f t="shared" si="15"/>
        <v>0</v>
      </c>
      <c r="AA42" s="1146" t="str">
        <f>A42</f>
        <v>de 6:30 à 7:30</v>
      </c>
      <c r="AB42" s="1147"/>
      <c r="AC42" s="234">
        <f t="shared" si="14"/>
        <v>0</v>
      </c>
      <c r="AD42" s="216">
        <f t="shared" si="7"/>
        <v>0</v>
      </c>
      <c r="AE42" s="216">
        <f t="shared" si="8"/>
        <v>0</v>
      </c>
      <c r="AF42" s="216">
        <f t="shared" si="9"/>
        <v>0</v>
      </c>
      <c r="AG42" s="178"/>
      <c r="AH42" s="179"/>
      <c r="AI42" s="179"/>
      <c r="AJ42" s="318"/>
      <c r="AK42" s="1148"/>
      <c r="AL42" s="1149"/>
    </row>
    <row r="43" spans="1:39" ht="12.75" customHeight="1" thickTop="1" thickBot="1">
      <c r="A43" s="319"/>
      <c r="B43" s="320"/>
      <c r="C43" s="320"/>
      <c r="D43" s="320"/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20"/>
      <c r="Q43" s="320"/>
      <c r="R43" s="320"/>
      <c r="S43" s="319"/>
      <c r="T43" s="320"/>
      <c r="U43" s="320"/>
      <c r="V43" s="320"/>
      <c r="W43" s="320"/>
      <c r="X43" s="320"/>
      <c r="Y43" s="320"/>
      <c r="Z43" s="320"/>
      <c r="AA43" s="321"/>
      <c r="AB43" s="321"/>
      <c r="AC43" s="320"/>
      <c r="AD43" s="320"/>
      <c r="AE43" s="319"/>
      <c r="AF43" s="320"/>
      <c r="AG43" s="320"/>
      <c r="AH43" s="320"/>
      <c r="AI43" s="320"/>
      <c r="AJ43" s="321"/>
      <c r="AK43" s="321"/>
      <c r="AL43" s="322"/>
      <c r="AM43" s="322"/>
    </row>
    <row r="44" spans="1:39" ht="32.25" customHeight="1" thickTop="1">
      <c r="A44" s="323"/>
      <c r="B44" s="321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3"/>
      <c r="AB44" s="321"/>
      <c r="AC44" s="325"/>
      <c r="AD44" s="979" t="s">
        <v>108</v>
      </c>
      <c r="AE44" s="979" t="s">
        <v>109</v>
      </c>
      <c r="AF44" s="979" t="s">
        <v>110</v>
      </c>
      <c r="AG44" s="979"/>
      <c r="AH44" s="979"/>
      <c r="AI44" s="979"/>
      <c r="AJ44" s="326"/>
      <c r="AK44" s="327"/>
      <c r="AL44" s="327"/>
      <c r="AM44" s="322"/>
    </row>
    <row r="45" spans="1:39" ht="22.7" customHeight="1">
      <c r="A45" s="323"/>
      <c r="B45" s="321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  <c r="AA45" s="323"/>
      <c r="AB45" s="321"/>
      <c r="AC45" s="325"/>
      <c r="AD45" s="980"/>
      <c r="AE45" s="980"/>
      <c r="AF45" s="980"/>
      <c r="AG45" s="980"/>
      <c r="AH45" s="980"/>
      <c r="AI45" s="980"/>
      <c r="AJ45" s="326"/>
      <c r="AK45" s="327"/>
      <c r="AL45" s="327"/>
      <c r="AM45" s="322"/>
    </row>
    <row r="46" spans="1:39" ht="18.600000000000001" customHeight="1">
      <c r="A46" s="323"/>
      <c r="B46" s="321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329"/>
      <c r="W46" s="329"/>
      <c r="X46" s="329"/>
      <c r="Y46" s="329"/>
      <c r="Z46" s="329"/>
      <c r="AA46" s="323"/>
      <c r="AB46" s="321"/>
      <c r="AC46" s="325"/>
      <c r="AD46" s="980"/>
      <c r="AE46" s="980"/>
      <c r="AF46" s="980"/>
      <c r="AG46" s="980"/>
      <c r="AH46" s="980"/>
      <c r="AI46" s="980"/>
      <c r="AJ46" s="326"/>
      <c r="AK46" s="327"/>
      <c r="AL46" s="327"/>
      <c r="AM46" s="322"/>
    </row>
    <row r="47" spans="1:39" ht="20.25">
      <c r="A47" s="330"/>
      <c r="B47" s="330"/>
      <c r="C47" s="331"/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1"/>
      <c r="Z47" s="331"/>
      <c r="AA47" s="330"/>
      <c r="AB47" s="330"/>
      <c r="AC47" s="325"/>
      <c r="AD47" s="981"/>
      <c r="AE47" s="981"/>
      <c r="AF47" s="981"/>
      <c r="AG47" s="981"/>
      <c r="AH47" s="981"/>
      <c r="AI47" s="981"/>
      <c r="AJ47" s="326"/>
      <c r="AK47" s="327"/>
      <c r="AL47" s="327"/>
      <c r="AM47" s="322"/>
    </row>
    <row r="48" spans="1:39" ht="54.95" customHeight="1">
      <c r="A48" s="330"/>
      <c r="B48" s="330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  <c r="AA48" s="330"/>
      <c r="AB48" s="330"/>
      <c r="AC48" s="333"/>
      <c r="AD48" s="217">
        <f>(C36+E36+G36+I36+K36+M36+O36+Q36+S36+U36+W36+Y36)</f>
        <v>0</v>
      </c>
      <c r="AE48" s="217">
        <f>(E36+F36+I36+J36+M36+N36+Q36+R36+U36+V36+Y36+Z36)</f>
        <v>0</v>
      </c>
      <c r="AF48" s="217">
        <f>(E36+I36+M36+Q36+U36+Y36)</f>
        <v>0</v>
      </c>
      <c r="AG48" s="217"/>
      <c r="AH48" s="217"/>
      <c r="AI48" s="217"/>
      <c r="AJ48" s="334"/>
      <c r="AK48" s="335"/>
      <c r="AL48" s="335"/>
      <c r="AM48" s="322"/>
    </row>
    <row r="49" spans="1:43" ht="54.95" customHeight="1">
      <c r="A49" s="330"/>
      <c r="B49" s="330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  <c r="AA49" s="330"/>
      <c r="AB49" s="330"/>
      <c r="AC49" s="333"/>
      <c r="AD49" s="218">
        <f t="shared" ref="AD49:AD54" si="16">(C37+E37+G37+I37+K37+M37+O37+Q37+S37+U37+W37+Y37)</f>
        <v>0</v>
      </c>
      <c r="AE49" s="218">
        <f t="shared" ref="AE49:AE54" si="17">(E37+F37+I37+J37+M37+N37+Q37+R37+U37+V37+Y37+Z37)</f>
        <v>0</v>
      </c>
      <c r="AF49" s="218">
        <f t="shared" ref="AF49:AF54" si="18">(E37+I37+M37+Q37+U37+Y37)</f>
        <v>0</v>
      </c>
      <c r="AG49" s="218"/>
      <c r="AH49" s="218"/>
      <c r="AI49" s="218"/>
      <c r="AJ49" s="334"/>
      <c r="AK49" s="335"/>
      <c r="AL49" s="335"/>
      <c r="AM49" s="322"/>
    </row>
    <row r="50" spans="1:43" ht="54.95" customHeight="1">
      <c r="A50" s="330"/>
      <c r="B50" s="330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  <c r="AA50" s="330"/>
      <c r="AB50" s="330"/>
      <c r="AC50" s="333"/>
      <c r="AD50" s="218">
        <f t="shared" si="16"/>
        <v>0</v>
      </c>
      <c r="AE50" s="218">
        <f t="shared" si="17"/>
        <v>0</v>
      </c>
      <c r="AF50" s="218">
        <f t="shared" si="18"/>
        <v>0</v>
      </c>
      <c r="AG50" s="218"/>
      <c r="AH50" s="218"/>
      <c r="AI50" s="218"/>
      <c r="AJ50" s="334"/>
      <c r="AK50" s="335"/>
      <c r="AL50" s="335"/>
      <c r="AM50" s="322"/>
    </row>
    <row r="51" spans="1:43" ht="54.95" customHeight="1">
      <c r="A51" s="330"/>
      <c r="B51" s="330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330"/>
      <c r="AB51" s="330"/>
      <c r="AC51" s="333"/>
      <c r="AD51" s="218">
        <f t="shared" si="16"/>
        <v>0</v>
      </c>
      <c r="AE51" s="218">
        <f t="shared" si="17"/>
        <v>0</v>
      </c>
      <c r="AF51" s="218">
        <f t="shared" si="18"/>
        <v>0</v>
      </c>
      <c r="AG51" s="218"/>
      <c r="AH51" s="218"/>
      <c r="AI51" s="218"/>
      <c r="AJ51" s="334"/>
      <c r="AK51" s="335"/>
      <c r="AL51" s="335"/>
      <c r="AM51" s="322"/>
    </row>
    <row r="52" spans="1:43" ht="54.95" customHeight="1">
      <c r="A52" s="330"/>
      <c r="B52" s="330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330"/>
      <c r="AB52" s="330"/>
      <c r="AC52" s="333"/>
      <c r="AD52" s="219">
        <f t="shared" si="16"/>
        <v>0</v>
      </c>
      <c r="AE52" s="219">
        <f t="shared" si="17"/>
        <v>0</v>
      </c>
      <c r="AF52" s="219">
        <f t="shared" si="18"/>
        <v>0</v>
      </c>
      <c r="AG52" s="219"/>
      <c r="AH52" s="219"/>
      <c r="AI52" s="219"/>
      <c r="AJ52" s="334"/>
      <c r="AK52" s="335"/>
      <c r="AL52" s="335"/>
      <c r="AM52" s="322"/>
    </row>
    <row r="53" spans="1:43" ht="54.95" customHeight="1">
      <c r="A53" s="330"/>
      <c r="B53" s="330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0"/>
      <c r="AB53" s="330"/>
      <c r="AC53" s="333"/>
      <c r="AD53" s="220">
        <f t="shared" si="16"/>
        <v>0</v>
      </c>
      <c r="AE53" s="220">
        <f t="shared" si="17"/>
        <v>0</v>
      </c>
      <c r="AF53" s="220">
        <f t="shared" si="18"/>
        <v>0</v>
      </c>
      <c r="AG53" s="220"/>
      <c r="AH53" s="220"/>
      <c r="AI53" s="220"/>
      <c r="AJ53" s="334"/>
      <c r="AK53" s="335"/>
      <c r="AL53" s="335"/>
      <c r="AM53" s="322"/>
    </row>
    <row r="54" spans="1:43" ht="54.95" customHeight="1" thickBot="1">
      <c r="A54" s="330"/>
      <c r="B54" s="330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  <c r="AA54" s="330"/>
      <c r="AB54" s="330"/>
      <c r="AC54" s="333"/>
      <c r="AD54" s="221">
        <f t="shared" si="16"/>
        <v>0</v>
      </c>
      <c r="AE54" s="221">
        <f t="shared" si="17"/>
        <v>0</v>
      </c>
      <c r="AF54" s="221">
        <f t="shared" si="18"/>
        <v>0</v>
      </c>
      <c r="AG54" s="221"/>
      <c r="AH54" s="221"/>
      <c r="AI54" s="221"/>
      <c r="AJ54" s="334"/>
      <c r="AK54" s="335"/>
      <c r="AL54" s="335"/>
      <c r="AM54" s="322"/>
    </row>
    <row r="55" spans="1:43" ht="21" thickTop="1">
      <c r="A55" s="336"/>
      <c r="B55" s="337"/>
      <c r="C55" s="337"/>
      <c r="D55" s="337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37"/>
      <c r="S55" s="336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6"/>
      <c r="AF55" s="337"/>
      <c r="AG55" s="337"/>
      <c r="AH55" s="337"/>
      <c r="AI55" s="337"/>
      <c r="AJ55" s="337"/>
      <c r="AK55" s="337"/>
    </row>
    <row r="56" spans="1:43" ht="20.25">
      <c r="A56" s="336"/>
      <c r="B56" s="337"/>
      <c r="C56" s="337"/>
      <c r="D56" s="337"/>
      <c r="E56" s="337"/>
      <c r="F56" s="337"/>
      <c r="G56" s="337"/>
      <c r="H56" s="337"/>
      <c r="I56" s="337"/>
      <c r="J56" s="337"/>
      <c r="K56" s="337"/>
      <c r="L56" s="337"/>
      <c r="M56" s="337"/>
      <c r="N56" s="337"/>
      <c r="O56" s="337"/>
      <c r="P56" s="337"/>
      <c r="Q56" s="337"/>
      <c r="R56" s="337"/>
      <c r="S56" s="336"/>
      <c r="T56" s="337"/>
      <c r="U56" s="337"/>
      <c r="V56" s="337"/>
      <c r="W56" s="337"/>
      <c r="X56" s="337"/>
      <c r="Y56" s="337"/>
      <c r="Z56" s="337"/>
      <c r="AA56" s="337"/>
      <c r="AB56" s="337"/>
      <c r="AC56" s="337"/>
      <c r="AD56" s="337"/>
      <c r="AE56" s="336"/>
      <c r="AF56" s="337"/>
      <c r="AG56" s="337"/>
      <c r="AH56" s="337"/>
      <c r="AI56" s="337"/>
      <c r="AJ56" s="337"/>
      <c r="AK56" s="337"/>
    </row>
    <row r="57" spans="1:43" ht="20.25">
      <c r="A57" s="336"/>
      <c r="B57" s="337"/>
      <c r="C57" s="337"/>
      <c r="D57" s="337"/>
      <c r="E57" s="337"/>
      <c r="F57" s="337"/>
      <c r="G57" s="337"/>
      <c r="H57" s="337"/>
      <c r="I57" s="337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6"/>
      <c r="AD57" s="337"/>
      <c r="AE57" s="337"/>
      <c r="AF57" s="337"/>
      <c r="AG57" s="337"/>
      <c r="AH57" s="337"/>
      <c r="AI57" s="337"/>
      <c r="AJ57" s="337"/>
      <c r="AK57" s="337"/>
      <c r="AL57" s="336"/>
      <c r="AM57" s="337"/>
      <c r="AN57" s="337"/>
      <c r="AO57" s="337"/>
      <c r="AP57" s="337"/>
      <c r="AQ57" s="337"/>
    </row>
    <row r="58" spans="1:43" ht="20.25">
      <c r="A58" s="336"/>
      <c r="B58" s="337"/>
      <c r="C58" s="337"/>
      <c r="D58" s="337"/>
      <c r="E58" s="337"/>
      <c r="F58" s="337"/>
      <c r="G58" s="337"/>
      <c r="H58" s="337"/>
      <c r="I58" s="337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6"/>
      <c r="AD58" s="337"/>
      <c r="AE58" s="337"/>
      <c r="AF58" s="337"/>
      <c r="AG58" s="337"/>
      <c r="AH58" s="337"/>
      <c r="AI58" s="337"/>
      <c r="AJ58" s="337"/>
      <c r="AK58" s="337"/>
      <c r="AL58" s="336"/>
      <c r="AM58" s="337"/>
      <c r="AN58" s="337"/>
      <c r="AO58" s="337"/>
      <c r="AP58" s="337"/>
      <c r="AQ58" s="337"/>
    </row>
    <row r="59" spans="1:43" ht="20.25">
      <c r="A59" s="336"/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6"/>
      <c r="AD59" s="337"/>
      <c r="AE59" s="337"/>
      <c r="AF59" s="337"/>
      <c r="AG59" s="337"/>
      <c r="AH59" s="337"/>
      <c r="AI59" s="337"/>
      <c r="AJ59" s="337"/>
      <c r="AK59" s="337"/>
      <c r="AL59" s="336"/>
      <c r="AM59" s="337"/>
      <c r="AN59" s="337"/>
      <c r="AO59" s="337"/>
      <c r="AP59" s="337"/>
      <c r="AQ59" s="337"/>
    </row>
    <row r="60" spans="1:43" ht="20.25">
      <c r="A60" s="336"/>
      <c r="B60" s="337"/>
      <c r="C60" s="337"/>
      <c r="D60" s="337"/>
      <c r="E60" s="337"/>
      <c r="F60" s="337"/>
      <c r="G60" s="337"/>
      <c r="H60" s="337"/>
      <c r="I60" s="337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6"/>
      <c r="AD60" s="337"/>
      <c r="AE60" s="337"/>
      <c r="AF60" s="337"/>
      <c r="AG60" s="337"/>
      <c r="AH60" s="337"/>
      <c r="AI60" s="337"/>
      <c r="AJ60" s="337"/>
      <c r="AK60" s="337"/>
      <c r="AL60" s="336"/>
      <c r="AM60" s="337"/>
      <c r="AN60" s="337"/>
      <c r="AO60" s="337"/>
      <c r="AP60" s="337"/>
      <c r="AQ60" s="337"/>
    </row>
    <row r="61" spans="1:43" ht="20.25">
      <c r="A61" s="336"/>
      <c r="B61" s="337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  <c r="V61" s="337"/>
      <c r="W61" s="337"/>
      <c r="X61" s="337"/>
      <c r="Y61" s="337"/>
      <c r="Z61" s="337"/>
      <c r="AA61" s="337"/>
      <c r="AB61" s="337"/>
      <c r="AC61" s="336"/>
      <c r="AD61" s="337"/>
      <c r="AE61" s="337"/>
      <c r="AF61" s="337"/>
      <c r="AG61" s="337"/>
      <c r="AH61" s="337"/>
      <c r="AI61" s="337"/>
      <c r="AJ61" s="337"/>
      <c r="AK61" s="337"/>
      <c r="AL61" s="336"/>
      <c r="AM61" s="337"/>
      <c r="AN61" s="337"/>
      <c r="AO61" s="337"/>
      <c r="AP61" s="337"/>
      <c r="AQ61" s="337"/>
    </row>
    <row r="62" spans="1:43" ht="20.25">
      <c r="A62" s="336"/>
      <c r="B62" s="337"/>
      <c r="C62" s="337"/>
      <c r="D62" s="337"/>
      <c r="E62" s="337"/>
      <c r="F62" s="337"/>
      <c r="G62" s="337"/>
      <c r="H62" s="337"/>
      <c r="I62" s="337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6"/>
      <c r="AD62" s="337"/>
      <c r="AE62" s="337"/>
      <c r="AF62" s="337"/>
      <c r="AG62" s="337"/>
      <c r="AH62" s="337"/>
      <c r="AI62" s="337"/>
      <c r="AJ62" s="337"/>
      <c r="AK62" s="337"/>
      <c r="AL62" s="336"/>
      <c r="AM62" s="337"/>
      <c r="AN62" s="337"/>
      <c r="AO62" s="337"/>
      <c r="AP62" s="337"/>
      <c r="AQ62" s="337"/>
    </row>
    <row r="63" spans="1:43" ht="20.25">
      <c r="F63" s="337"/>
      <c r="G63" s="337"/>
      <c r="H63" s="337"/>
      <c r="I63" s="337"/>
      <c r="J63" s="337"/>
      <c r="K63" s="337"/>
      <c r="L63" s="337"/>
      <c r="M63" s="337"/>
      <c r="S63" s="337"/>
      <c r="T63" s="337"/>
      <c r="U63" s="337"/>
    </row>
    <row r="64" spans="1:43" ht="20.25">
      <c r="F64" s="337"/>
      <c r="G64" s="337"/>
      <c r="H64" s="337"/>
      <c r="I64" s="337"/>
      <c r="J64" s="337"/>
      <c r="K64" s="337"/>
      <c r="L64" s="337"/>
      <c r="M64" s="337"/>
      <c r="S64" s="337"/>
      <c r="T64" s="337"/>
      <c r="U64" s="337"/>
    </row>
  </sheetData>
  <mergeCells count="75">
    <mergeCell ref="AK36:AL36"/>
    <mergeCell ref="A37:B37"/>
    <mergeCell ref="AA37:AB37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  <mergeCell ref="O34:P34"/>
    <mergeCell ref="Q34:R34"/>
    <mergeCell ref="C32:Z32"/>
    <mergeCell ref="A41:B41"/>
    <mergeCell ref="AA41:AB41"/>
    <mergeCell ref="AH32:AH35"/>
    <mergeCell ref="AI32:AI35"/>
    <mergeCell ref="AK37:AL37"/>
    <mergeCell ref="A38:B38"/>
    <mergeCell ref="AA38:AB38"/>
    <mergeCell ref="AK38:AL38"/>
    <mergeCell ref="U34:V34"/>
    <mergeCell ref="W34:X34"/>
    <mergeCell ref="Y34:Z34"/>
    <mergeCell ref="A35:B35"/>
    <mergeCell ref="AA35:AB35"/>
    <mergeCell ref="A36:B36"/>
    <mergeCell ref="AA36:AB36"/>
    <mergeCell ref="I34:J34"/>
    <mergeCell ref="K34:L34"/>
    <mergeCell ref="M34:N34"/>
    <mergeCell ref="AJ32:AL35"/>
    <mergeCell ref="C33:F33"/>
    <mergeCell ref="G33:J33"/>
    <mergeCell ref="K33:N33"/>
    <mergeCell ref="O33:R33"/>
    <mergeCell ref="S33:V33"/>
    <mergeCell ref="AC32:AC35"/>
    <mergeCell ref="AD32:AD35"/>
    <mergeCell ref="AE32:AE35"/>
    <mergeCell ref="W33:Z33"/>
    <mergeCell ref="C34:D34"/>
    <mergeCell ref="E34:F34"/>
    <mergeCell ref="G34:H34"/>
    <mergeCell ref="S34:T34"/>
    <mergeCell ref="AF32:AF35"/>
    <mergeCell ref="AG32:AG35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W9:Z9"/>
    <mergeCell ref="C8:Z8"/>
    <mergeCell ref="C9:F9"/>
    <mergeCell ref="G9:J9"/>
    <mergeCell ref="K9:N9"/>
    <mergeCell ref="O9:R9"/>
    <mergeCell ref="S9:V9"/>
    <mergeCell ref="AI44:AI47"/>
    <mergeCell ref="AJ41:AL41"/>
    <mergeCell ref="AD44:AD47"/>
    <mergeCell ref="AE44:AE47"/>
    <mergeCell ref="AF44:AF47"/>
    <mergeCell ref="AG44:AG47"/>
    <mergeCell ref="AH44:AH47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1"/>
    <pageSetUpPr fitToPage="1"/>
  </sheetPr>
  <dimension ref="A1:P23"/>
  <sheetViews>
    <sheetView zoomScale="85" zoomScaleNormal="85" workbookViewId="0">
      <pane xSplit="2" ySplit="4" topLeftCell="E5" activePane="bottomRight" state="frozen"/>
      <selection activeCell="H28" sqref="H28"/>
      <selection pane="topRight" activeCell="H28" sqref="H28"/>
      <selection pane="bottomLeft" activeCell="H28" sqref="H28"/>
      <selection pane="bottomRight" activeCell="K28" sqref="K28"/>
    </sheetView>
  </sheetViews>
  <sheetFormatPr baseColWidth="10" defaultRowHeight="14.25"/>
  <cols>
    <col min="1" max="1" width="4" style="8" customWidth="1"/>
    <col min="2" max="2" width="60.5" style="8" bestFit="1" customWidth="1"/>
    <col min="3" max="4" width="9" style="2" hidden="1" customWidth="1"/>
    <col min="5" max="5" width="10" style="152" customWidth="1"/>
    <col min="6" max="6" width="7.875" style="2" bestFit="1" customWidth="1"/>
    <col min="7" max="7" width="12.375" style="2" customWidth="1"/>
    <col min="8" max="8" width="9.5" style="2" customWidth="1"/>
    <col min="9" max="9" width="10" style="152" customWidth="1"/>
    <col min="10" max="10" width="9.5" style="2" customWidth="1"/>
    <col min="11" max="11" width="11" style="152"/>
    <col min="12" max="12" width="9.5" style="2" customWidth="1"/>
    <col min="13" max="13" width="11" style="153"/>
    <col min="14" max="14" width="9.5" style="8" customWidth="1"/>
    <col min="15" max="15" width="11" style="153"/>
    <col min="16" max="16" width="13.375" style="2" bestFit="1" customWidth="1"/>
    <col min="17" max="16384" width="11" style="8"/>
  </cols>
  <sheetData>
    <row r="1" spans="1:16" ht="20.25">
      <c r="B1" s="149" t="s">
        <v>144</v>
      </c>
    </row>
    <row r="2" spans="1:16" ht="21" thickBot="1">
      <c r="B2" s="149"/>
    </row>
    <row r="3" spans="1:16" s="150" customFormat="1" ht="21.95" customHeight="1" thickTop="1">
      <c r="A3" s="150" t="s">
        <v>131</v>
      </c>
      <c r="B3" s="510" t="s">
        <v>107</v>
      </c>
      <c r="C3" s="1156" t="s">
        <v>95</v>
      </c>
      <c r="D3" s="1157"/>
      <c r="E3" s="1158" t="s">
        <v>99</v>
      </c>
      <c r="F3" s="1154" t="s">
        <v>100</v>
      </c>
      <c r="G3" s="1157"/>
      <c r="H3" s="1160" t="s">
        <v>103</v>
      </c>
      <c r="I3" s="1161"/>
      <c r="J3" s="1154" t="s">
        <v>104</v>
      </c>
      <c r="K3" s="1157"/>
      <c r="L3" s="1154" t="s">
        <v>105</v>
      </c>
      <c r="M3" s="1157"/>
      <c r="N3" s="1154" t="s">
        <v>106</v>
      </c>
      <c r="O3" s="1155"/>
      <c r="P3" s="853" t="s">
        <v>155</v>
      </c>
    </row>
    <row r="4" spans="1:16" s="150" customFormat="1" ht="21.95" customHeight="1" thickBot="1">
      <c r="A4" s="150" t="s">
        <v>131</v>
      </c>
      <c r="B4" s="511" t="s">
        <v>92</v>
      </c>
      <c r="C4" s="158" t="s">
        <v>96</v>
      </c>
      <c r="D4" s="159" t="s">
        <v>97</v>
      </c>
      <c r="E4" s="1159"/>
      <c r="F4" s="160" t="s">
        <v>101</v>
      </c>
      <c r="G4" s="159" t="s">
        <v>6</v>
      </c>
      <c r="H4" s="161" t="s">
        <v>102</v>
      </c>
      <c r="I4" s="162" t="s">
        <v>101</v>
      </c>
      <c r="J4" s="161" t="s">
        <v>102</v>
      </c>
      <c r="K4" s="162" t="s">
        <v>101</v>
      </c>
      <c r="L4" s="161" t="s">
        <v>102</v>
      </c>
      <c r="M4" s="162" t="s">
        <v>101</v>
      </c>
      <c r="N4" s="161" t="s">
        <v>102</v>
      </c>
      <c r="O4" s="163" t="s">
        <v>101</v>
      </c>
      <c r="P4" s="853" t="s">
        <v>156</v>
      </c>
    </row>
    <row r="5" spans="1:16" ht="21.95" customHeight="1" thickTop="1">
      <c r="A5" s="8" t="s">
        <v>131</v>
      </c>
      <c r="B5" s="164" t="str">
        <f>'ETR_D2 (ex-PN93)'!B1</f>
        <v>ETREMBIERES_D2 route de la Libération / D906a (ex-PN93)</v>
      </c>
      <c r="C5" s="154" t="s">
        <v>133</v>
      </c>
      <c r="D5" s="155" t="s">
        <v>98</v>
      </c>
      <c r="E5" s="675">
        <f>IF('ETR_D2 (ex-PN93)'!$AD53=0,"",'ETR_D2 (ex-PN93)'!$AD53)</f>
        <v>105</v>
      </c>
      <c r="F5" s="676">
        <f>IF('ETR_D2 (ex-PN93)'!$AD54=0,"",'ETR_D2 (ex-PN93)'!$AD54)</f>
        <v>54</v>
      </c>
      <c r="G5" s="677" t="str">
        <f>'ETR_D2 (ex-PN93)'!AB54</f>
        <v>de 7:30 à 8:30</v>
      </c>
      <c r="H5" s="678">
        <f>'ETR_D2 (ex-PN93)'!AE53</f>
        <v>0.64761904761904765</v>
      </c>
      <c r="I5" s="679">
        <f t="shared" ref="I5:I10" si="0">IF($E5="","",$E5*H5)</f>
        <v>68</v>
      </c>
      <c r="J5" s="678">
        <f>'ETR_D2 (ex-PN93)'!AF53</f>
        <v>0.33333333333333331</v>
      </c>
      <c r="K5" s="679">
        <f>IF($E5="","",$E5*J5)</f>
        <v>35</v>
      </c>
      <c r="L5" s="678">
        <f>'ETR_D2 (ex-PN93)'!AG53</f>
        <v>0.88571428571428568</v>
      </c>
      <c r="M5" s="679">
        <f>IF($K5="","",$K5*L5)</f>
        <v>31</v>
      </c>
      <c r="N5" s="678">
        <f>'ETR_D2 (ex-PN93)'!AH53</f>
        <v>0.33333333333333331</v>
      </c>
      <c r="O5" s="680">
        <f>IF($E5="","-",$E5*N5)</f>
        <v>35</v>
      </c>
      <c r="P5" s="2" t="s">
        <v>131</v>
      </c>
    </row>
    <row r="6" spans="1:16" ht="21.95" customHeight="1">
      <c r="A6" s="8" t="s">
        <v>131</v>
      </c>
      <c r="B6" s="165" t="str">
        <f>ETR_Château!B1</f>
        <v>ETREMBIERES_Rte de St-Julien / Rte du Salève (sous château)</v>
      </c>
      <c r="C6" s="156" t="s">
        <v>133</v>
      </c>
      <c r="D6" s="157" t="s">
        <v>98</v>
      </c>
      <c r="E6" s="681">
        <f>IF(ETR_Château!$AE34=0,"",ETR_Château!$AE34)</f>
        <v>51</v>
      </c>
      <c r="F6" s="682">
        <f>IF(ETR_Château!$AE35=0,"",ETR_Château!$AE35)</f>
        <v>31</v>
      </c>
      <c r="G6" s="683" t="str">
        <f>ETR_Château!AC35</f>
        <v>de 7:30 à 8:30</v>
      </c>
      <c r="H6" s="684">
        <f>ETR_Château!AF34</f>
        <v>0.70588235294117652</v>
      </c>
      <c r="I6" s="685">
        <f t="shared" si="0"/>
        <v>36</v>
      </c>
      <c r="J6" s="684">
        <f>ETR_Château!AG34</f>
        <v>0.37254901960784315</v>
      </c>
      <c r="K6" s="685">
        <f t="shared" ref="K6:K15" si="1">IF($E6="","",$E6*J6)</f>
        <v>19</v>
      </c>
      <c r="L6" s="684">
        <f>ETR_Château!AH34</f>
        <v>0.94736842105263153</v>
      </c>
      <c r="M6" s="685">
        <f t="shared" ref="M6:M15" si="2">IF($K6="","",$K6*L6)</f>
        <v>18</v>
      </c>
      <c r="N6" s="684">
        <f>ETR_Château!AI34</f>
        <v>0.92156862745098034</v>
      </c>
      <c r="O6" s="686">
        <f t="shared" ref="O6:O15" si="3">IF($E6="","-",$E6*N6)</f>
        <v>47</v>
      </c>
      <c r="P6" s="2" t="s">
        <v>131</v>
      </c>
    </row>
    <row r="7" spans="1:16" ht="21.95" hidden="1" customHeight="1">
      <c r="B7" s="166" t="str">
        <f>SCI_Bellecombe!B1</f>
        <v>SCIENTRIER_Carrefour vers la Tour de Bellecombe</v>
      </c>
      <c r="C7" s="591" t="s">
        <v>133</v>
      </c>
      <c r="D7" s="592" t="s">
        <v>98</v>
      </c>
      <c r="E7" s="687" t="str">
        <f>IF(SCI_Bellecombe!$AC41=0,"",SCI_Bellecombe!$AC41)</f>
        <v/>
      </c>
      <c r="F7" s="688" t="str">
        <f>IF(SCI_Bellecombe!$AC42=0,"",SCI_Bellecombe!$AC42)</f>
        <v/>
      </c>
      <c r="G7" s="689" t="str">
        <f>SCI_Bellecombe!AA42</f>
        <v>de 6:30 à 7:30</v>
      </c>
      <c r="H7" s="690">
        <f>SCI_Bellecombe!AD41</f>
        <v>0</v>
      </c>
      <c r="I7" s="691" t="str">
        <f t="shared" si="0"/>
        <v/>
      </c>
      <c r="J7" s="690">
        <f>SCI_Bellecombe!AE41</f>
        <v>0</v>
      </c>
      <c r="K7" s="691" t="str">
        <f t="shared" si="1"/>
        <v/>
      </c>
      <c r="L7" s="690">
        <f>SCI_Bellecombe!AF41</f>
        <v>0</v>
      </c>
      <c r="M7" s="691" t="str">
        <f t="shared" si="2"/>
        <v/>
      </c>
      <c r="N7" s="690">
        <f>SCI_Bellecombe!AG41</f>
        <v>0</v>
      </c>
      <c r="O7" s="692" t="str">
        <f t="shared" si="3"/>
        <v>-</v>
      </c>
    </row>
    <row r="8" spans="1:16" ht="21.95" customHeight="1">
      <c r="A8" s="8" t="s">
        <v>131</v>
      </c>
      <c r="B8" s="165" t="str">
        <f>RE_Eglise!B1</f>
        <v>REIGNIER_Giratoire des Jonquilles (devant l'église)</v>
      </c>
      <c r="C8" s="156" t="s">
        <v>133</v>
      </c>
      <c r="D8" s="157" t="s">
        <v>98</v>
      </c>
      <c r="E8" s="681">
        <f>IF(RE_Eglise!$AD53=0,"",RE_Eglise!$AD53)</f>
        <v>51</v>
      </c>
      <c r="F8" s="682">
        <f>IF(RE_Eglise!$AD54=0,"",RE_Eglise!$AD54)</f>
        <v>35</v>
      </c>
      <c r="G8" s="683" t="str">
        <f>RE_Eglise!AB54</f>
        <v>de 7:30 à 8:30</v>
      </c>
      <c r="H8" s="684">
        <f>RE_Eglise!AE53</f>
        <v>0.31372549019607843</v>
      </c>
      <c r="I8" s="685">
        <f t="shared" si="0"/>
        <v>16</v>
      </c>
      <c r="J8" s="684">
        <f>RE_Eglise!AF53</f>
        <v>0.37254901960784315</v>
      </c>
      <c r="K8" s="691">
        <f t="shared" si="1"/>
        <v>19</v>
      </c>
      <c r="L8" s="684">
        <f>RE_Eglise!AG53</f>
        <v>0.36842105263157893</v>
      </c>
      <c r="M8" s="691">
        <f t="shared" si="2"/>
        <v>7</v>
      </c>
      <c r="N8" s="684">
        <f>RE_Eglise!AH53</f>
        <v>0.29411764705882354</v>
      </c>
      <c r="O8" s="686">
        <f t="shared" si="3"/>
        <v>15</v>
      </c>
      <c r="P8" s="2" t="s">
        <v>131</v>
      </c>
    </row>
    <row r="9" spans="1:16" ht="21.95" customHeight="1">
      <c r="A9" s="8" t="s">
        <v>131</v>
      </c>
      <c r="B9" s="165" t="str">
        <f>RE_Foron!B1</f>
        <v>REIGNIER BAS_Giratoire D2 / D202 (vers le Foron)</v>
      </c>
      <c r="C9" s="156" t="s">
        <v>133</v>
      </c>
      <c r="D9" s="157" t="s">
        <v>98</v>
      </c>
      <c r="E9" s="681">
        <f>IF(RE_Foron!$AE34=0,"",RE_Foron!$AE34)</f>
        <v>28</v>
      </c>
      <c r="F9" s="682">
        <f>IF(RE_Foron!$AE35=0,"",RE_Foron!$AE35)</f>
        <v>15</v>
      </c>
      <c r="G9" s="683" t="str">
        <f>RE_Foron!AC35</f>
        <v>de 7:00 à 8:00</v>
      </c>
      <c r="H9" s="684">
        <f>RE_Foron!AF34</f>
        <v>0.4642857142857143</v>
      </c>
      <c r="I9" s="685">
        <f t="shared" si="0"/>
        <v>13</v>
      </c>
      <c r="J9" s="684">
        <f>RE_Foron!AG34</f>
        <v>0.32142857142857145</v>
      </c>
      <c r="K9" s="691">
        <f t="shared" si="1"/>
        <v>9</v>
      </c>
      <c r="L9" s="684">
        <f>RE_Foron!AH34</f>
        <v>1</v>
      </c>
      <c r="M9" s="691">
        <f t="shared" si="2"/>
        <v>9</v>
      </c>
      <c r="N9" s="684">
        <f>RE_Foron!AI34</f>
        <v>0.42857142857142855</v>
      </c>
      <c r="O9" s="686">
        <f t="shared" si="3"/>
        <v>12</v>
      </c>
      <c r="P9" s="2" t="s">
        <v>131</v>
      </c>
    </row>
    <row r="10" spans="1:16" ht="21.95" customHeight="1">
      <c r="A10" s="8" t="s">
        <v>131</v>
      </c>
      <c r="B10" s="507" t="str">
        <f>'RE_La Forge (gir.)'!B1</f>
        <v>REIGNIER_Giratoire de la Forge (en-dessous du Fil des Saisons)</v>
      </c>
      <c r="C10" s="508" t="s">
        <v>133</v>
      </c>
      <c r="D10" s="509" t="s">
        <v>98</v>
      </c>
      <c r="E10" s="681">
        <f>IF('RE_La Forge (gir.)'!$AE34=0,"",'RE_La Forge (gir.)'!$AE34)</f>
        <v>57</v>
      </c>
      <c r="F10" s="682">
        <f>IF('RE_La Forge (gir.)'!$AE35=0,"",'RE_La Forge (gir.)'!$AE35)</f>
        <v>33</v>
      </c>
      <c r="G10" s="683" t="str">
        <f>'RE_La Forge (gir.)'!AC35</f>
        <v>de 7:00 à 8:00</v>
      </c>
      <c r="H10" s="684">
        <f>'RE_La Forge (gir.)'!AF34</f>
        <v>0.49122807017543857</v>
      </c>
      <c r="I10" s="685">
        <f t="shared" si="0"/>
        <v>28</v>
      </c>
      <c r="J10" s="684">
        <f>'RE_La Forge (gir.)'!AG34</f>
        <v>0.2807017543859649</v>
      </c>
      <c r="K10" s="691">
        <f t="shared" si="1"/>
        <v>16</v>
      </c>
      <c r="L10" s="684">
        <f>'RE_La Forge (gir.)'!AH34</f>
        <v>0.875</v>
      </c>
      <c r="M10" s="691">
        <f t="shared" si="2"/>
        <v>14</v>
      </c>
      <c r="N10" s="684">
        <f>'RE_La Forge (gir.)'!AI34</f>
        <v>0.56140350877192979</v>
      </c>
      <c r="O10" s="686">
        <f t="shared" si="3"/>
        <v>32</v>
      </c>
    </row>
    <row r="11" spans="1:16" ht="21.95" customHeight="1">
      <c r="A11" s="8" t="s">
        <v>131</v>
      </c>
      <c r="B11" s="165" t="str">
        <f>PJ_Casino!B1</f>
        <v>PERS-JUSSY_Giratoire de Casino</v>
      </c>
      <c r="C11" s="156" t="s">
        <v>133</v>
      </c>
      <c r="D11" s="157" t="s">
        <v>98</v>
      </c>
      <c r="E11" s="681">
        <f>IF(PJ_Casino!$AD53=0,"",PJ_Casino!$AD53)</f>
        <v>21</v>
      </c>
      <c r="F11" s="682">
        <f>IF(PJ_Casino!$AD54=0,"",PJ_Casino!$AD54)</f>
        <v>11</v>
      </c>
      <c r="G11" s="683" t="str">
        <f>PJ_Casino!AB54</f>
        <v>de 8:00 à 9:00</v>
      </c>
      <c r="H11" s="684">
        <f>PJ_Casino!AE53</f>
        <v>0.5714285714285714</v>
      </c>
      <c r="I11" s="685">
        <f>IF($E10="","",$E10*H10)</f>
        <v>28</v>
      </c>
      <c r="J11" s="684">
        <f>PJ_Casino!AF53</f>
        <v>0.33333333333333331</v>
      </c>
      <c r="K11" s="691">
        <f t="shared" si="1"/>
        <v>7</v>
      </c>
      <c r="L11" s="684">
        <f>PJ_Casino!AG53</f>
        <v>0.8571428571428571</v>
      </c>
      <c r="M11" s="691">
        <f t="shared" si="2"/>
        <v>6</v>
      </c>
      <c r="N11" s="684"/>
      <c r="O11" s="686">
        <f t="shared" si="3"/>
        <v>0</v>
      </c>
      <c r="P11" s="2" t="s">
        <v>131</v>
      </c>
    </row>
    <row r="12" spans="1:16" s="128" customFormat="1" ht="21.95" hidden="1" customHeight="1">
      <c r="B12" s="166" t="str">
        <f>'RE_ex-gendarmerie'!B1</f>
        <v>REIGNIER_Giratoire de l'ancienne gendarmerie</v>
      </c>
      <c r="C12" s="736" t="s">
        <v>133</v>
      </c>
      <c r="D12" s="737" t="s">
        <v>98</v>
      </c>
      <c r="E12" s="687" t="str">
        <f>IF('RE_ex-gendarmerie'!$AD53=0,"",'RE_ex-gendarmerie'!$AD53)</f>
        <v/>
      </c>
      <c r="F12" s="688" t="str">
        <f>IF('RE_ex-gendarmerie'!$AD54=0,"",'RE_ex-gendarmerie'!$AD54)</f>
        <v/>
      </c>
      <c r="G12" s="689" t="str">
        <f>'RE_ex-gendarmerie'!AB54</f>
        <v>de 6:30 à 7:30</v>
      </c>
      <c r="H12" s="690">
        <f>'RE_ex-gendarmerie'!AE53</f>
        <v>0</v>
      </c>
      <c r="I12" s="691" t="str">
        <f t="shared" ref="I12:I15" si="4">IF($E12="","",$E12*H12)</f>
        <v/>
      </c>
      <c r="J12" s="690">
        <f>'RE_ex-gendarmerie'!AF53</f>
        <v>0</v>
      </c>
      <c r="K12" s="691" t="str">
        <f t="shared" si="1"/>
        <v/>
      </c>
      <c r="L12" s="690">
        <f>'RE_ex-gendarmerie'!AG53</f>
        <v>0</v>
      </c>
      <c r="M12" s="691" t="str">
        <f t="shared" si="2"/>
        <v/>
      </c>
      <c r="N12" s="690"/>
      <c r="O12" s="692" t="str">
        <f t="shared" si="3"/>
        <v>-</v>
      </c>
      <c r="P12" s="138"/>
    </row>
    <row r="13" spans="1:16" ht="21.95" customHeight="1" thickBot="1">
      <c r="A13" s="8" t="s">
        <v>131</v>
      </c>
      <c r="B13" s="507" t="str">
        <f>RE_Gare!B1</f>
        <v>REIGNIER_Carrefour Rue de la Gare / Rte de Bellecombe (vers Tour d'Ivoire)</v>
      </c>
      <c r="C13" s="508" t="s">
        <v>133</v>
      </c>
      <c r="D13" s="509" t="s">
        <v>98</v>
      </c>
      <c r="E13" s="693">
        <f>IF(RE_Gare!$AE34=0,"",RE_Gare!$AE34)</f>
        <v>26</v>
      </c>
      <c r="F13" s="694">
        <f>IF(RE_Gare!$AE35=0,"",RE_Gare!$AE35)</f>
        <v>20</v>
      </c>
      <c r="G13" s="695" t="str">
        <f>RE_Gare!AC35</f>
        <v>de 7:00 à 8:00</v>
      </c>
      <c r="H13" s="696">
        <f>RE_Gare!AF34</f>
        <v>0.42307692307692307</v>
      </c>
      <c r="I13" s="697">
        <f>IF($E13="","",$E13*H13)</f>
        <v>11</v>
      </c>
      <c r="J13" s="696">
        <f>RE_Gare!AG34</f>
        <v>0.38461538461538464</v>
      </c>
      <c r="K13" s="697">
        <f>IF($E13="","",$E13*J13)</f>
        <v>10</v>
      </c>
      <c r="L13" s="696">
        <f>RE_Gare!AH34</f>
        <v>0.7</v>
      </c>
      <c r="M13" s="697">
        <f>IF($K13="","",$K13*L13)</f>
        <v>7</v>
      </c>
      <c r="N13" s="696"/>
      <c r="O13" s="698">
        <f>IF($E13="","-",$E13*N13)</f>
        <v>0</v>
      </c>
    </row>
    <row r="14" spans="1:16" s="128" customFormat="1" ht="21.95" hidden="1" customHeight="1">
      <c r="B14" s="166" t="str">
        <f>'RE_Fil Saisons'!B1</f>
        <v>REIGNIER_Carrefour Marsinge / Viaison (au-dessus du Fil des Saisons)</v>
      </c>
      <c r="C14" s="736" t="s">
        <v>133</v>
      </c>
      <c r="D14" s="737" t="s">
        <v>98</v>
      </c>
      <c r="E14" s="687" t="str">
        <f>IF('RE_Fil Saisons'!$AE34=0,"",'RE_Fil Saisons'!$AE34)</f>
        <v/>
      </c>
      <c r="F14" s="688" t="str">
        <f>IF('RE_Fil Saisons'!$AE35=0,"",'RE_Fil Saisons'!$AE35)</f>
        <v/>
      </c>
      <c r="G14" s="689" t="str">
        <f>'RE_Fil Saisons'!AC35</f>
        <v>de 6:30 à 7:30</v>
      </c>
      <c r="H14" s="690">
        <f>'RE_Fil Saisons'!AF34</f>
        <v>0</v>
      </c>
      <c r="I14" s="691" t="str">
        <f t="shared" si="4"/>
        <v/>
      </c>
      <c r="J14" s="690">
        <f>'RE_Fil Saisons'!AG34</f>
        <v>0</v>
      </c>
      <c r="K14" s="691" t="str">
        <f t="shared" si="1"/>
        <v/>
      </c>
      <c r="L14" s="690">
        <f>'RE_Fil Saisons'!AH34</f>
        <v>0</v>
      </c>
      <c r="M14" s="691" t="str">
        <f t="shared" si="2"/>
        <v/>
      </c>
      <c r="N14" s="690">
        <f>'RE_Fil Saisons'!AI34</f>
        <v>0</v>
      </c>
      <c r="O14" s="692" t="str">
        <f t="shared" si="3"/>
        <v>-</v>
      </c>
      <c r="P14" s="138"/>
    </row>
    <row r="15" spans="1:16" s="128" customFormat="1" ht="21.95" hidden="1" customHeight="1" thickBot="1">
      <c r="B15" s="738" t="str">
        <f>'ART_Lavage auto'!B1</f>
        <v>ARTHAZ_Route de Reignier D202 / Route Nationale D1205</v>
      </c>
      <c r="C15" s="739" t="s">
        <v>133</v>
      </c>
      <c r="D15" s="740" t="s">
        <v>98</v>
      </c>
      <c r="E15" s="741" t="str">
        <f>IF('ART_Lavage auto'!$AD53=0,"",'ART_Lavage auto'!$AD53)</f>
        <v/>
      </c>
      <c r="F15" s="742" t="str">
        <f>IF('ART_Lavage auto'!$AD54=0,"",'ART_Lavage auto'!$AD54)</f>
        <v/>
      </c>
      <c r="G15" s="743" t="str">
        <f>'ART_Lavage auto'!AB54</f>
        <v>de 6:30 à 7:30</v>
      </c>
      <c r="H15" s="744">
        <f>'ART_Lavage auto'!AE53</f>
        <v>0</v>
      </c>
      <c r="I15" s="745" t="str">
        <f t="shared" si="4"/>
        <v/>
      </c>
      <c r="J15" s="744">
        <f>'ART_Lavage auto'!AF53</f>
        <v>0</v>
      </c>
      <c r="K15" s="745" t="str">
        <f t="shared" si="1"/>
        <v/>
      </c>
      <c r="L15" s="744">
        <f>'ART_Lavage auto'!AG53</f>
        <v>0</v>
      </c>
      <c r="M15" s="745" t="str">
        <f t="shared" si="2"/>
        <v/>
      </c>
      <c r="N15" s="744">
        <f>'ART_Lavage auto'!AH53</f>
        <v>0</v>
      </c>
      <c r="O15" s="746" t="str">
        <f t="shared" si="3"/>
        <v>-</v>
      </c>
      <c r="P15" s="138"/>
    </row>
    <row r="16" spans="1:16" s="150" customFormat="1" ht="21.95" customHeight="1" thickTop="1" thickBot="1">
      <c r="A16" s="150" t="s">
        <v>131</v>
      </c>
      <c r="B16" s="167" t="str">
        <f>"TOTAL "&amp;RIGHT(B1,4)&amp;" ["&amp;COUNTIF($A$5:$A$15,"X")&amp;" carrefours enquêtés]"</f>
        <v>TOTAL 2024 [7 carrefours enquêtés]</v>
      </c>
      <c r="C16" s="168"/>
      <c r="D16" s="169"/>
      <c r="E16" s="699">
        <f>SUM(E5:E15)</f>
        <v>339</v>
      </c>
      <c r="F16" s="704">
        <f>SUM(F5:F15)</f>
        <v>199</v>
      </c>
      <c r="G16" s="700" t="str">
        <f>G5</f>
        <v>de 7:30 à 8:30</v>
      </c>
      <c r="H16" s="701">
        <f>I16/$E16</f>
        <v>0.58997050147492625</v>
      </c>
      <c r="I16" s="702">
        <f>SUM(I5:I15)</f>
        <v>200</v>
      </c>
      <c r="J16" s="701">
        <f>K16/$E16</f>
        <v>0.33923303834808261</v>
      </c>
      <c r="K16" s="702">
        <f>SUM(K5:K15)</f>
        <v>115</v>
      </c>
      <c r="L16" s="701">
        <f>M16/$E16</f>
        <v>0.27138643067846607</v>
      </c>
      <c r="M16" s="702">
        <f>SUM(M5:M15)</f>
        <v>92</v>
      </c>
      <c r="N16" s="701">
        <f>O16/$E16</f>
        <v>0.41592920353982299</v>
      </c>
      <c r="O16" s="703">
        <f>SUM(O5:O15)</f>
        <v>141</v>
      </c>
      <c r="P16" s="853"/>
    </row>
    <row r="17" spans="1:16" s="150" customFormat="1" ht="21.95" customHeight="1" thickTop="1" thickBot="1">
      <c r="A17" s="150" t="s">
        <v>131</v>
      </c>
      <c r="B17" s="167" t="str">
        <f>"TOTAL "&amp;RIGHT(B1,4)-1&amp;" ["&amp;9&amp;" carrefours enquêtés]"</f>
        <v>TOTAL 2023 [9 carrefours enquêtés]</v>
      </c>
      <c r="C17" s="168"/>
      <c r="D17" s="169"/>
      <c r="E17" s="699">
        <v>386</v>
      </c>
      <c r="F17" s="704">
        <v>235</v>
      </c>
      <c r="G17" s="700" t="s">
        <v>11</v>
      </c>
      <c r="H17" s="701">
        <v>0.50518134715025909</v>
      </c>
      <c r="I17" s="702">
        <v>195</v>
      </c>
      <c r="J17" s="701">
        <v>0.32383419689119169</v>
      </c>
      <c r="K17" s="702">
        <v>125</v>
      </c>
      <c r="L17" s="701">
        <v>0.22797927461139897</v>
      </c>
      <c r="M17" s="702">
        <v>88</v>
      </c>
      <c r="N17" s="701">
        <v>0.39896373056994816</v>
      </c>
      <c r="O17" s="703">
        <v>154</v>
      </c>
      <c r="P17" s="853"/>
    </row>
    <row r="18" spans="1:16" s="150" customFormat="1" ht="21.95" customHeight="1" thickTop="1" thickBot="1">
      <c r="A18" s="150" t="s">
        <v>131</v>
      </c>
      <c r="B18" s="705" t="str">
        <f>"Différence "&amp;RIGHT(B1,4)-1&amp;" - "&amp;RIGHT(B1,4)&amp;" [#]"</f>
        <v>Différence 2023 - 2024 [#]</v>
      </c>
      <c r="C18" s="168"/>
      <c r="D18" s="169"/>
      <c r="E18" s="707">
        <f>E16-E17</f>
        <v>-47</v>
      </c>
      <c r="F18" s="708">
        <f t="shared" ref="F18:O18" si="5">F16-F17</f>
        <v>-36</v>
      </c>
      <c r="G18" s="709"/>
      <c r="H18" s="710">
        <f>H16-H17</f>
        <v>8.478915432466716E-2</v>
      </c>
      <c r="I18" s="711">
        <f t="shared" si="5"/>
        <v>5</v>
      </c>
      <c r="J18" s="710">
        <f t="shared" si="5"/>
        <v>1.539884145689091E-2</v>
      </c>
      <c r="K18" s="711">
        <f t="shared" si="5"/>
        <v>-10</v>
      </c>
      <c r="L18" s="710">
        <f t="shared" si="5"/>
        <v>4.3407156067067104E-2</v>
      </c>
      <c r="M18" s="711">
        <f t="shared" si="5"/>
        <v>4</v>
      </c>
      <c r="N18" s="710">
        <f>N16-N17</f>
        <v>1.6965472969874829E-2</v>
      </c>
      <c r="O18" s="712">
        <f t="shared" si="5"/>
        <v>-13</v>
      </c>
      <c r="P18" s="853"/>
    </row>
    <row r="19" spans="1:16" s="150" customFormat="1" ht="21.95" customHeight="1" thickTop="1" thickBot="1">
      <c r="A19" s="150" t="s">
        <v>131</v>
      </c>
      <c r="B19" s="706" t="str">
        <f>"Différence "&amp;RIGHT(B1,4)-1&amp;" - "&amp;RIGHT(B1,4)&amp;" [%]"</f>
        <v>Différence 2023 - 2024 [%]</v>
      </c>
      <c r="C19" s="168"/>
      <c r="D19" s="169"/>
      <c r="E19" s="713">
        <f>E16/E17-1</f>
        <v>-0.12176165803108807</v>
      </c>
      <c r="F19" s="714">
        <f>F16/F17-1</f>
        <v>-0.15319148936170213</v>
      </c>
      <c r="G19" s="715"/>
      <c r="H19" s="714"/>
      <c r="I19" s="715">
        <f>I16/I17-1</f>
        <v>2.564102564102555E-2</v>
      </c>
      <c r="J19" s="714"/>
      <c r="K19" s="715">
        <f>K16/K17-1</f>
        <v>-7.999999999999996E-2</v>
      </c>
      <c r="L19" s="714"/>
      <c r="M19" s="715">
        <f>M16/M17-1</f>
        <v>4.5454545454545414E-2</v>
      </c>
      <c r="N19" s="714"/>
      <c r="O19" s="716">
        <f>O16/O17-1</f>
        <v>-8.4415584415584388E-2</v>
      </c>
      <c r="P19" s="853"/>
    </row>
    <row r="20" spans="1:16" ht="21.95" customHeight="1" thickTop="1">
      <c r="A20" s="150" t="s">
        <v>131</v>
      </c>
      <c r="H20" s="151" t="s">
        <v>120</v>
      </c>
      <c r="I20" s="152">
        <f>I16-M16</f>
        <v>108</v>
      </c>
      <c r="J20" s="151" t="s">
        <v>119</v>
      </c>
      <c r="K20" s="152">
        <f>E16-K16</f>
        <v>224</v>
      </c>
      <c r="L20" s="8" t="s">
        <v>120</v>
      </c>
      <c r="M20" s="151">
        <f>I20/K20</f>
        <v>0.48214285714285715</v>
      </c>
      <c r="N20" s="151"/>
      <c r="O20" s="152"/>
    </row>
    <row r="21" spans="1:16" s="128" customFormat="1" hidden="1">
      <c r="P21" s="138"/>
    </row>
    <row r="23" spans="1:16">
      <c r="F23" s="151"/>
      <c r="G23" s="151"/>
    </row>
  </sheetData>
  <autoFilter ref="A2:O21">
    <filterColumn colId="0">
      <customFilters>
        <customFilter operator="notEqual" val=" "/>
      </customFilters>
    </filterColumn>
  </autoFilter>
  <mergeCells count="7">
    <mergeCell ref="N3:O3"/>
    <mergeCell ref="C3:D3"/>
    <mergeCell ref="E3:E4"/>
    <mergeCell ref="F3:G3"/>
    <mergeCell ref="H3:I3"/>
    <mergeCell ref="J3:K3"/>
    <mergeCell ref="L3:M3"/>
  </mergeCells>
  <pageMargins left="0.31496062992125984" right="0.31496062992125984" top="0.74803149606299213" bottom="0.74803149606299213" header="0.31496062992125984" footer="0.31496062992125984"/>
  <pageSetup paperSize="9" scale="68" orientation="landscape" r:id="rId1"/>
  <ignoredErrors>
    <ignoredError sqref="B3:O7 C16 O16 B15:C15 B14:C14 O14 O15 G16 B12:O13 C10:D10 B11:H11 J11 B9:H9 J9 B8:J8 L8 L11 L9 N8:O8 N11 N9" formula="1"/>
    <ignoredError sqref="I18:J18 H15 G14:I14 K14:M14 G15 K15:M15 I15 K16:M16 J15 J14 I16 J16 F16 D16 N16 N15 D15:F15 N14 D14:F14" evalError="1" formula="1"/>
    <ignoredError sqref="K18:M18 D17 D18:G18 D19 D20:H20 J20:M20 F19:M19" evalError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view="pageBreakPreview" zoomScaleNormal="85" zoomScaleSheetLayoutView="100" workbookViewId="0"/>
  </sheetViews>
  <sheetFormatPr baseColWidth="10" defaultRowHeight="15" outlineLevelRow="1"/>
  <cols>
    <col min="1" max="1" width="32.375" style="717" customWidth="1"/>
    <col min="2" max="7" width="6.75" style="717" customWidth="1"/>
    <col min="8" max="8" width="32.375" style="717" customWidth="1"/>
    <col min="9" max="13" width="6.75" style="717" customWidth="1"/>
    <col min="14" max="16384" width="11" style="717"/>
  </cols>
  <sheetData>
    <row r="1" spans="1:13" ht="15.75">
      <c r="A1" s="734"/>
      <c r="B1" s="1162" t="s">
        <v>12</v>
      </c>
      <c r="C1" s="1163"/>
      <c r="D1" s="1163"/>
      <c r="E1" s="1164"/>
      <c r="F1" s="1165"/>
      <c r="G1" s="718"/>
      <c r="H1" s="718"/>
      <c r="I1" s="1162" t="s">
        <v>100</v>
      </c>
      <c r="J1" s="1163"/>
      <c r="K1" s="1163"/>
      <c r="L1" s="1164"/>
      <c r="M1" s="1165"/>
    </row>
    <row r="2" spans="1:13" ht="16.5" thickBot="1">
      <c r="A2" s="734"/>
      <c r="B2" s="733">
        <v>2020</v>
      </c>
      <c r="C2" s="732">
        <v>2021</v>
      </c>
      <c r="D2" s="732">
        <v>2022</v>
      </c>
      <c r="E2" s="849">
        <v>2023</v>
      </c>
      <c r="F2" s="731">
        <v>2024</v>
      </c>
      <c r="G2" s="718"/>
      <c r="H2" s="718"/>
      <c r="I2" s="733">
        <v>2020</v>
      </c>
      <c r="J2" s="732">
        <v>2021</v>
      </c>
      <c r="K2" s="732">
        <v>2022</v>
      </c>
      <c r="L2" s="849">
        <v>2023</v>
      </c>
      <c r="M2" s="731">
        <v>2024</v>
      </c>
    </row>
    <row r="3" spans="1:13" ht="30" customHeight="1">
      <c r="A3" s="730" t="s">
        <v>138</v>
      </c>
      <c r="B3" s="729">
        <v>8</v>
      </c>
      <c r="C3" s="728">
        <v>8</v>
      </c>
      <c r="D3" s="728">
        <v>6</v>
      </c>
      <c r="E3" s="850">
        <v>9</v>
      </c>
      <c r="F3" s="727">
        <v>7</v>
      </c>
      <c r="G3" s="718"/>
      <c r="H3" s="730" t="s">
        <v>138</v>
      </c>
      <c r="I3" s="729">
        <v>8</v>
      </c>
      <c r="J3" s="728">
        <v>8</v>
      </c>
      <c r="K3" s="728">
        <v>6</v>
      </c>
      <c r="L3" s="850">
        <v>9</v>
      </c>
      <c r="M3" s="727">
        <v>7</v>
      </c>
    </row>
    <row r="4" spans="1:13" ht="30" customHeight="1">
      <c r="A4" s="726" t="s">
        <v>137</v>
      </c>
      <c r="B4" s="725">
        <v>159</v>
      </c>
      <c r="C4" s="724">
        <v>198</v>
      </c>
      <c r="D4" s="724">
        <v>148</v>
      </c>
      <c r="E4" s="851">
        <v>386</v>
      </c>
      <c r="F4" s="854">
        <v>339</v>
      </c>
      <c r="G4" s="718"/>
      <c r="H4" s="726" t="s">
        <v>163</v>
      </c>
      <c r="I4" s="725">
        <v>95</v>
      </c>
      <c r="J4" s="724">
        <v>128</v>
      </c>
      <c r="K4" s="724">
        <v>96</v>
      </c>
      <c r="L4" s="851">
        <v>235</v>
      </c>
      <c r="M4" s="723">
        <v>199</v>
      </c>
    </row>
    <row r="5" spans="1:13" ht="30" customHeight="1" thickBot="1">
      <c r="A5" s="722" t="s">
        <v>136</v>
      </c>
      <c r="B5" s="721">
        <v>117</v>
      </c>
      <c r="C5" s="720">
        <v>145</v>
      </c>
      <c r="D5" s="720">
        <v>137</v>
      </c>
      <c r="E5" s="852">
        <v>233</v>
      </c>
      <c r="F5" s="719">
        <v>256</v>
      </c>
      <c r="G5" s="718"/>
      <c r="H5" s="722" t="s">
        <v>136</v>
      </c>
      <c r="I5" s="721">
        <v>67</v>
      </c>
      <c r="J5" s="720">
        <v>91</v>
      </c>
      <c r="K5" s="720">
        <v>89</v>
      </c>
      <c r="L5" s="852">
        <v>145</v>
      </c>
      <c r="M5" s="719">
        <v>146</v>
      </c>
    </row>
    <row r="6" spans="1:13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</row>
    <row r="7" spans="1:13">
      <c r="A7" s="718"/>
      <c r="B7" s="718"/>
      <c r="C7" s="718"/>
      <c r="D7" s="718"/>
      <c r="E7" s="718"/>
      <c r="F7" s="718"/>
      <c r="G7" s="718"/>
      <c r="H7" s="718"/>
      <c r="I7" s="718"/>
      <c r="J7" s="718"/>
      <c r="K7" s="718"/>
      <c r="L7" s="718"/>
      <c r="M7" s="718"/>
    </row>
    <row r="8" spans="1:13">
      <c r="A8" s="718"/>
      <c r="B8" s="718"/>
      <c r="C8" s="718"/>
      <c r="D8" s="718"/>
      <c r="E8" s="718"/>
      <c r="F8" s="718"/>
      <c r="G8" s="718"/>
      <c r="H8" s="718"/>
      <c r="I8" s="718"/>
      <c r="J8" s="718"/>
      <c r="K8" s="718"/>
      <c r="L8" s="718"/>
      <c r="M8" s="718"/>
    </row>
    <row r="9" spans="1:13">
      <c r="A9" s="718"/>
      <c r="B9" s="718"/>
      <c r="C9" s="718"/>
      <c r="D9" s="718"/>
      <c r="E9" s="718"/>
      <c r="F9" s="718"/>
      <c r="G9" s="718"/>
      <c r="H9" s="718"/>
      <c r="I9" s="718"/>
      <c r="J9" s="718"/>
      <c r="K9" s="718"/>
      <c r="L9" s="718"/>
      <c r="M9" s="718"/>
    </row>
    <row r="10" spans="1:13">
      <c r="A10" s="718"/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</row>
    <row r="11" spans="1:13">
      <c r="A11" s="718"/>
      <c r="B11" s="718"/>
      <c r="C11" s="718"/>
      <c r="D11" s="718"/>
      <c r="E11" s="718"/>
      <c r="F11" s="718"/>
      <c r="G11" s="718"/>
      <c r="H11" s="718"/>
      <c r="I11" s="718"/>
      <c r="J11" s="718"/>
      <c r="K11" s="718"/>
      <c r="L11" s="718"/>
      <c r="M11" s="718"/>
    </row>
    <row r="12" spans="1:13">
      <c r="A12" s="718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</row>
    <row r="13" spans="1:13">
      <c r="A13" s="718"/>
      <c r="B13" s="718"/>
      <c r="C13" s="718"/>
      <c r="D13" s="718"/>
      <c r="E13" s="718"/>
      <c r="F13" s="718"/>
      <c r="G13" s="718"/>
      <c r="H13" s="718"/>
      <c r="I13" s="718"/>
      <c r="J13" s="718"/>
      <c r="K13" s="718"/>
      <c r="L13" s="718"/>
      <c r="M13" s="718"/>
    </row>
    <row r="14" spans="1:13">
      <c r="A14" s="718"/>
      <c r="B14" s="718"/>
      <c r="C14" s="718"/>
      <c r="D14" s="718"/>
      <c r="E14" s="718"/>
      <c r="F14" s="718"/>
      <c r="G14" s="718"/>
      <c r="H14" s="718"/>
      <c r="I14" s="718"/>
      <c r="J14" s="718"/>
      <c r="K14" s="718"/>
      <c r="L14" s="718"/>
      <c r="M14" s="718"/>
    </row>
    <row r="15" spans="1:13">
      <c r="A15" s="718"/>
      <c r="B15" s="718"/>
      <c r="C15" s="718"/>
      <c r="D15" s="718"/>
      <c r="E15" s="718"/>
      <c r="F15" s="718"/>
      <c r="G15" s="718"/>
      <c r="H15" s="718"/>
      <c r="I15" s="718"/>
      <c r="J15" s="718"/>
      <c r="K15" s="718"/>
      <c r="L15" s="718"/>
      <c r="M15" s="718"/>
    </row>
    <row r="16" spans="1:13">
      <c r="A16" s="718"/>
      <c r="B16" s="718"/>
      <c r="C16" s="718"/>
      <c r="D16" s="718"/>
      <c r="E16" s="718"/>
      <c r="F16" s="718"/>
      <c r="G16" s="718"/>
      <c r="H16" s="718"/>
      <c r="I16" s="718"/>
      <c r="J16" s="718"/>
      <c r="K16" s="718"/>
      <c r="L16" s="718"/>
      <c r="M16" s="718"/>
    </row>
    <row r="17" spans="1:13">
      <c r="A17" s="718"/>
      <c r="B17" s="718"/>
      <c r="C17" s="718"/>
      <c r="D17" s="718"/>
      <c r="E17" s="718"/>
      <c r="F17" s="718"/>
      <c r="G17" s="718"/>
      <c r="H17" s="718"/>
      <c r="I17" s="718"/>
      <c r="J17" s="718"/>
      <c r="K17" s="718"/>
      <c r="L17" s="718"/>
      <c r="M17" s="718"/>
    </row>
    <row r="18" spans="1:13">
      <c r="A18" s="718"/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718"/>
      <c r="M18" s="718"/>
    </row>
    <row r="19" spans="1:13">
      <c r="A19" s="718"/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</row>
    <row r="20" spans="1:13" ht="8.25" customHeight="1">
      <c r="A20" s="718"/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</row>
    <row r="21" spans="1:13" ht="15.75" thickBot="1"/>
    <row r="22" spans="1:13" ht="15.75" outlineLevel="1">
      <c r="A22" s="734"/>
      <c r="B22" s="1162" t="s">
        <v>158</v>
      </c>
      <c r="C22" s="1163"/>
      <c r="D22" s="1163"/>
      <c r="E22" s="1164"/>
      <c r="F22" s="1165"/>
      <c r="G22" s="718"/>
      <c r="H22" s="734"/>
      <c r="I22" s="1162" t="s">
        <v>172</v>
      </c>
      <c r="J22" s="1163"/>
      <c r="K22" s="1163"/>
      <c r="L22" s="1164"/>
      <c r="M22" s="1165"/>
    </row>
    <row r="23" spans="1:13" ht="16.5" outlineLevel="1" thickBot="1">
      <c r="A23" s="734"/>
      <c r="B23" s="733">
        <v>2020</v>
      </c>
      <c r="C23" s="732">
        <v>2021</v>
      </c>
      <c r="D23" s="732">
        <v>2022</v>
      </c>
      <c r="E23" s="849">
        <v>2023</v>
      </c>
      <c r="F23" s="731">
        <v>2024</v>
      </c>
      <c r="G23" s="718"/>
      <c r="H23" s="734"/>
      <c r="I23" s="733">
        <v>2020</v>
      </c>
      <c r="J23" s="732">
        <v>2021</v>
      </c>
      <c r="K23" s="732">
        <v>2022</v>
      </c>
      <c r="L23" s="849">
        <v>2023</v>
      </c>
      <c r="M23" s="731">
        <v>2024</v>
      </c>
    </row>
    <row r="24" spans="1:13" ht="30" customHeight="1" outlineLevel="1">
      <c r="A24" s="730" t="s">
        <v>138</v>
      </c>
      <c r="B24" s="729">
        <v>8</v>
      </c>
      <c r="C24" s="728">
        <v>8</v>
      </c>
      <c r="D24" s="728">
        <v>6</v>
      </c>
      <c r="E24" s="850">
        <v>9</v>
      </c>
      <c r="F24" s="727">
        <v>7</v>
      </c>
      <c r="G24" s="718"/>
      <c r="H24" s="730" t="s">
        <v>138</v>
      </c>
      <c r="I24" s="729">
        <v>8</v>
      </c>
      <c r="J24" s="728">
        <v>8</v>
      </c>
      <c r="K24" s="728">
        <v>6</v>
      </c>
      <c r="L24" s="850">
        <v>9</v>
      </c>
      <c r="M24" s="727">
        <v>7</v>
      </c>
    </row>
    <row r="25" spans="1:13" ht="30" customHeight="1" outlineLevel="1">
      <c r="A25" s="726" t="s">
        <v>164</v>
      </c>
      <c r="B25" s="855">
        <v>44.97</v>
      </c>
      <c r="C25" s="724">
        <v>94</v>
      </c>
      <c r="D25" s="724">
        <v>73</v>
      </c>
      <c r="E25" s="851">
        <v>195</v>
      </c>
      <c r="F25" s="854">
        <v>200</v>
      </c>
      <c r="G25" s="718"/>
      <c r="H25" s="726" t="s">
        <v>173</v>
      </c>
      <c r="I25" s="858">
        <f>B25/B4</f>
        <v>0.28283018867924525</v>
      </c>
      <c r="J25" s="859">
        <f t="shared" ref="J25:M25" si="0">C25/C4</f>
        <v>0.47474747474747475</v>
      </c>
      <c r="K25" s="859">
        <f t="shared" si="0"/>
        <v>0.49324324324324326</v>
      </c>
      <c r="L25" s="860">
        <f t="shared" si="0"/>
        <v>0.50518134715025909</v>
      </c>
      <c r="M25" s="861">
        <f t="shared" si="0"/>
        <v>0.58997050147492625</v>
      </c>
    </row>
    <row r="26" spans="1:13" ht="30" customHeight="1" outlineLevel="1" thickBot="1">
      <c r="A26" s="722" t="s">
        <v>157</v>
      </c>
      <c r="B26" s="856">
        <v>33.89</v>
      </c>
      <c r="C26" s="720">
        <v>67</v>
      </c>
      <c r="D26" s="720">
        <v>66</v>
      </c>
      <c r="E26" s="852">
        <v>118</v>
      </c>
      <c r="F26" s="719">
        <v>161</v>
      </c>
      <c r="G26" s="718"/>
      <c r="H26" s="722" t="s">
        <v>174</v>
      </c>
      <c r="I26" s="862">
        <f t="shared" ref="I26:M26" si="1">B26/B5</f>
        <v>0.28965811965811966</v>
      </c>
      <c r="J26" s="863">
        <f t="shared" si="1"/>
        <v>0.46206896551724136</v>
      </c>
      <c r="K26" s="863">
        <f t="shared" si="1"/>
        <v>0.48175182481751827</v>
      </c>
      <c r="L26" s="864">
        <f t="shared" si="1"/>
        <v>0.50643776824034337</v>
      </c>
      <c r="M26" s="865">
        <f t="shared" si="1"/>
        <v>0.62890625</v>
      </c>
    </row>
    <row r="27" spans="1:13" outlineLevel="1">
      <c r="A27" s="718"/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718"/>
      <c r="M27" s="718"/>
    </row>
    <row r="28" spans="1:13" outlineLevel="1">
      <c r="A28" s="718"/>
      <c r="B28" s="718"/>
      <c r="C28" s="718"/>
      <c r="D28" s="718"/>
      <c r="E28" s="718"/>
      <c r="F28" s="718"/>
      <c r="G28" s="718"/>
      <c r="H28" s="718"/>
      <c r="I28" s="718"/>
      <c r="J28" s="718"/>
      <c r="K28" s="718"/>
      <c r="L28" s="718"/>
      <c r="M28" s="718"/>
    </row>
    <row r="29" spans="1:13" outlineLevel="1">
      <c r="A29" s="718"/>
      <c r="B29" s="718"/>
      <c r="C29" s="718"/>
      <c r="D29" s="718"/>
      <c r="E29" s="718"/>
      <c r="F29" s="718"/>
      <c r="G29" s="718"/>
      <c r="H29" s="718"/>
      <c r="I29" s="718"/>
      <c r="J29" s="718"/>
      <c r="K29" s="718"/>
      <c r="L29" s="718"/>
      <c r="M29" s="718"/>
    </row>
    <row r="30" spans="1:13" outlineLevel="1">
      <c r="A30" s="718"/>
      <c r="B30" s="718"/>
      <c r="C30" s="718"/>
      <c r="D30" s="718"/>
      <c r="E30" s="718"/>
      <c r="F30" s="718"/>
      <c r="G30" s="718"/>
      <c r="H30" s="718"/>
      <c r="I30" s="718"/>
      <c r="J30" s="718"/>
      <c r="K30" s="718"/>
      <c r="L30" s="718"/>
      <c r="M30" s="718"/>
    </row>
    <row r="31" spans="1:13" outlineLevel="1">
      <c r="A31" s="718"/>
      <c r="B31" s="718"/>
      <c r="C31" s="718"/>
      <c r="D31" s="718"/>
      <c r="E31" s="718"/>
      <c r="F31" s="718"/>
      <c r="G31" s="718"/>
      <c r="H31" s="718"/>
      <c r="I31" s="718"/>
      <c r="J31" s="718"/>
      <c r="K31" s="718"/>
      <c r="L31" s="718"/>
      <c r="M31" s="718"/>
    </row>
    <row r="32" spans="1:13" outlineLevel="1">
      <c r="A32" s="718"/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</row>
    <row r="33" spans="1:13" outlineLevel="1">
      <c r="A33" s="718"/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8"/>
    </row>
    <row r="34" spans="1:13" outlineLevel="1">
      <c r="A34" s="718"/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</row>
    <row r="35" spans="1:13" outlineLevel="1">
      <c r="A35" s="718"/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</row>
    <row r="36" spans="1:13" outlineLevel="1">
      <c r="A36" s="718"/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</row>
    <row r="37" spans="1:13" outlineLevel="1">
      <c r="A37" s="718"/>
      <c r="B37" s="718"/>
      <c r="C37" s="718"/>
      <c r="D37" s="718"/>
      <c r="E37" s="718"/>
      <c r="F37" s="718"/>
      <c r="G37" s="718"/>
      <c r="H37" s="718"/>
      <c r="I37" s="718"/>
      <c r="J37" s="718"/>
      <c r="K37" s="718"/>
      <c r="L37" s="718"/>
      <c r="M37" s="718"/>
    </row>
    <row r="38" spans="1:13" outlineLevel="1">
      <c r="A38" s="718"/>
      <c r="B38" s="718"/>
      <c r="C38" s="718"/>
      <c r="D38" s="718"/>
      <c r="E38" s="718"/>
      <c r="F38" s="718"/>
      <c r="G38" s="718"/>
      <c r="H38" s="718"/>
      <c r="I38" s="718"/>
      <c r="J38" s="718"/>
      <c r="K38" s="718"/>
      <c r="L38" s="718"/>
      <c r="M38" s="718"/>
    </row>
    <row r="39" spans="1:13" outlineLevel="1">
      <c r="A39" s="718"/>
      <c r="B39" s="718"/>
      <c r="C39" s="718"/>
      <c r="D39" s="718"/>
      <c r="E39" s="718"/>
      <c r="F39" s="718"/>
      <c r="G39" s="718"/>
      <c r="H39" s="718"/>
      <c r="I39" s="718"/>
      <c r="J39" s="718"/>
      <c r="K39" s="718"/>
      <c r="L39" s="718"/>
      <c r="M39" s="718"/>
    </row>
    <row r="40" spans="1:13" outlineLevel="1">
      <c r="A40" s="718"/>
      <c r="B40" s="718"/>
      <c r="C40" s="718"/>
      <c r="D40" s="718"/>
      <c r="E40" s="718"/>
      <c r="F40" s="718"/>
      <c r="G40" s="718"/>
      <c r="H40" s="718"/>
      <c r="I40" s="718"/>
      <c r="J40" s="718"/>
      <c r="K40" s="718"/>
      <c r="L40" s="718"/>
      <c r="M40" s="718"/>
    </row>
    <row r="41" spans="1:13" ht="8.25" customHeight="1" outlineLevel="1">
      <c r="A41" s="718"/>
      <c r="B41" s="718"/>
      <c r="C41" s="718"/>
      <c r="D41" s="718"/>
      <c r="E41" s="718"/>
      <c r="F41" s="718"/>
      <c r="G41" s="718"/>
      <c r="H41" s="718"/>
      <c r="I41" s="718"/>
      <c r="J41" s="718"/>
      <c r="K41" s="718"/>
      <c r="L41" s="718"/>
      <c r="M41" s="718"/>
    </row>
    <row r="42" spans="1:13" ht="15.75" thickBot="1"/>
    <row r="43" spans="1:13" ht="15.75" outlineLevel="1">
      <c r="A43" s="718"/>
      <c r="B43" s="1162" t="s">
        <v>159</v>
      </c>
      <c r="C43" s="1163"/>
      <c r="D43" s="1163"/>
      <c r="E43" s="1164"/>
      <c r="F43" s="1165"/>
      <c r="H43" s="718"/>
      <c r="I43" s="1162" t="s">
        <v>169</v>
      </c>
      <c r="J43" s="1163"/>
      <c r="K43" s="1163"/>
      <c r="L43" s="1164"/>
      <c r="M43" s="1165"/>
    </row>
    <row r="44" spans="1:13" ht="16.5" outlineLevel="1" thickBot="1">
      <c r="A44" s="718"/>
      <c r="B44" s="733">
        <v>2020</v>
      </c>
      <c r="C44" s="732">
        <v>2021</v>
      </c>
      <c r="D44" s="732">
        <v>2022</v>
      </c>
      <c r="E44" s="849">
        <v>2023</v>
      </c>
      <c r="F44" s="731">
        <v>2024</v>
      </c>
      <c r="H44" s="718"/>
      <c r="I44" s="733">
        <v>2020</v>
      </c>
      <c r="J44" s="732">
        <v>2021</v>
      </c>
      <c r="K44" s="732">
        <v>2022</v>
      </c>
      <c r="L44" s="849">
        <v>2023</v>
      </c>
      <c r="M44" s="731">
        <v>2024</v>
      </c>
    </row>
    <row r="45" spans="1:13" ht="30" customHeight="1" outlineLevel="1">
      <c r="A45" s="730" t="s">
        <v>138</v>
      </c>
      <c r="B45" s="729">
        <v>8</v>
      </c>
      <c r="C45" s="728">
        <v>8</v>
      </c>
      <c r="D45" s="728">
        <v>6</v>
      </c>
      <c r="E45" s="850">
        <v>9</v>
      </c>
      <c r="F45" s="727">
        <v>7</v>
      </c>
      <c r="H45" s="730" t="s">
        <v>138</v>
      </c>
      <c r="I45" s="729">
        <v>8</v>
      </c>
      <c r="J45" s="728">
        <v>8</v>
      </c>
      <c r="K45" s="728">
        <v>6</v>
      </c>
      <c r="L45" s="850">
        <v>9</v>
      </c>
      <c r="M45" s="727">
        <v>7</v>
      </c>
    </row>
    <row r="46" spans="1:13" ht="30" customHeight="1" outlineLevel="1">
      <c r="A46" s="726" t="s">
        <v>165</v>
      </c>
      <c r="B46" s="855">
        <v>19.020000000000003</v>
      </c>
      <c r="C46" s="724">
        <v>46</v>
      </c>
      <c r="D46" s="724">
        <v>33</v>
      </c>
      <c r="E46" s="851">
        <v>125</v>
      </c>
      <c r="F46" s="723">
        <v>115</v>
      </c>
      <c r="H46" s="726" t="s">
        <v>170</v>
      </c>
      <c r="I46" s="858">
        <f>B46/B4</f>
        <v>0.11962264150943398</v>
      </c>
      <c r="J46" s="859">
        <f t="shared" ref="J46:M46" si="2">C46/C4</f>
        <v>0.23232323232323232</v>
      </c>
      <c r="K46" s="859">
        <f t="shared" si="2"/>
        <v>0.22297297297297297</v>
      </c>
      <c r="L46" s="860">
        <f t="shared" si="2"/>
        <v>0.32383419689119169</v>
      </c>
      <c r="M46" s="861">
        <f t="shared" si="2"/>
        <v>0.33923303834808261</v>
      </c>
    </row>
    <row r="47" spans="1:13" ht="30" customHeight="1" outlineLevel="1" thickBot="1">
      <c r="A47" s="722" t="s">
        <v>160</v>
      </c>
      <c r="B47" s="856">
        <v>13.940000000000001</v>
      </c>
      <c r="C47" s="720">
        <v>36</v>
      </c>
      <c r="D47" s="720">
        <v>32</v>
      </c>
      <c r="E47" s="852">
        <v>73</v>
      </c>
      <c r="F47" s="719">
        <v>89</v>
      </c>
      <c r="H47" s="722" t="s">
        <v>171</v>
      </c>
      <c r="I47" s="862">
        <f t="shared" ref="I47:M47" si="3">B47/B5</f>
        <v>0.11914529914529916</v>
      </c>
      <c r="J47" s="863">
        <f t="shared" si="3"/>
        <v>0.24827586206896551</v>
      </c>
      <c r="K47" s="863">
        <f t="shared" si="3"/>
        <v>0.23357664233576642</v>
      </c>
      <c r="L47" s="864">
        <f t="shared" si="3"/>
        <v>0.31330472103004292</v>
      </c>
      <c r="M47" s="865">
        <f t="shared" si="3"/>
        <v>0.34765625</v>
      </c>
    </row>
    <row r="48" spans="1:13" outlineLevel="1">
      <c r="A48" s="718"/>
      <c r="B48" s="718"/>
      <c r="C48" s="718"/>
      <c r="D48" s="718"/>
      <c r="E48" s="718"/>
      <c r="F48" s="718"/>
    </row>
    <row r="49" spans="1:13" outlineLevel="1">
      <c r="A49" s="718"/>
      <c r="B49" s="718"/>
      <c r="C49" s="718"/>
      <c r="D49" s="718"/>
      <c r="E49" s="718"/>
      <c r="F49" s="718"/>
      <c r="I49" s="857"/>
      <c r="J49" s="857"/>
      <c r="K49" s="857"/>
      <c r="L49" s="857"/>
      <c r="M49" s="857"/>
    </row>
    <row r="50" spans="1:13" outlineLevel="1">
      <c r="A50" s="718"/>
      <c r="B50" s="718"/>
      <c r="C50" s="718"/>
      <c r="D50" s="718"/>
      <c r="E50" s="718"/>
      <c r="F50" s="718"/>
      <c r="I50" s="857"/>
      <c r="J50" s="857"/>
      <c r="K50" s="857"/>
      <c r="L50" s="857"/>
      <c r="M50" s="857"/>
    </row>
    <row r="51" spans="1:13" outlineLevel="1">
      <c r="A51" s="718"/>
      <c r="B51" s="718"/>
      <c r="C51" s="718"/>
      <c r="D51" s="718"/>
      <c r="E51" s="718"/>
      <c r="F51" s="718"/>
    </row>
    <row r="52" spans="1:13" outlineLevel="1">
      <c r="A52" s="718"/>
      <c r="B52" s="718"/>
      <c r="C52" s="718"/>
      <c r="D52" s="718"/>
      <c r="E52" s="718"/>
      <c r="F52" s="718"/>
    </row>
    <row r="53" spans="1:13" outlineLevel="1">
      <c r="A53" s="718"/>
      <c r="B53" s="718"/>
      <c r="C53" s="718"/>
      <c r="D53" s="718"/>
      <c r="E53" s="718"/>
      <c r="F53" s="718"/>
    </row>
    <row r="54" spans="1:13" outlineLevel="1">
      <c r="A54" s="718"/>
      <c r="B54" s="718"/>
      <c r="C54" s="718"/>
      <c r="D54" s="718"/>
      <c r="E54" s="718"/>
      <c r="F54" s="718"/>
    </row>
    <row r="55" spans="1:13" outlineLevel="1">
      <c r="A55" s="718"/>
      <c r="B55" s="718"/>
      <c r="C55" s="718"/>
      <c r="D55" s="718"/>
      <c r="E55" s="718"/>
      <c r="F55" s="718"/>
    </row>
    <row r="56" spans="1:13" outlineLevel="1">
      <c r="A56" s="718"/>
      <c r="B56" s="718"/>
      <c r="C56" s="718"/>
      <c r="D56" s="718"/>
      <c r="E56" s="718"/>
      <c r="F56" s="718"/>
    </row>
    <row r="57" spans="1:13" outlineLevel="1">
      <c r="A57" s="718"/>
      <c r="B57" s="718"/>
      <c r="C57" s="718"/>
      <c r="D57" s="718"/>
      <c r="E57" s="718"/>
      <c r="F57" s="718"/>
    </row>
    <row r="58" spans="1:13" outlineLevel="1">
      <c r="A58" s="718"/>
      <c r="B58" s="718"/>
      <c r="C58" s="718"/>
      <c r="D58" s="718"/>
      <c r="E58" s="718"/>
      <c r="F58" s="718"/>
    </row>
    <row r="59" spans="1:13" outlineLevel="1">
      <c r="A59" s="718"/>
      <c r="B59" s="718"/>
      <c r="C59" s="718"/>
      <c r="D59" s="718"/>
      <c r="E59" s="718"/>
      <c r="F59" s="718"/>
    </row>
    <row r="60" spans="1:13" outlineLevel="1">
      <c r="A60" s="718"/>
      <c r="B60" s="718"/>
      <c r="C60" s="718"/>
      <c r="D60" s="718"/>
      <c r="E60" s="718"/>
      <c r="F60" s="718"/>
    </row>
    <row r="61" spans="1:13" outlineLevel="1">
      <c r="A61" s="718"/>
      <c r="B61" s="718"/>
      <c r="C61" s="718"/>
      <c r="D61" s="718"/>
      <c r="E61" s="718"/>
      <c r="F61" s="718"/>
    </row>
    <row r="62" spans="1:13" ht="15.75" thickBot="1"/>
    <row r="63" spans="1:13" ht="15.75">
      <c r="A63" s="718"/>
      <c r="B63" s="1162" t="s">
        <v>110</v>
      </c>
      <c r="C63" s="1163"/>
      <c r="D63" s="1163"/>
      <c r="E63" s="1164"/>
      <c r="F63" s="1165"/>
      <c r="H63" s="718"/>
      <c r="I63" s="1162" t="s">
        <v>168</v>
      </c>
      <c r="J63" s="1163"/>
      <c r="K63" s="1163"/>
      <c r="L63" s="1164"/>
      <c r="M63" s="1165"/>
    </row>
    <row r="64" spans="1:13" ht="16.5" thickBot="1">
      <c r="A64" s="718"/>
      <c r="B64" s="733">
        <v>2020</v>
      </c>
      <c r="C64" s="732">
        <v>2021</v>
      </c>
      <c r="D64" s="732">
        <v>2022</v>
      </c>
      <c r="E64" s="849">
        <v>2023</v>
      </c>
      <c r="F64" s="731">
        <v>2024</v>
      </c>
      <c r="H64" s="718"/>
      <c r="I64" s="733">
        <v>2020</v>
      </c>
      <c r="J64" s="732">
        <v>2021</v>
      </c>
      <c r="K64" s="732">
        <v>2022</v>
      </c>
      <c r="L64" s="849">
        <v>2023</v>
      </c>
      <c r="M64" s="731">
        <v>2024</v>
      </c>
    </row>
    <row r="65" spans="1:13" ht="30" customHeight="1">
      <c r="A65" s="730" t="s">
        <v>138</v>
      </c>
      <c r="B65" s="729">
        <v>8</v>
      </c>
      <c r="C65" s="728">
        <v>8</v>
      </c>
      <c r="D65" s="728">
        <v>6</v>
      </c>
      <c r="E65" s="850">
        <v>9</v>
      </c>
      <c r="F65" s="727">
        <v>7</v>
      </c>
      <c r="H65" s="730" t="s">
        <v>138</v>
      </c>
      <c r="I65" s="729">
        <v>8</v>
      </c>
      <c r="J65" s="728">
        <v>8</v>
      </c>
      <c r="K65" s="728">
        <v>6</v>
      </c>
      <c r="L65" s="850">
        <v>9</v>
      </c>
      <c r="M65" s="727">
        <v>7</v>
      </c>
    </row>
    <row r="66" spans="1:13" ht="30" customHeight="1">
      <c r="A66" s="726" t="s">
        <v>162</v>
      </c>
      <c r="B66" s="855">
        <v>12.96</v>
      </c>
      <c r="C66" s="724">
        <v>29</v>
      </c>
      <c r="D66" s="724">
        <v>24</v>
      </c>
      <c r="E66" s="851">
        <v>88</v>
      </c>
      <c r="F66" s="723">
        <v>92</v>
      </c>
      <c r="H66" s="726" t="s">
        <v>166</v>
      </c>
      <c r="I66" s="858">
        <f>B66/B46</f>
        <v>0.68138801261829651</v>
      </c>
      <c r="J66" s="859">
        <f t="shared" ref="J66:M66" si="4">C66/C46</f>
        <v>0.63043478260869568</v>
      </c>
      <c r="K66" s="859">
        <f t="shared" si="4"/>
        <v>0.72727272727272729</v>
      </c>
      <c r="L66" s="860">
        <f t="shared" si="4"/>
        <v>0.70399999999999996</v>
      </c>
      <c r="M66" s="861">
        <f t="shared" si="4"/>
        <v>0.8</v>
      </c>
    </row>
    <row r="67" spans="1:13" ht="30" customHeight="1" thickBot="1">
      <c r="A67" s="722" t="s">
        <v>161</v>
      </c>
      <c r="B67" s="856">
        <v>9.89</v>
      </c>
      <c r="C67" s="720">
        <v>22</v>
      </c>
      <c r="D67" s="720">
        <v>23</v>
      </c>
      <c r="E67" s="852">
        <v>54</v>
      </c>
      <c r="F67" s="719">
        <v>71</v>
      </c>
      <c r="H67" s="722" t="s">
        <v>167</v>
      </c>
      <c r="I67" s="862">
        <f>B67/B47</f>
        <v>0.70946915351506457</v>
      </c>
      <c r="J67" s="863">
        <f t="shared" ref="J67" si="5">C67/C47</f>
        <v>0.61111111111111116</v>
      </c>
      <c r="K67" s="863">
        <f t="shared" ref="K67" si="6">D67/D47</f>
        <v>0.71875</v>
      </c>
      <c r="L67" s="864">
        <f t="shared" ref="L67" si="7">E67/E47</f>
        <v>0.73972602739726023</v>
      </c>
      <c r="M67" s="865">
        <f t="shared" ref="M67" si="8">F67/F47</f>
        <v>0.797752808988764</v>
      </c>
    </row>
    <row r="68" spans="1:13">
      <c r="A68" s="718"/>
      <c r="B68" s="718"/>
      <c r="C68" s="718"/>
      <c r="D68" s="718"/>
      <c r="E68" s="718"/>
      <c r="F68" s="718"/>
      <c r="H68" s="718"/>
      <c r="I68" s="718"/>
      <c r="J68" s="718"/>
      <c r="K68" s="718"/>
      <c r="L68" s="718"/>
      <c r="M68" s="718"/>
    </row>
    <row r="69" spans="1:13">
      <c r="A69" s="718"/>
      <c r="B69" s="718"/>
      <c r="C69" s="718"/>
      <c r="D69" s="718"/>
      <c r="E69" s="718"/>
      <c r="F69" s="718"/>
      <c r="H69" s="718"/>
      <c r="I69" s="718"/>
      <c r="J69" s="718"/>
      <c r="K69" s="718"/>
      <c r="L69" s="718"/>
      <c r="M69" s="718"/>
    </row>
    <row r="70" spans="1:13">
      <c r="A70" s="718"/>
      <c r="B70" s="718"/>
      <c r="C70" s="718"/>
      <c r="D70" s="718"/>
      <c r="E70" s="718"/>
      <c r="F70" s="718"/>
      <c r="H70" s="718"/>
      <c r="I70" s="718"/>
      <c r="J70" s="718"/>
      <c r="K70" s="718"/>
      <c r="L70" s="718"/>
      <c r="M70" s="718"/>
    </row>
    <row r="71" spans="1:13">
      <c r="A71" s="718"/>
      <c r="B71" s="718"/>
      <c r="C71" s="718"/>
      <c r="D71" s="718"/>
      <c r="E71" s="718"/>
      <c r="F71" s="718"/>
      <c r="H71" s="718"/>
      <c r="I71" s="718"/>
      <c r="J71" s="718"/>
      <c r="K71" s="718"/>
      <c r="L71" s="718"/>
      <c r="M71" s="718"/>
    </row>
    <row r="72" spans="1:13">
      <c r="A72" s="718"/>
      <c r="B72" s="718"/>
      <c r="C72" s="718"/>
      <c r="D72" s="718"/>
      <c r="E72" s="718"/>
      <c r="F72" s="718"/>
      <c r="H72" s="718"/>
      <c r="I72" s="718"/>
      <c r="J72" s="718"/>
      <c r="K72" s="718"/>
      <c r="L72" s="718"/>
      <c r="M72" s="718"/>
    </row>
    <row r="73" spans="1:13">
      <c r="A73" s="718"/>
      <c r="B73" s="718"/>
      <c r="C73" s="718"/>
      <c r="D73" s="718"/>
      <c r="E73" s="718"/>
      <c r="F73" s="718"/>
      <c r="H73" s="718"/>
      <c r="I73" s="718"/>
      <c r="J73" s="718"/>
      <c r="K73" s="718"/>
      <c r="L73" s="718"/>
      <c r="M73" s="718"/>
    </row>
    <row r="74" spans="1:13">
      <c r="A74" s="718"/>
      <c r="B74" s="718"/>
      <c r="C74" s="718"/>
      <c r="D74" s="718"/>
      <c r="E74" s="718"/>
      <c r="F74" s="718"/>
      <c r="H74" s="718"/>
      <c r="I74" s="718"/>
      <c r="J74" s="718"/>
      <c r="K74" s="718"/>
      <c r="L74" s="718"/>
      <c r="M74" s="718"/>
    </row>
    <row r="75" spans="1:13">
      <c r="A75" s="718"/>
      <c r="B75" s="718"/>
      <c r="C75" s="718"/>
      <c r="D75" s="718"/>
      <c r="E75" s="718"/>
      <c r="F75" s="718"/>
      <c r="H75" s="718"/>
      <c r="I75" s="718"/>
      <c r="J75" s="718"/>
      <c r="K75" s="718"/>
      <c r="L75" s="718"/>
      <c r="M75" s="718"/>
    </row>
    <row r="76" spans="1:13">
      <c r="A76" s="718"/>
      <c r="B76" s="718"/>
      <c r="C76" s="718"/>
      <c r="D76" s="718"/>
      <c r="E76" s="718"/>
      <c r="F76" s="718"/>
      <c r="H76" s="718"/>
      <c r="I76" s="718"/>
      <c r="J76" s="718"/>
      <c r="K76" s="718"/>
      <c r="L76" s="718"/>
      <c r="M76" s="718"/>
    </row>
    <row r="77" spans="1:13">
      <c r="A77" s="718"/>
      <c r="B77" s="718"/>
      <c r="C77" s="718"/>
      <c r="D77" s="718"/>
      <c r="E77" s="718"/>
      <c r="F77" s="718"/>
      <c r="H77" s="718"/>
      <c r="I77" s="718"/>
      <c r="J77" s="718"/>
      <c r="K77" s="718"/>
      <c r="L77" s="718"/>
      <c r="M77" s="718"/>
    </row>
    <row r="78" spans="1:13">
      <c r="A78" s="718"/>
      <c r="B78" s="718"/>
      <c r="C78" s="718"/>
      <c r="D78" s="718"/>
      <c r="E78" s="718"/>
      <c r="F78" s="718"/>
      <c r="H78" s="718"/>
      <c r="I78" s="718"/>
      <c r="J78" s="718"/>
      <c r="K78" s="718"/>
      <c r="L78" s="718"/>
      <c r="M78" s="718"/>
    </row>
    <row r="79" spans="1:13">
      <c r="A79" s="718"/>
      <c r="B79" s="718"/>
      <c r="C79" s="718"/>
      <c r="D79" s="718"/>
      <c r="E79" s="718"/>
      <c r="F79" s="718"/>
      <c r="H79" s="718"/>
      <c r="I79" s="718"/>
      <c r="J79" s="718"/>
      <c r="K79" s="718"/>
      <c r="L79" s="718"/>
      <c r="M79" s="718"/>
    </row>
    <row r="80" spans="1:13">
      <c r="A80" s="718"/>
      <c r="B80" s="718"/>
      <c r="C80" s="718"/>
      <c r="D80" s="718"/>
      <c r="E80" s="718"/>
      <c r="F80" s="718"/>
      <c r="H80" s="718"/>
      <c r="I80" s="718"/>
      <c r="J80" s="718"/>
      <c r="K80" s="718"/>
      <c r="L80" s="718"/>
      <c r="M80" s="718"/>
    </row>
    <row r="81" spans="1:13">
      <c r="A81" s="718"/>
      <c r="B81" s="718"/>
      <c r="C81" s="718"/>
      <c r="D81" s="718"/>
      <c r="E81" s="718"/>
      <c r="F81" s="718"/>
      <c r="H81" s="718"/>
      <c r="I81" s="718"/>
      <c r="J81" s="718"/>
      <c r="K81" s="718"/>
      <c r="L81" s="718"/>
      <c r="M81" s="718"/>
    </row>
  </sheetData>
  <mergeCells count="8">
    <mergeCell ref="B1:F1"/>
    <mergeCell ref="I1:M1"/>
    <mergeCell ref="B22:F22"/>
    <mergeCell ref="B43:F43"/>
    <mergeCell ref="B63:F63"/>
    <mergeCell ref="I43:M43"/>
    <mergeCell ref="I63:M63"/>
    <mergeCell ref="I22:M22"/>
  </mergeCells>
  <pageMargins left="0.19685039370078741" right="0.19685039370078741" top="0.39370078740157483" bottom="0.39370078740157483" header="0.31496062992125984" footer="0.31496062992125984"/>
  <pageSetup paperSize="9" scale="95" fitToHeight="0" orientation="landscape" r:id="rId1"/>
  <rowBreaks count="3" manualBreakCount="3">
    <brk id="21" max="16383" man="1"/>
    <brk id="42" max="16383" man="1"/>
    <brk id="62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S58"/>
  <sheetViews>
    <sheetView view="pageBreakPreview" zoomScale="40" zoomScaleNormal="40" zoomScaleSheetLayoutView="40" workbookViewId="0">
      <selection activeCell="R17" sqref="R17"/>
    </sheetView>
  </sheetViews>
  <sheetFormatPr baseColWidth="10" defaultRowHeight="14.25" outlineLevelRow="1"/>
  <cols>
    <col min="1" max="1" width="9.125" style="128" customWidth="1"/>
    <col min="2" max="2" width="13.75" style="128" customWidth="1"/>
    <col min="3" max="10" width="12.875" style="128" customWidth="1"/>
    <col min="11" max="11" width="2.625" style="128" customWidth="1"/>
    <col min="12" max="19" width="12.875" style="128" customWidth="1"/>
    <col min="20" max="20" width="2.625" style="128" customWidth="1"/>
    <col min="21" max="28" width="12.875" style="128" customWidth="1"/>
    <col min="29" max="29" width="9.125" style="128" customWidth="1"/>
    <col min="30" max="30" width="13.75" style="128" customWidth="1"/>
    <col min="31" max="38" width="21.125" style="128" customWidth="1"/>
    <col min="39" max="39" width="82.625" style="128" customWidth="1"/>
    <col min="40" max="40" width="21.125" style="128" customWidth="1"/>
    <col min="41" max="45" width="10.625" style="128" customWidth="1"/>
    <col min="46" max="16384" width="11" style="128"/>
  </cols>
  <sheetData>
    <row r="1" spans="1:38" ht="52.5" customHeight="1" thickBot="1">
      <c r="A1" s="283" t="s">
        <v>89</v>
      </c>
      <c r="B1" s="284" t="s">
        <v>94</v>
      </c>
      <c r="C1" s="285"/>
      <c r="D1" s="285"/>
      <c r="E1" s="285"/>
      <c r="F1" s="286"/>
      <c r="G1" s="286"/>
      <c r="H1" s="285"/>
      <c r="I1" s="285"/>
      <c r="J1" s="286"/>
      <c r="K1" s="286"/>
      <c r="L1" s="286"/>
      <c r="M1" s="287"/>
      <c r="N1" s="240" t="s">
        <v>30</v>
      </c>
      <c r="O1" s="241" t="s">
        <v>139</v>
      </c>
      <c r="P1" s="285"/>
      <c r="Q1" s="285"/>
      <c r="R1" s="285"/>
      <c r="S1" s="285"/>
      <c r="T1" s="600"/>
      <c r="U1" s="285"/>
      <c r="V1" s="285"/>
      <c r="W1" s="285"/>
      <c r="X1" s="288"/>
      <c r="Y1" s="289"/>
      <c r="Z1" s="289"/>
      <c r="AA1" s="289"/>
      <c r="AB1" s="290"/>
    </row>
    <row r="2" spans="1:38" ht="52.5" customHeight="1" thickBot="1">
      <c r="A2" s="227" t="s">
        <v>2</v>
      </c>
      <c r="B2" s="228"/>
      <c r="C2" s="228"/>
      <c r="D2" s="228"/>
      <c r="E2" s="228"/>
      <c r="F2" s="228"/>
      <c r="G2" s="284"/>
      <c r="H2" s="285"/>
      <c r="I2" s="285"/>
      <c r="J2" s="285"/>
      <c r="K2" s="600"/>
      <c r="L2" s="285"/>
      <c r="M2" s="285"/>
      <c r="N2" s="285"/>
      <c r="O2" s="285"/>
      <c r="P2" s="285"/>
      <c r="Q2" s="285"/>
      <c r="R2" s="285"/>
      <c r="S2" s="285"/>
      <c r="T2" s="600"/>
      <c r="U2" s="285"/>
      <c r="V2" s="285"/>
      <c r="W2" s="285"/>
      <c r="X2" s="288"/>
      <c r="Y2" s="228"/>
      <c r="Z2" s="228"/>
      <c r="AA2" s="228"/>
      <c r="AB2" s="228"/>
    </row>
    <row r="3" spans="1:38" ht="52.5" customHeight="1" thickBot="1">
      <c r="A3" s="227" t="s">
        <v>3</v>
      </c>
      <c r="B3" s="228"/>
      <c r="C3" s="1172"/>
      <c r="D3" s="1173"/>
      <c r="E3" s="1173"/>
      <c r="F3" s="1173"/>
      <c r="G3" s="1173"/>
      <c r="H3" s="1173"/>
      <c r="I3" s="1173"/>
      <c r="J3" s="1173"/>
      <c r="K3" s="1173"/>
      <c r="L3" s="1173"/>
      <c r="M3" s="1173"/>
      <c r="N3" s="1173"/>
      <c r="O3" s="1173"/>
      <c r="P3" s="1173"/>
      <c r="Q3" s="1173"/>
      <c r="R3" s="1173"/>
      <c r="S3" s="1173"/>
      <c r="T3" s="1173"/>
      <c r="U3" s="1173"/>
      <c r="V3" s="1173"/>
      <c r="W3" s="1173"/>
      <c r="X3" s="1174"/>
      <c r="Y3" s="228"/>
      <c r="Z3" s="228"/>
      <c r="AA3" s="228"/>
      <c r="AB3" s="245"/>
    </row>
    <row r="4" spans="1:38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45"/>
    </row>
    <row r="5" spans="1:38" s="646" customFormat="1" ht="75" customHeight="1">
      <c r="A5" s="639" t="s">
        <v>27</v>
      </c>
      <c r="B5" s="640"/>
      <c r="C5" s="866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666"/>
      <c r="AC5" s="666"/>
    </row>
    <row r="6" spans="1:38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597"/>
      <c r="L6" s="228"/>
      <c r="M6" s="228"/>
      <c r="N6" s="228"/>
      <c r="O6" s="228"/>
      <c r="P6" s="228"/>
      <c r="Q6" s="228"/>
      <c r="R6" s="228"/>
      <c r="S6" s="245"/>
      <c r="T6" s="598"/>
      <c r="U6" s="228"/>
      <c r="V6" s="228"/>
      <c r="W6" s="228"/>
      <c r="X6" s="228"/>
      <c r="Y6" s="228"/>
      <c r="Z6" s="228"/>
      <c r="AA6" s="228"/>
      <c r="AB6" s="245"/>
    </row>
    <row r="7" spans="1:38" ht="32.25" customHeight="1" thickTop="1">
      <c r="A7" s="227"/>
      <c r="B7" s="228"/>
      <c r="C7" s="875" t="s">
        <v>81</v>
      </c>
      <c r="D7" s="876"/>
      <c r="E7" s="876"/>
      <c r="F7" s="876"/>
      <c r="G7" s="876"/>
      <c r="H7" s="876"/>
      <c r="I7" s="876"/>
      <c r="J7" s="876"/>
      <c r="K7" s="664"/>
      <c r="L7" s="876" t="s">
        <v>39</v>
      </c>
      <c r="M7" s="876"/>
      <c r="N7" s="876"/>
      <c r="O7" s="876"/>
      <c r="P7" s="876"/>
      <c r="Q7" s="876"/>
      <c r="R7" s="876"/>
      <c r="S7" s="877"/>
      <c r="T7" s="665"/>
      <c r="U7" s="876" t="s">
        <v>46</v>
      </c>
      <c r="V7" s="876"/>
      <c r="W7" s="876"/>
      <c r="X7" s="876"/>
      <c r="Y7" s="876"/>
      <c r="Z7" s="876"/>
      <c r="AA7" s="876"/>
      <c r="AB7" s="877"/>
      <c r="AC7" s="129"/>
      <c r="AD7" s="129"/>
      <c r="AF7" s="130"/>
      <c r="AG7" s="130"/>
      <c r="AH7" s="130"/>
      <c r="AI7" s="130"/>
      <c r="AJ7" s="130"/>
      <c r="AK7" s="130"/>
      <c r="AL7" s="130"/>
    </row>
    <row r="8" spans="1:38" ht="22.7" customHeight="1">
      <c r="A8" s="227"/>
      <c r="B8" s="228"/>
      <c r="C8" s="878" t="s">
        <v>37</v>
      </c>
      <c r="D8" s="879"/>
      <c r="E8" s="879"/>
      <c r="F8" s="879"/>
      <c r="G8" s="1006" t="s">
        <v>45</v>
      </c>
      <c r="H8" s="1006"/>
      <c r="I8" s="1006"/>
      <c r="J8" s="1006"/>
      <c r="K8" s="583"/>
      <c r="L8" s="879" t="s">
        <v>82</v>
      </c>
      <c r="M8" s="879"/>
      <c r="N8" s="879"/>
      <c r="O8" s="879"/>
      <c r="P8" s="1006" t="s">
        <v>45</v>
      </c>
      <c r="Q8" s="1006"/>
      <c r="R8" s="1006"/>
      <c r="S8" s="1007"/>
      <c r="T8" s="656"/>
      <c r="U8" s="879" t="s">
        <v>37</v>
      </c>
      <c r="V8" s="879"/>
      <c r="W8" s="879"/>
      <c r="X8" s="879"/>
      <c r="Y8" s="1006" t="s">
        <v>82</v>
      </c>
      <c r="Z8" s="1006"/>
      <c r="AA8" s="1006"/>
      <c r="AB8" s="1007"/>
      <c r="AC8" s="129"/>
      <c r="AD8" s="129"/>
    </row>
    <row r="9" spans="1:38" ht="18.600000000000001" customHeight="1" thickBot="1">
      <c r="A9" s="227"/>
      <c r="B9" s="228"/>
      <c r="C9" s="1127" t="s">
        <v>4</v>
      </c>
      <c r="D9" s="1128"/>
      <c r="E9" s="923" t="s">
        <v>5</v>
      </c>
      <c r="F9" s="924"/>
      <c r="G9" s="1129" t="s">
        <v>4</v>
      </c>
      <c r="H9" s="1128"/>
      <c r="I9" s="923" t="s">
        <v>5</v>
      </c>
      <c r="J9" s="924"/>
      <c r="K9" s="624"/>
      <c r="L9" s="1129" t="s">
        <v>4</v>
      </c>
      <c r="M9" s="1128"/>
      <c r="N9" s="923" t="s">
        <v>5</v>
      </c>
      <c r="O9" s="924"/>
      <c r="P9" s="1129" t="s">
        <v>4</v>
      </c>
      <c r="Q9" s="1128"/>
      <c r="R9" s="923" t="s">
        <v>5</v>
      </c>
      <c r="S9" s="930"/>
      <c r="T9" s="624"/>
      <c r="U9" s="1129" t="s">
        <v>4</v>
      </c>
      <c r="V9" s="1128"/>
      <c r="W9" s="923" t="s">
        <v>5</v>
      </c>
      <c r="X9" s="924"/>
      <c r="Y9" s="1129" t="s">
        <v>4</v>
      </c>
      <c r="Z9" s="1128"/>
      <c r="AA9" s="923" t="s">
        <v>5</v>
      </c>
      <c r="AB9" s="930"/>
      <c r="AC9" s="129"/>
      <c r="AD9" s="129"/>
    </row>
    <row r="10" spans="1:38" ht="21" thickTop="1">
      <c r="A10" s="294" t="s">
        <v>6</v>
      </c>
      <c r="B10" s="295" t="s">
        <v>7</v>
      </c>
      <c r="C10" s="247" t="s">
        <v>8</v>
      </c>
      <c r="D10" s="248" t="s">
        <v>9</v>
      </c>
      <c r="E10" s="249" t="s">
        <v>8</v>
      </c>
      <c r="F10" s="250" t="s">
        <v>9</v>
      </c>
      <c r="G10" s="251" t="s">
        <v>8</v>
      </c>
      <c r="H10" s="248" t="s">
        <v>9</v>
      </c>
      <c r="I10" s="249" t="s">
        <v>8</v>
      </c>
      <c r="J10" s="250" t="s">
        <v>9</v>
      </c>
      <c r="K10" s="637"/>
      <c r="L10" s="251" t="s">
        <v>8</v>
      </c>
      <c r="M10" s="248" t="s">
        <v>9</v>
      </c>
      <c r="N10" s="249" t="s">
        <v>8</v>
      </c>
      <c r="O10" s="250" t="s">
        <v>9</v>
      </c>
      <c r="P10" s="251" t="s">
        <v>8</v>
      </c>
      <c r="Q10" s="248" t="s">
        <v>9</v>
      </c>
      <c r="R10" s="249" t="s">
        <v>8</v>
      </c>
      <c r="S10" s="252" t="s">
        <v>9</v>
      </c>
      <c r="T10" s="637"/>
      <c r="U10" s="251" t="s">
        <v>8</v>
      </c>
      <c r="V10" s="248" t="s">
        <v>9</v>
      </c>
      <c r="W10" s="249" t="s">
        <v>8</v>
      </c>
      <c r="X10" s="250" t="s">
        <v>9</v>
      </c>
      <c r="Y10" s="251" t="s">
        <v>8</v>
      </c>
      <c r="Z10" s="248" t="s">
        <v>9</v>
      </c>
      <c r="AA10" s="249" t="s">
        <v>8</v>
      </c>
      <c r="AB10" s="252" t="s">
        <v>9</v>
      </c>
      <c r="AC10" s="129"/>
      <c r="AD10" s="129"/>
      <c r="AE10" s="131"/>
    </row>
    <row r="11" spans="1:38" ht="54.95" hidden="1" customHeight="1" outlineLevel="1">
      <c r="A11" s="297">
        <v>6</v>
      </c>
      <c r="B11" s="298" t="s">
        <v>25</v>
      </c>
      <c r="C11" s="356"/>
      <c r="D11" s="357"/>
      <c r="E11" s="358"/>
      <c r="F11" s="359"/>
      <c r="G11" s="360"/>
      <c r="H11" s="357"/>
      <c r="I11" s="358"/>
      <c r="J11" s="359"/>
      <c r="K11" s="638"/>
      <c r="L11" s="360"/>
      <c r="M11" s="357"/>
      <c r="N11" s="358"/>
      <c r="O11" s="359"/>
      <c r="P11" s="360"/>
      <c r="Q11" s="357"/>
      <c r="R11" s="358"/>
      <c r="S11" s="361"/>
      <c r="T11" s="638"/>
      <c r="U11" s="360"/>
      <c r="V11" s="357"/>
      <c r="W11" s="358"/>
      <c r="X11" s="359"/>
      <c r="Y11" s="360"/>
      <c r="Z11" s="357"/>
      <c r="AA11" s="358"/>
      <c r="AB11" s="361"/>
      <c r="AC11" s="129"/>
      <c r="AD11" s="129"/>
      <c r="AE11" s="138"/>
      <c r="AF11" s="138"/>
      <c r="AG11" s="138"/>
      <c r="AH11" s="138"/>
      <c r="AI11" s="138"/>
      <c r="AJ11" s="138"/>
      <c r="AK11" s="138"/>
      <c r="AL11" s="138"/>
    </row>
    <row r="12" spans="1:38" ht="54.95" hidden="1" customHeight="1" outlineLevel="1">
      <c r="A12" s="297"/>
      <c r="B12" s="298" t="s">
        <v>26</v>
      </c>
      <c r="C12" s="356"/>
      <c r="D12" s="357"/>
      <c r="E12" s="358"/>
      <c r="F12" s="359"/>
      <c r="G12" s="360"/>
      <c r="H12" s="357"/>
      <c r="I12" s="358"/>
      <c r="J12" s="359"/>
      <c r="K12" s="638"/>
      <c r="L12" s="360"/>
      <c r="M12" s="357"/>
      <c r="N12" s="358"/>
      <c r="O12" s="359"/>
      <c r="P12" s="360"/>
      <c r="Q12" s="357"/>
      <c r="R12" s="358"/>
      <c r="S12" s="361"/>
      <c r="T12" s="638"/>
      <c r="U12" s="360"/>
      <c r="V12" s="357"/>
      <c r="W12" s="358"/>
      <c r="X12" s="359"/>
      <c r="Y12" s="360"/>
      <c r="Z12" s="357"/>
      <c r="AA12" s="358"/>
      <c r="AB12" s="361"/>
      <c r="AC12" s="129"/>
      <c r="AD12" s="129"/>
      <c r="AE12" s="138"/>
      <c r="AF12" s="138"/>
      <c r="AG12" s="138"/>
      <c r="AH12" s="138"/>
      <c r="AI12" s="138"/>
      <c r="AJ12" s="138"/>
      <c r="AK12" s="138"/>
      <c r="AL12" s="138"/>
    </row>
    <row r="13" spans="1:38" ht="54.95" customHeight="1" collapsed="1">
      <c r="A13" s="297">
        <v>7</v>
      </c>
      <c r="B13" s="298" t="s">
        <v>140</v>
      </c>
      <c r="C13" s="253"/>
      <c r="D13" s="254"/>
      <c r="E13" s="255"/>
      <c r="F13" s="256"/>
      <c r="G13" s="257"/>
      <c r="H13" s="254"/>
      <c r="I13" s="255"/>
      <c r="J13" s="256"/>
      <c r="K13" s="638"/>
      <c r="L13" s="253"/>
      <c r="M13" s="254"/>
      <c r="N13" s="255"/>
      <c r="O13" s="256"/>
      <c r="P13" s="257"/>
      <c r="Q13" s="254"/>
      <c r="R13" s="255"/>
      <c r="S13" s="256"/>
      <c r="T13" s="638"/>
      <c r="U13" s="253"/>
      <c r="V13" s="254"/>
      <c r="W13" s="255"/>
      <c r="X13" s="256"/>
      <c r="Y13" s="257"/>
      <c r="Z13" s="254"/>
      <c r="AA13" s="255"/>
      <c r="AB13" s="256"/>
      <c r="AC13" s="129"/>
      <c r="AD13" s="129"/>
      <c r="AE13" s="138"/>
      <c r="AF13" s="138"/>
      <c r="AG13" s="138"/>
      <c r="AH13" s="138"/>
      <c r="AI13" s="138"/>
      <c r="AJ13" s="138"/>
      <c r="AK13" s="138"/>
      <c r="AL13" s="138"/>
    </row>
    <row r="14" spans="1:38" ht="54.95" customHeight="1">
      <c r="A14" s="297"/>
      <c r="B14" s="298" t="s">
        <v>141</v>
      </c>
      <c r="C14" s="613"/>
      <c r="D14" s="614"/>
      <c r="E14" s="619"/>
      <c r="F14" s="620"/>
      <c r="G14" s="615"/>
      <c r="H14" s="614"/>
      <c r="I14" s="619"/>
      <c r="J14" s="620"/>
      <c r="K14" s="638"/>
      <c r="L14" s="613"/>
      <c r="M14" s="614"/>
      <c r="N14" s="619"/>
      <c r="O14" s="620"/>
      <c r="P14" s="615"/>
      <c r="Q14" s="614"/>
      <c r="R14" s="619"/>
      <c r="S14" s="620"/>
      <c r="T14" s="638"/>
      <c r="U14" s="613"/>
      <c r="V14" s="614"/>
      <c r="W14" s="619"/>
      <c r="X14" s="620"/>
      <c r="Y14" s="615"/>
      <c r="Z14" s="614"/>
      <c r="AA14" s="619"/>
      <c r="AB14" s="620"/>
      <c r="AC14" s="129"/>
      <c r="AD14" s="129"/>
      <c r="AE14" s="138"/>
      <c r="AF14" s="138"/>
      <c r="AG14" s="138"/>
      <c r="AH14" s="138"/>
      <c r="AI14" s="138"/>
      <c r="AJ14" s="138"/>
      <c r="AK14" s="138"/>
      <c r="AL14" s="138"/>
    </row>
    <row r="15" spans="1:38" ht="54.95" customHeight="1">
      <c r="A15" s="297"/>
      <c r="B15" s="298" t="s">
        <v>142</v>
      </c>
      <c r="C15" s="259"/>
      <c r="D15" s="260"/>
      <c r="E15" s="261"/>
      <c r="F15" s="262"/>
      <c r="G15" s="263"/>
      <c r="H15" s="260"/>
      <c r="I15" s="261"/>
      <c r="J15" s="262"/>
      <c r="K15" s="638"/>
      <c r="L15" s="259"/>
      <c r="M15" s="260"/>
      <c r="N15" s="261"/>
      <c r="O15" s="262"/>
      <c r="P15" s="263"/>
      <c r="Q15" s="260"/>
      <c r="R15" s="261"/>
      <c r="S15" s="262"/>
      <c r="T15" s="638"/>
      <c r="U15" s="259"/>
      <c r="V15" s="260"/>
      <c r="W15" s="261"/>
      <c r="X15" s="262"/>
      <c r="Y15" s="263"/>
      <c r="Z15" s="260"/>
      <c r="AA15" s="261"/>
      <c r="AB15" s="262"/>
      <c r="AC15" s="129"/>
      <c r="AD15" s="129"/>
      <c r="AE15" s="138"/>
      <c r="AF15" s="138"/>
      <c r="AG15" s="138"/>
      <c r="AH15" s="138"/>
      <c r="AI15" s="138"/>
      <c r="AJ15" s="138"/>
      <c r="AK15" s="138"/>
      <c r="AL15" s="138"/>
    </row>
    <row r="16" spans="1:38" ht="54.95" customHeight="1">
      <c r="A16" s="297"/>
      <c r="B16" s="298" t="s">
        <v>143</v>
      </c>
      <c r="C16" s="616"/>
      <c r="D16" s="617"/>
      <c r="E16" s="621"/>
      <c r="F16" s="622"/>
      <c r="G16" s="618"/>
      <c r="H16" s="617"/>
      <c r="I16" s="621"/>
      <c r="J16" s="622"/>
      <c r="K16" s="638"/>
      <c r="L16" s="616"/>
      <c r="M16" s="617"/>
      <c r="N16" s="621"/>
      <c r="O16" s="622"/>
      <c r="P16" s="618"/>
      <c r="Q16" s="617"/>
      <c r="R16" s="621"/>
      <c r="S16" s="622"/>
      <c r="T16" s="638"/>
      <c r="U16" s="616"/>
      <c r="V16" s="617"/>
      <c r="W16" s="621"/>
      <c r="X16" s="622"/>
      <c r="Y16" s="618"/>
      <c r="Z16" s="617"/>
      <c r="AA16" s="621"/>
      <c r="AB16" s="622"/>
      <c r="AC16" s="129"/>
      <c r="AD16" s="129"/>
      <c r="AE16" s="138"/>
      <c r="AF16" s="138"/>
      <c r="AG16" s="138"/>
      <c r="AH16" s="138"/>
      <c r="AI16" s="138"/>
      <c r="AJ16" s="138"/>
      <c r="AK16" s="138"/>
      <c r="AL16" s="138"/>
    </row>
    <row r="17" spans="1:41" ht="54.95" customHeight="1">
      <c r="A17" s="297">
        <v>8</v>
      </c>
      <c r="B17" s="298" t="s">
        <v>140</v>
      </c>
      <c r="C17" s="253"/>
      <c r="D17" s="254"/>
      <c r="E17" s="255"/>
      <c r="F17" s="256"/>
      <c r="G17" s="257"/>
      <c r="H17" s="254"/>
      <c r="I17" s="255"/>
      <c r="J17" s="256"/>
      <c r="K17" s="638"/>
      <c r="L17" s="253"/>
      <c r="M17" s="254"/>
      <c r="N17" s="255"/>
      <c r="O17" s="256"/>
      <c r="P17" s="257"/>
      <c r="Q17" s="254"/>
      <c r="R17" s="255"/>
      <c r="S17" s="256"/>
      <c r="T17" s="638"/>
      <c r="U17" s="253"/>
      <c r="V17" s="254"/>
      <c r="W17" s="255"/>
      <c r="X17" s="256"/>
      <c r="Y17" s="257"/>
      <c r="Z17" s="254"/>
      <c r="AA17" s="255"/>
      <c r="AB17" s="256"/>
      <c r="AC17" s="129"/>
      <c r="AD17" s="129"/>
      <c r="AE17" s="138"/>
      <c r="AF17" s="138"/>
      <c r="AG17" s="138"/>
      <c r="AH17" s="138"/>
      <c r="AI17" s="138"/>
      <c r="AJ17" s="138"/>
      <c r="AK17" s="138"/>
      <c r="AL17" s="138"/>
    </row>
    <row r="18" spans="1:41" ht="54.95" customHeight="1">
      <c r="A18" s="297"/>
      <c r="B18" s="298" t="s">
        <v>141</v>
      </c>
      <c r="C18" s="613"/>
      <c r="D18" s="614"/>
      <c r="E18" s="619"/>
      <c r="F18" s="620"/>
      <c r="G18" s="615"/>
      <c r="H18" s="614"/>
      <c r="I18" s="619"/>
      <c r="J18" s="620"/>
      <c r="K18" s="638"/>
      <c r="L18" s="613"/>
      <c r="M18" s="614"/>
      <c r="N18" s="619"/>
      <c r="O18" s="620"/>
      <c r="P18" s="615"/>
      <c r="Q18" s="614"/>
      <c r="R18" s="619"/>
      <c r="S18" s="620"/>
      <c r="T18" s="638"/>
      <c r="U18" s="613"/>
      <c r="V18" s="614"/>
      <c r="W18" s="619"/>
      <c r="X18" s="620"/>
      <c r="Y18" s="615"/>
      <c r="Z18" s="614"/>
      <c r="AA18" s="619"/>
      <c r="AB18" s="620"/>
      <c r="AC18" s="129"/>
      <c r="AD18" s="129"/>
      <c r="AE18" s="138"/>
      <c r="AF18" s="138"/>
      <c r="AG18" s="138"/>
      <c r="AH18" s="138"/>
      <c r="AI18" s="138"/>
      <c r="AJ18" s="138"/>
      <c r="AK18" s="138"/>
      <c r="AL18" s="138"/>
    </row>
    <row r="19" spans="1:41" ht="54.95" customHeight="1">
      <c r="A19" s="297"/>
      <c r="B19" s="298" t="s">
        <v>142</v>
      </c>
      <c r="C19" s="259"/>
      <c r="D19" s="260"/>
      <c r="E19" s="261"/>
      <c r="F19" s="262"/>
      <c r="G19" s="263"/>
      <c r="H19" s="260"/>
      <c r="I19" s="261"/>
      <c r="J19" s="262"/>
      <c r="K19" s="638"/>
      <c r="L19" s="259"/>
      <c r="M19" s="260"/>
      <c r="N19" s="261"/>
      <c r="O19" s="262"/>
      <c r="P19" s="263"/>
      <c r="Q19" s="260"/>
      <c r="R19" s="261"/>
      <c r="S19" s="262"/>
      <c r="T19" s="638"/>
      <c r="U19" s="259"/>
      <c r="V19" s="260"/>
      <c r="W19" s="261"/>
      <c r="X19" s="262"/>
      <c r="Y19" s="263"/>
      <c r="Z19" s="260"/>
      <c r="AA19" s="261"/>
      <c r="AB19" s="262"/>
      <c r="AC19" s="129"/>
      <c r="AD19" s="129"/>
      <c r="AE19" s="138"/>
      <c r="AF19" s="138"/>
      <c r="AG19" s="138"/>
      <c r="AH19" s="138"/>
      <c r="AI19" s="138"/>
      <c r="AJ19" s="138"/>
      <c r="AK19" s="138"/>
      <c r="AL19" s="138"/>
    </row>
    <row r="20" spans="1:41" ht="54.95" customHeight="1" thickBot="1">
      <c r="A20" s="297"/>
      <c r="B20" s="298" t="s">
        <v>143</v>
      </c>
      <c r="C20" s="616"/>
      <c r="D20" s="617"/>
      <c r="E20" s="621"/>
      <c r="F20" s="622"/>
      <c r="G20" s="618"/>
      <c r="H20" s="617"/>
      <c r="I20" s="621"/>
      <c r="J20" s="622"/>
      <c r="K20" s="638"/>
      <c r="L20" s="616"/>
      <c r="M20" s="617"/>
      <c r="N20" s="621"/>
      <c r="O20" s="622"/>
      <c r="P20" s="618"/>
      <c r="Q20" s="617"/>
      <c r="R20" s="621"/>
      <c r="S20" s="622"/>
      <c r="T20" s="638"/>
      <c r="U20" s="616"/>
      <c r="V20" s="617"/>
      <c r="W20" s="621"/>
      <c r="X20" s="622"/>
      <c r="Y20" s="618"/>
      <c r="Z20" s="617"/>
      <c r="AA20" s="621"/>
      <c r="AB20" s="622"/>
      <c r="AC20" s="129"/>
      <c r="AD20" s="129"/>
      <c r="AE20" s="138"/>
      <c r="AF20" s="138"/>
      <c r="AG20" s="138"/>
      <c r="AH20" s="138"/>
      <c r="AI20" s="138"/>
      <c r="AJ20" s="138"/>
      <c r="AK20" s="138"/>
      <c r="AL20" s="138"/>
    </row>
    <row r="21" spans="1:41" ht="54.95" hidden="1" customHeight="1" outlineLevel="1">
      <c r="A21" s="297">
        <v>9</v>
      </c>
      <c r="B21" s="298" t="s">
        <v>23</v>
      </c>
      <c r="C21" s="356"/>
      <c r="D21" s="357"/>
      <c r="E21" s="358"/>
      <c r="F21" s="359"/>
      <c r="G21" s="360"/>
      <c r="H21" s="357"/>
      <c r="I21" s="358"/>
      <c r="J21" s="359"/>
      <c r="K21" s="638"/>
      <c r="L21" s="360"/>
      <c r="M21" s="357"/>
      <c r="N21" s="358"/>
      <c r="O21" s="359"/>
      <c r="P21" s="360"/>
      <c r="Q21" s="357"/>
      <c r="R21" s="358"/>
      <c r="S21" s="361"/>
      <c r="T21" s="638"/>
      <c r="U21" s="360"/>
      <c r="V21" s="357"/>
      <c r="W21" s="358"/>
      <c r="X21" s="359"/>
      <c r="Y21" s="360"/>
      <c r="Z21" s="357"/>
      <c r="AA21" s="358"/>
      <c r="AB21" s="361"/>
      <c r="AC21" s="129"/>
      <c r="AD21" s="129"/>
      <c r="AE21" s="138"/>
      <c r="AF21" s="138"/>
      <c r="AG21" s="138"/>
      <c r="AH21" s="138"/>
      <c r="AI21" s="138"/>
      <c r="AJ21" s="138"/>
      <c r="AK21" s="138"/>
      <c r="AL21" s="138"/>
    </row>
    <row r="22" spans="1:41" ht="54.95" hidden="1" customHeight="1" outlineLevel="1" thickBot="1">
      <c r="A22" s="300"/>
      <c r="B22" s="301" t="s">
        <v>24</v>
      </c>
      <c r="C22" s="362"/>
      <c r="D22" s="363"/>
      <c r="E22" s="364"/>
      <c r="F22" s="365"/>
      <c r="G22" s="366"/>
      <c r="H22" s="363"/>
      <c r="I22" s="364"/>
      <c r="J22" s="365"/>
      <c r="K22" s="638"/>
      <c r="L22" s="366"/>
      <c r="M22" s="363"/>
      <c r="N22" s="364"/>
      <c r="O22" s="365"/>
      <c r="P22" s="366"/>
      <c r="Q22" s="363"/>
      <c r="R22" s="364"/>
      <c r="S22" s="367"/>
      <c r="T22" s="638"/>
      <c r="U22" s="366"/>
      <c r="V22" s="363"/>
      <c r="W22" s="364"/>
      <c r="X22" s="365"/>
      <c r="Y22" s="366"/>
      <c r="Z22" s="363"/>
      <c r="AA22" s="364"/>
      <c r="AB22" s="367"/>
      <c r="AC22" s="129"/>
      <c r="AD22" s="129"/>
      <c r="AE22" s="138"/>
      <c r="AF22" s="138"/>
      <c r="AG22" s="138"/>
      <c r="AH22" s="138"/>
      <c r="AI22" s="138"/>
      <c r="AJ22" s="138"/>
      <c r="AK22" s="138"/>
      <c r="AL22" s="138"/>
    </row>
    <row r="23" spans="1:41" s="8" customFormat="1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638"/>
      <c r="L23" s="596"/>
      <c r="M23" s="596"/>
      <c r="N23" s="596"/>
      <c r="O23" s="596"/>
      <c r="P23" s="596"/>
      <c r="Q23" s="596"/>
      <c r="R23" s="596"/>
      <c r="S23" s="596"/>
      <c r="T23" s="638"/>
      <c r="U23" s="596"/>
      <c r="V23" s="596"/>
      <c r="W23" s="596"/>
      <c r="X23" s="596"/>
      <c r="Y23" s="596"/>
      <c r="Z23" s="596"/>
      <c r="AA23" s="596"/>
      <c r="AB23" s="596"/>
      <c r="AC23" s="2"/>
      <c r="AD23" s="2"/>
      <c r="AE23" s="2"/>
      <c r="AF23" s="2"/>
      <c r="AG23" s="2"/>
      <c r="AH23" s="2"/>
    </row>
    <row r="24" spans="1:41" s="8" customFormat="1" ht="75" customHeight="1" outlineLevel="1" thickBot="1">
      <c r="A24" s="639"/>
      <c r="B24" s="640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986"/>
      <c r="P24" s="594"/>
      <c r="Q24" s="594"/>
      <c r="R24" s="594"/>
      <c r="S24" s="594"/>
      <c r="T24" s="594"/>
      <c r="U24" s="594"/>
      <c r="V24" s="594"/>
      <c r="W24" s="594"/>
      <c r="X24" s="594"/>
      <c r="Y24" s="594"/>
      <c r="Z24" s="594"/>
      <c r="AA24" s="594"/>
      <c r="AB24" s="595"/>
    </row>
    <row r="25" spans="1:41" ht="32.25" customHeight="1" thickTop="1">
      <c r="A25" s="227"/>
      <c r="B25" s="228"/>
      <c r="C25" s="875" t="str">
        <f>C7</f>
        <v>Depuis 'Esery'</v>
      </c>
      <c r="D25" s="876"/>
      <c r="E25" s="876"/>
      <c r="F25" s="876"/>
      <c r="G25" s="876"/>
      <c r="H25" s="876"/>
      <c r="I25" s="876"/>
      <c r="J25" s="876"/>
      <c r="K25" s="578"/>
      <c r="L25" s="876" t="str">
        <f>L7</f>
        <v>Depuis 'Reignier'</v>
      </c>
      <c r="M25" s="876"/>
      <c r="N25" s="876"/>
      <c r="O25" s="876"/>
      <c r="P25" s="876"/>
      <c r="Q25" s="876"/>
      <c r="R25" s="876"/>
      <c r="S25" s="877"/>
      <c r="T25" s="655"/>
      <c r="U25" s="876" t="str">
        <f>U7</f>
        <v>Depuis 'Annemasse'</v>
      </c>
      <c r="V25" s="876"/>
      <c r="W25" s="876"/>
      <c r="X25" s="876"/>
      <c r="Y25" s="876"/>
      <c r="Z25" s="876"/>
      <c r="AA25" s="876"/>
      <c r="AB25" s="877"/>
      <c r="AC25" s="227"/>
      <c r="AD25" s="228"/>
      <c r="AE25" s="1130" t="s">
        <v>12</v>
      </c>
      <c r="AF25" s="872" t="s">
        <v>14</v>
      </c>
      <c r="AG25" s="1166" t="s">
        <v>15</v>
      </c>
      <c r="AH25" s="1169" t="s">
        <v>18</v>
      </c>
      <c r="AI25" s="872" t="s">
        <v>16</v>
      </c>
      <c r="AJ25" s="872" t="s">
        <v>79</v>
      </c>
      <c r="AK25" s="872" t="s">
        <v>111</v>
      </c>
      <c r="AL25" s="884" t="s">
        <v>31</v>
      </c>
      <c r="AM25" s="885"/>
      <c r="AN25" s="885"/>
      <c r="AO25" s="886"/>
    </row>
    <row r="26" spans="1:41" ht="22.7" customHeight="1">
      <c r="A26" s="227"/>
      <c r="B26" s="228"/>
      <c r="C26" s="878" t="str">
        <f>C8</f>
        <v>vers 'Reignier'</v>
      </c>
      <c r="D26" s="879"/>
      <c r="E26" s="879"/>
      <c r="F26" s="879"/>
      <c r="G26" s="878" t="str">
        <f>G8</f>
        <v>vers 'Annemasse'</v>
      </c>
      <c r="H26" s="879"/>
      <c r="I26" s="879"/>
      <c r="J26" s="879"/>
      <c r="K26" s="583"/>
      <c r="L26" s="878" t="str">
        <f>L8</f>
        <v>vers 'Esery'</v>
      </c>
      <c r="M26" s="879"/>
      <c r="N26" s="879"/>
      <c r="O26" s="879"/>
      <c r="P26" s="878" t="str">
        <f>P8</f>
        <v>vers 'Annemasse'</v>
      </c>
      <c r="Q26" s="879"/>
      <c r="R26" s="879"/>
      <c r="S26" s="879"/>
      <c r="T26" s="583"/>
      <c r="U26" s="878" t="str">
        <f>U8</f>
        <v>vers 'Reignier'</v>
      </c>
      <c r="V26" s="879"/>
      <c r="W26" s="879"/>
      <c r="X26" s="879"/>
      <c r="Y26" s="878" t="str">
        <f>Y8</f>
        <v>vers 'Esery'</v>
      </c>
      <c r="Z26" s="879"/>
      <c r="AA26" s="879"/>
      <c r="AB26" s="880"/>
      <c r="AC26" s="227"/>
      <c r="AD26" s="228"/>
      <c r="AE26" s="1131"/>
      <c r="AF26" s="873"/>
      <c r="AG26" s="1167"/>
      <c r="AH26" s="1170"/>
      <c r="AI26" s="873"/>
      <c r="AJ26" s="873"/>
      <c r="AK26" s="873"/>
      <c r="AL26" s="887"/>
      <c r="AM26" s="888"/>
      <c r="AN26" s="888"/>
      <c r="AO26" s="889"/>
    </row>
    <row r="27" spans="1:41" ht="18.600000000000001" customHeight="1" thickBot="1">
      <c r="A27" s="227"/>
      <c r="B27" s="228"/>
      <c r="C27" s="1127" t="s">
        <v>4</v>
      </c>
      <c r="D27" s="1128"/>
      <c r="E27" s="923" t="s">
        <v>5</v>
      </c>
      <c r="F27" s="924"/>
      <c r="G27" s="1129" t="s">
        <v>4</v>
      </c>
      <c r="H27" s="1128"/>
      <c r="I27" s="923" t="s">
        <v>5</v>
      </c>
      <c r="J27" s="924"/>
      <c r="K27" s="624"/>
      <c r="L27" s="1129" t="s">
        <v>4</v>
      </c>
      <c r="M27" s="1128"/>
      <c r="N27" s="923" t="s">
        <v>5</v>
      </c>
      <c r="O27" s="924"/>
      <c r="P27" s="1129" t="s">
        <v>4</v>
      </c>
      <c r="Q27" s="1128"/>
      <c r="R27" s="923" t="s">
        <v>5</v>
      </c>
      <c r="S27" s="930"/>
      <c r="T27" s="624"/>
      <c r="U27" s="1129" t="s">
        <v>4</v>
      </c>
      <c r="V27" s="1128"/>
      <c r="W27" s="923" t="s">
        <v>5</v>
      </c>
      <c r="X27" s="924"/>
      <c r="Y27" s="1129" t="s">
        <v>4</v>
      </c>
      <c r="Z27" s="1128"/>
      <c r="AA27" s="1136" t="s">
        <v>5</v>
      </c>
      <c r="AB27" s="1137"/>
      <c r="AC27" s="227"/>
      <c r="AD27" s="228"/>
      <c r="AE27" s="1131"/>
      <c r="AF27" s="873"/>
      <c r="AG27" s="1167"/>
      <c r="AH27" s="1170"/>
      <c r="AI27" s="873"/>
      <c r="AJ27" s="873"/>
      <c r="AK27" s="873"/>
      <c r="AL27" s="887"/>
      <c r="AM27" s="888"/>
      <c r="AN27" s="888"/>
      <c r="AO27" s="889"/>
    </row>
    <row r="28" spans="1:41" ht="21" thickTop="1">
      <c r="A28" s="1052" t="s">
        <v>13</v>
      </c>
      <c r="B28" s="1053"/>
      <c r="C28" s="247" t="s">
        <v>8</v>
      </c>
      <c r="D28" s="248" t="s">
        <v>9</v>
      </c>
      <c r="E28" s="249" t="s">
        <v>8</v>
      </c>
      <c r="F28" s="250" t="s">
        <v>9</v>
      </c>
      <c r="G28" s="251" t="s">
        <v>8</v>
      </c>
      <c r="H28" s="248" t="s">
        <v>9</v>
      </c>
      <c r="I28" s="249" t="s">
        <v>8</v>
      </c>
      <c r="J28" s="250" t="s">
        <v>9</v>
      </c>
      <c r="K28" s="625"/>
      <c r="L28" s="251" t="s">
        <v>8</v>
      </c>
      <c r="M28" s="248" t="s">
        <v>9</v>
      </c>
      <c r="N28" s="249" t="s">
        <v>8</v>
      </c>
      <c r="O28" s="250" t="s">
        <v>9</v>
      </c>
      <c r="P28" s="251" t="s">
        <v>8</v>
      </c>
      <c r="Q28" s="248" t="s">
        <v>9</v>
      </c>
      <c r="R28" s="249" t="s">
        <v>8</v>
      </c>
      <c r="S28" s="252" t="s">
        <v>9</v>
      </c>
      <c r="T28" s="625"/>
      <c r="U28" s="251" t="s">
        <v>8</v>
      </c>
      <c r="V28" s="248" t="s">
        <v>9</v>
      </c>
      <c r="W28" s="249" t="s">
        <v>8</v>
      </c>
      <c r="X28" s="250" t="s">
        <v>9</v>
      </c>
      <c r="Y28" s="251" t="s">
        <v>8</v>
      </c>
      <c r="Z28" s="248" t="s">
        <v>9</v>
      </c>
      <c r="AA28" s="249" t="s">
        <v>8</v>
      </c>
      <c r="AB28" s="252" t="s">
        <v>9</v>
      </c>
      <c r="AC28" s="1138" t="s">
        <v>13</v>
      </c>
      <c r="AD28" s="1139"/>
      <c r="AE28" s="1131"/>
      <c r="AF28" s="874"/>
      <c r="AG28" s="1168"/>
      <c r="AH28" s="1171"/>
      <c r="AI28" s="874"/>
      <c r="AJ28" s="874"/>
      <c r="AK28" s="874"/>
      <c r="AL28" s="890"/>
      <c r="AM28" s="891"/>
      <c r="AN28" s="891"/>
      <c r="AO28" s="892"/>
    </row>
    <row r="29" spans="1:41" ht="54.95" customHeight="1">
      <c r="A29" s="1039" t="s">
        <v>28</v>
      </c>
      <c r="B29" s="1040"/>
      <c r="C29" s="253">
        <f t="shared" ref="C29:AB29" si="0">SUM(C11:C14)</f>
        <v>0</v>
      </c>
      <c r="D29" s="254">
        <f t="shared" si="0"/>
        <v>0</v>
      </c>
      <c r="E29" s="255">
        <f t="shared" si="0"/>
        <v>0</v>
      </c>
      <c r="F29" s="256">
        <f t="shared" si="0"/>
        <v>0</v>
      </c>
      <c r="G29" s="257">
        <f t="shared" si="0"/>
        <v>0</v>
      </c>
      <c r="H29" s="254">
        <f t="shared" si="0"/>
        <v>0</v>
      </c>
      <c r="I29" s="255">
        <f t="shared" si="0"/>
        <v>0</v>
      </c>
      <c r="J29" s="256">
        <f t="shared" si="0"/>
        <v>0</v>
      </c>
      <c r="K29" s="627"/>
      <c r="L29" s="257">
        <f t="shared" si="0"/>
        <v>0</v>
      </c>
      <c r="M29" s="254">
        <f t="shared" si="0"/>
        <v>0</v>
      </c>
      <c r="N29" s="255">
        <f t="shared" si="0"/>
        <v>0</v>
      </c>
      <c r="O29" s="256">
        <f t="shared" si="0"/>
        <v>0</v>
      </c>
      <c r="P29" s="257">
        <f t="shared" si="0"/>
        <v>0</v>
      </c>
      <c r="Q29" s="254">
        <f t="shared" si="0"/>
        <v>0</v>
      </c>
      <c r="R29" s="255">
        <f t="shared" si="0"/>
        <v>0</v>
      </c>
      <c r="S29" s="258">
        <f t="shared" si="0"/>
        <v>0</v>
      </c>
      <c r="T29" s="627"/>
      <c r="U29" s="257">
        <f t="shared" si="0"/>
        <v>0</v>
      </c>
      <c r="V29" s="254">
        <f t="shared" si="0"/>
        <v>0</v>
      </c>
      <c r="W29" s="255">
        <f t="shared" si="0"/>
        <v>0</v>
      </c>
      <c r="X29" s="256">
        <f t="shared" si="0"/>
        <v>0</v>
      </c>
      <c r="Y29" s="257">
        <f t="shared" si="0"/>
        <v>0</v>
      </c>
      <c r="Z29" s="254">
        <f t="shared" si="0"/>
        <v>0</v>
      </c>
      <c r="AA29" s="255">
        <f t="shared" si="0"/>
        <v>0</v>
      </c>
      <c r="AB29" s="258">
        <f t="shared" si="0"/>
        <v>0</v>
      </c>
      <c r="AC29" s="1140" t="s">
        <v>28</v>
      </c>
      <c r="AD29" s="1141"/>
      <c r="AE29" s="339">
        <f t="shared" ref="AE29:AE35" si="1">SUM(C29:AB29)</f>
        <v>0</v>
      </c>
      <c r="AF29" s="170">
        <f>IF(AE29=0,0,AF41/AE29)</f>
        <v>0</v>
      </c>
      <c r="AG29" s="170">
        <f>IF(AE29=0,0,AG41/AE29)</f>
        <v>0</v>
      </c>
      <c r="AH29" s="170">
        <f>IF(AG41=0,0,AH41/AG41)</f>
        <v>0</v>
      </c>
      <c r="AI29" s="170">
        <f t="shared" ref="AI29:AI35" si="2">IF(AE29=0,0,AI41/AE29)</f>
        <v>0</v>
      </c>
      <c r="AJ29" s="170">
        <f>IF(AE29=0,0,AJ41/AE29)</f>
        <v>0</v>
      </c>
      <c r="AK29" s="170">
        <f>IF(AE29=0,0,AK41/AE29)</f>
        <v>0</v>
      </c>
      <c r="AL29" s="893"/>
      <c r="AM29" s="894"/>
      <c r="AN29" s="894"/>
      <c r="AO29" s="895"/>
    </row>
    <row r="30" spans="1:41" ht="54.95" hidden="1" customHeight="1">
      <c r="A30" s="1047" t="s">
        <v>11</v>
      </c>
      <c r="B30" s="1048"/>
      <c r="C30" s="259">
        <f t="shared" ref="C30:AB30" si="3">SUM(C13:C16)</f>
        <v>0</v>
      </c>
      <c r="D30" s="260">
        <f t="shared" si="3"/>
        <v>0</v>
      </c>
      <c r="E30" s="261">
        <f t="shared" si="3"/>
        <v>0</v>
      </c>
      <c r="F30" s="262">
        <f t="shared" si="3"/>
        <v>0</v>
      </c>
      <c r="G30" s="263">
        <f t="shared" si="3"/>
        <v>0</v>
      </c>
      <c r="H30" s="260">
        <f t="shared" si="3"/>
        <v>0</v>
      </c>
      <c r="I30" s="261">
        <f t="shared" si="3"/>
        <v>0</v>
      </c>
      <c r="J30" s="262">
        <f t="shared" si="3"/>
        <v>0</v>
      </c>
      <c r="K30" s="628"/>
      <c r="L30" s="263">
        <f t="shared" si="3"/>
        <v>0</v>
      </c>
      <c r="M30" s="260">
        <f t="shared" si="3"/>
        <v>0</v>
      </c>
      <c r="N30" s="261">
        <f t="shared" si="3"/>
        <v>0</v>
      </c>
      <c r="O30" s="262">
        <f t="shared" si="3"/>
        <v>0</v>
      </c>
      <c r="P30" s="263">
        <f t="shared" si="3"/>
        <v>0</v>
      </c>
      <c r="Q30" s="260">
        <f t="shared" si="3"/>
        <v>0</v>
      </c>
      <c r="R30" s="261">
        <f t="shared" si="3"/>
        <v>0</v>
      </c>
      <c r="S30" s="264">
        <f t="shared" si="3"/>
        <v>0</v>
      </c>
      <c r="T30" s="628"/>
      <c r="U30" s="263">
        <f t="shared" si="3"/>
        <v>0</v>
      </c>
      <c r="V30" s="260">
        <f t="shared" si="3"/>
        <v>0</v>
      </c>
      <c r="W30" s="261">
        <f t="shared" si="3"/>
        <v>0</v>
      </c>
      <c r="X30" s="262">
        <f t="shared" si="3"/>
        <v>0</v>
      </c>
      <c r="Y30" s="263">
        <f t="shared" si="3"/>
        <v>0</v>
      </c>
      <c r="Z30" s="260">
        <f t="shared" si="3"/>
        <v>0</v>
      </c>
      <c r="AA30" s="261">
        <f t="shared" si="3"/>
        <v>0</v>
      </c>
      <c r="AB30" s="264">
        <f t="shared" si="3"/>
        <v>0</v>
      </c>
      <c r="AC30" s="1134" t="s">
        <v>11</v>
      </c>
      <c r="AD30" s="1135"/>
      <c r="AE30" s="340">
        <f t="shared" si="1"/>
        <v>0</v>
      </c>
      <c r="AF30" s="172">
        <f t="shared" ref="AF30:AF35" si="4">IF(AE30=0,0,AF42/AE30)</f>
        <v>0</v>
      </c>
      <c r="AG30" s="172">
        <f t="shared" ref="AG30:AG35" si="5">IF(AE30=0,0,AG42/AE30)</f>
        <v>0</v>
      </c>
      <c r="AH30" s="172">
        <f t="shared" ref="AH30:AH35" si="6">IF(AG42=0,0,AH42/AG42)</f>
        <v>0</v>
      </c>
      <c r="AI30" s="172">
        <f t="shared" si="2"/>
        <v>0</v>
      </c>
      <c r="AJ30" s="172">
        <f t="shared" ref="AJ30:AJ35" si="7">IF(AE30=0,0,AJ42/AE30)</f>
        <v>0</v>
      </c>
      <c r="AK30" s="172">
        <f t="shared" ref="AK30:AK35" si="8">IF(AE30=0,0,AK42/AE30)</f>
        <v>0</v>
      </c>
      <c r="AL30" s="896"/>
      <c r="AM30" s="897"/>
      <c r="AN30" s="897"/>
      <c r="AO30" s="898"/>
    </row>
    <row r="31" spans="1:41" ht="54.95" customHeight="1">
      <c r="A31" s="1047" t="s">
        <v>17</v>
      </c>
      <c r="B31" s="1048"/>
      <c r="C31" s="259">
        <f t="shared" ref="C31:AB31" si="9">SUM(C15:C18)</f>
        <v>0</v>
      </c>
      <c r="D31" s="260">
        <f t="shared" si="9"/>
        <v>0</v>
      </c>
      <c r="E31" s="261">
        <f t="shared" si="9"/>
        <v>0</v>
      </c>
      <c r="F31" s="262">
        <f t="shared" si="9"/>
        <v>0</v>
      </c>
      <c r="G31" s="263">
        <f t="shared" si="9"/>
        <v>0</v>
      </c>
      <c r="H31" s="260">
        <f t="shared" si="9"/>
        <v>0</v>
      </c>
      <c r="I31" s="261">
        <f t="shared" si="9"/>
        <v>0</v>
      </c>
      <c r="J31" s="262">
        <f t="shared" si="9"/>
        <v>0</v>
      </c>
      <c r="K31" s="628"/>
      <c r="L31" s="263">
        <f t="shared" si="9"/>
        <v>0</v>
      </c>
      <c r="M31" s="260">
        <f t="shared" si="9"/>
        <v>0</v>
      </c>
      <c r="N31" s="261">
        <f t="shared" si="9"/>
        <v>0</v>
      </c>
      <c r="O31" s="262">
        <f t="shared" si="9"/>
        <v>0</v>
      </c>
      <c r="P31" s="263">
        <f t="shared" si="9"/>
        <v>0</v>
      </c>
      <c r="Q31" s="260">
        <f t="shared" si="9"/>
        <v>0</v>
      </c>
      <c r="R31" s="261">
        <f t="shared" si="9"/>
        <v>0</v>
      </c>
      <c r="S31" s="264">
        <f t="shared" si="9"/>
        <v>0</v>
      </c>
      <c r="T31" s="628"/>
      <c r="U31" s="263">
        <f t="shared" si="9"/>
        <v>0</v>
      </c>
      <c r="V31" s="260">
        <f t="shared" si="9"/>
        <v>0</v>
      </c>
      <c r="W31" s="261">
        <f t="shared" si="9"/>
        <v>0</v>
      </c>
      <c r="X31" s="262">
        <f t="shared" si="9"/>
        <v>0</v>
      </c>
      <c r="Y31" s="263">
        <f t="shared" si="9"/>
        <v>0</v>
      </c>
      <c r="Z31" s="260">
        <f t="shared" si="9"/>
        <v>0</v>
      </c>
      <c r="AA31" s="261">
        <f t="shared" si="9"/>
        <v>0</v>
      </c>
      <c r="AB31" s="264">
        <f t="shared" si="9"/>
        <v>0</v>
      </c>
      <c r="AC31" s="1134" t="s">
        <v>17</v>
      </c>
      <c r="AD31" s="1135"/>
      <c r="AE31" s="340">
        <f t="shared" si="1"/>
        <v>0</v>
      </c>
      <c r="AF31" s="172">
        <f t="shared" si="4"/>
        <v>0</v>
      </c>
      <c r="AG31" s="172">
        <f t="shared" si="5"/>
        <v>0</v>
      </c>
      <c r="AH31" s="172">
        <f t="shared" si="6"/>
        <v>0</v>
      </c>
      <c r="AI31" s="172">
        <f t="shared" si="2"/>
        <v>0</v>
      </c>
      <c r="AJ31" s="172">
        <f t="shared" si="7"/>
        <v>0</v>
      </c>
      <c r="AK31" s="172">
        <f t="shared" si="8"/>
        <v>0</v>
      </c>
      <c r="AL31" s="896"/>
      <c r="AM31" s="897"/>
      <c r="AN31" s="897"/>
      <c r="AO31" s="898"/>
    </row>
    <row r="32" spans="1:41" ht="54.95" customHeight="1">
      <c r="A32" s="1047" t="s">
        <v>10</v>
      </c>
      <c r="B32" s="1048"/>
      <c r="C32" s="259">
        <f t="shared" ref="C32:AB32" si="10">SUM(C17:C20)</f>
        <v>0</v>
      </c>
      <c r="D32" s="260">
        <f t="shared" si="10"/>
        <v>0</v>
      </c>
      <c r="E32" s="261">
        <f t="shared" si="10"/>
        <v>0</v>
      </c>
      <c r="F32" s="262">
        <f t="shared" si="10"/>
        <v>0</v>
      </c>
      <c r="G32" s="263">
        <f t="shared" si="10"/>
        <v>0</v>
      </c>
      <c r="H32" s="260">
        <f t="shared" si="10"/>
        <v>0</v>
      </c>
      <c r="I32" s="261">
        <f t="shared" si="10"/>
        <v>0</v>
      </c>
      <c r="J32" s="262">
        <f t="shared" si="10"/>
        <v>0</v>
      </c>
      <c r="K32" s="628"/>
      <c r="L32" s="263">
        <f t="shared" si="10"/>
        <v>0</v>
      </c>
      <c r="M32" s="260">
        <f t="shared" si="10"/>
        <v>0</v>
      </c>
      <c r="N32" s="261">
        <f t="shared" si="10"/>
        <v>0</v>
      </c>
      <c r="O32" s="262">
        <f t="shared" si="10"/>
        <v>0</v>
      </c>
      <c r="P32" s="263">
        <f t="shared" si="10"/>
        <v>0</v>
      </c>
      <c r="Q32" s="260">
        <f t="shared" si="10"/>
        <v>0</v>
      </c>
      <c r="R32" s="261">
        <f t="shared" si="10"/>
        <v>0</v>
      </c>
      <c r="S32" s="264">
        <f t="shared" si="10"/>
        <v>0</v>
      </c>
      <c r="T32" s="628"/>
      <c r="U32" s="263">
        <f t="shared" si="10"/>
        <v>0</v>
      </c>
      <c r="V32" s="260">
        <f t="shared" si="10"/>
        <v>0</v>
      </c>
      <c r="W32" s="261">
        <f t="shared" si="10"/>
        <v>0</v>
      </c>
      <c r="X32" s="262">
        <f t="shared" si="10"/>
        <v>0</v>
      </c>
      <c r="Y32" s="263">
        <f t="shared" si="10"/>
        <v>0</v>
      </c>
      <c r="Z32" s="260">
        <f t="shared" si="10"/>
        <v>0</v>
      </c>
      <c r="AA32" s="261">
        <f t="shared" si="10"/>
        <v>0</v>
      </c>
      <c r="AB32" s="264">
        <f t="shared" si="10"/>
        <v>0</v>
      </c>
      <c r="AC32" s="1134" t="s">
        <v>10</v>
      </c>
      <c r="AD32" s="1135"/>
      <c r="AE32" s="340">
        <f t="shared" si="1"/>
        <v>0</v>
      </c>
      <c r="AF32" s="172">
        <f t="shared" si="4"/>
        <v>0</v>
      </c>
      <c r="AG32" s="172">
        <f t="shared" si="5"/>
        <v>0</v>
      </c>
      <c r="AH32" s="172">
        <f t="shared" si="6"/>
        <v>0</v>
      </c>
      <c r="AI32" s="172">
        <f t="shared" si="2"/>
        <v>0</v>
      </c>
      <c r="AJ32" s="172">
        <f t="shared" si="7"/>
        <v>0</v>
      </c>
      <c r="AK32" s="172">
        <f t="shared" si="8"/>
        <v>0</v>
      </c>
      <c r="AL32" s="896"/>
      <c r="AM32" s="897"/>
      <c r="AN32" s="897"/>
      <c r="AO32" s="898"/>
    </row>
    <row r="33" spans="1:41" ht="54.95" customHeight="1">
      <c r="A33" s="1050" t="s">
        <v>29</v>
      </c>
      <c r="B33" s="1051"/>
      <c r="C33" s="265">
        <f t="shared" ref="C33:AB33" si="11">SUM(C19:C22)</f>
        <v>0</v>
      </c>
      <c r="D33" s="266">
        <f t="shared" si="11"/>
        <v>0</v>
      </c>
      <c r="E33" s="267">
        <f t="shared" si="11"/>
        <v>0</v>
      </c>
      <c r="F33" s="268">
        <f t="shared" si="11"/>
        <v>0</v>
      </c>
      <c r="G33" s="269">
        <f t="shared" si="11"/>
        <v>0</v>
      </c>
      <c r="H33" s="266">
        <f t="shared" si="11"/>
        <v>0</v>
      </c>
      <c r="I33" s="267">
        <f t="shared" si="11"/>
        <v>0</v>
      </c>
      <c r="J33" s="268">
        <f t="shared" si="11"/>
        <v>0</v>
      </c>
      <c r="K33" s="652"/>
      <c r="L33" s="269">
        <f t="shared" si="11"/>
        <v>0</v>
      </c>
      <c r="M33" s="266">
        <f t="shared" si="11"/>
        <v>0</v>
      </c>
      <c r="N33" s="267">
        <f t="shared" si="11"/>
        <v>0</v>
      </c>
      <c r="O33" s="268">
        <f t="shared" si="11"/>
        <v>0</v>
      </c>
      <c r="P33" s="269">
        <f t="shared" si="11"/>
        <v>0</v>
      </c>
      <c r="Q33" s="266">
        <f t="shared" si="11"/>
        <v>0</v>
      </c>
      <c r="R33" s="267">
        <f t="shared" si="11"/>
        <v>0</v>
      </c>
      <c r="S33" s="270">
        <f t="shared" si="11"/>
        <v>0</v>
      </c>
      <c r="T33" s="652"/>
      <c r="U33" s="269">
        <f t="shared" si="11"/>
        <v>0</v>
      </c>
      <c r="V33" s="266">
        <f t="shared" si="11"/>
        <v>0</v>
      </c>
      <c r="W33" s="267">
        <f t="shared" si="11"/>
        <v>0</v>
      </c>
      <c r="X33" s="268">
        <f t="shared" si="11"/>
        <v>0</v>
      </c>
      <c r="Y33" s="269">
        <f t="shared" si="11"/>
        <v>0</v>
      </c>
      <c r="Z33" s="266">
        <f t="shared" si="11"/>
        <v>0</v>
      </c>
      <c r="AA33" s="267">
        <f t="shared" si="11"/>
        <v>0</v>
      </c>
      <c r="AB33" s="270">
        <f t="shared" si="11"/>
        <v>0</v>
      </c>
      <c r="AC33" s="1150" t="s">
        <v>29</v>
      </c>
      <c r="AD33" s="1151"/>
      <c r="AE33" s="341">
        <f t="shared" si="1"/>
        <v>0</v>
      </c>
      <c r="AF33" s="174">
        <f t="shared" si="4"/>
        <v>0</v>
      </c>
      <c r="AG33" s="174">
        <f t="shared" si="5"/>
        <v>0</v>
      </c>
      <c r="AH33" s="174">
        <f t="shared" si="6"/>
        <v>0</v>
      </c>
      <c r="AI33" s="174">
        <f t="shared" si="2"/>
        <v>0</v>
      </c>
      <c r="AJ33" s="174">
        <f t="shared" si="7"/>
        <v>0</v>
      </c>
      <c r="AK33" s="174">
        <f t="shared" si="8"/>
        <v>0</v>
      </c>
      <c r="AL33" s="899"/>
      <c r="AM33" s="900"/>
      <c r="AN33" s="900"/>
      <c r="AO33" s="901"/>
    </row>
    <row r="34" spans="1:41" ht="54.95" customHeight="1">
      <c r="A34" s="1043" t="s">
        <v>12</v>
      </c>
      <c r="B34" s="1044"/>
      <c r="C34" s="271">
        <f t="shared" ref="C34:AB34" si="12">SUM(C11:C22)</f>
        <v>0</v>
      </c>
      <c r="D34" s="272">
        <f t="shared" si="12"/>
        <v>0</v>
      </c>
      <c r="E34" s="273">
        <f t="shared" si="12"/>
        <v>0</v>
      </c>
      <c r="F34" s="274">
        <f t="shared" si="12"/>
        <v>0</v>
      </c>
      <c r="G34" s="275">
        <f t="shared" si="12"/>
        <v>0</v>
      </c>
      <c r="H34" s="272">
        <f t="shared" si="12"/>
        <v>0</v>
      </c>
      <c r="I34" s="273">
        <f t="shared" si="12"/>
        <v>0</v>
      </c>
      <c r="J34" s="274">
        <f t="shared" si="12"/>
        <v>0</v>
      </c>
      <c r="K34" s="653"/>
      <c r="L34" s="275">
        <f t="shared" si="12"/>
        <v>0</v>
      </c>
      <c r="M34" s="272">
        <f t="shared" si="12"/>
        <v>0</v>
      </c>
      <c r="N34" s="273">
        <f t="shared" si="12"/>
        <v>0</v>
      </c>
      <c r="O34" s="274">
        <f t="shared" si="12"/>
        <v>0</v>
      </c>
      <c r="P34" s="275">
        <f t="shared" si="12"/>
        <v>0</v>
      </c>
      <c r="Q34" s="272">
        <f t="shared" si="12"/>
        <v>0</v>
      </c>
      <c r="R34" s="273">
        <f t="shared" si="12"/>
        <v>0</v>
      </c>
      <c r="S34" s="276">
        <f t="shared" si="12"/>
        <v>0</v>
      </c>
      <c r="T34" s="653"/>
      <c r="U34" s="275">
        <f t="shared" si="12"/>
        <v>0</v>
      </c>
      <c r="V34" s="272">
        <f t="shared" si="12"/>
        <v>0</v>
      </c>
      <c r="W34" s="273">
        <f t="shared" si="12"/>
        <v>0</v>
      </c>
      <c r="X34" s="274">
        <f t="shared" si="12"/>
        <v>0</v>
      </c>
      <c r="Y34" s="275">
        <f t="shared" si="12"/>
        <v>0</v>
      </c>
      <c r="Z34" s="272">
        <f t="shared" si="12"/>
        <v>0</v>
      </c>
      <c r="AA34" s="273">
        <f t="shared" si="12"/>
        <v>0</v>
      </c>
      <c r="AB34" s="276">
        <f t="shared" si="12"/>
        <v>0</v>
      </c>
      <c r="AC34" s="1142" t="s">
        <v>12</v>
      </c>
      <c r="AD34" s="1143"/>
      <c r="AE34" s="342">
        <f t="shared" si="1"/>
        <v>0</v>
      </c>
      <c r="AF34" s="215">
        <f t="shared" si="4"/>
        <v>0</v>
      </c>
      <c r="AG34" s="215">
        <f t="shared" si="5"/>
        <v>0</v>
      </c>
      <c r="AH34" s="215">
        <f t="shared" si="6"/>
        <v>0</v>
      </c>
      <c r="AI34" s="215">
        <f t="shared" si="2"/>
        <v>0</v>
      </c>
      <c r="AJ34" s="215">
        <f t="shared" si="7"/>
        <v>0</v>
      </c>
      <c r="AK34" s="215">
        <f t="shared" si="8"/>
        <v>0</v>
      </c>
      <c r="AL34" s="902"/>
      <c r="AM34" s="903"/>
      <c r="AN34" s="903"/>
      <c r="AO34" s="904"/>
    </row>
    <row r="35" spans="1:41" ht="54.95" customHeight="1" thickBot="1">
      <c r="A35" s="1045" t="str">
        <f>IF($AE$29=MAX($AE$29:$AE$33),A29,IF($AE$30=MAX($AE$29:$AE$33),A30,IF($AE$31=MAX($AE$29:$AE$33),A31,IF($AE$32=MAX($AE$29:$AE$33),A32,A33))))</f>
        <v>de 6:30 à 7:30</v>
      </c>
      <c r="B35" s="1046"/>
      <c r="C35" s="277">
        <f t="shared" ref="C35:J35" si="13">IF($AE$29=MAX($AE$29:$AE$33),C29,IF($AE$30=MAX($AE$29:$AE$33),C30,IF($AE$31=MAX($AE$29:$AE$33),C31,IF($AE$32=MAX($AE$29:$AE$33),C32,C33))))</f>
        <v>0</v>
      </c>
      <c r="D35" s="278">
        <f t="shared" si="13"/>
        <v>0</v>
      </c>
      <c r="E35" s="279">
        <f t="shared" si="13"/>
        <v>0</v>
      </c>
      <c r="F35" s="280">
        <f t="shared" si="13"/>
        <v>0</v>
      </c>
      <c r="G35" s="281">
        <f t="shared" si="13"/>
        <v>0</v>
      </c>
      <c r="H35" s="278">
        <f t="shared" si="13"/>
        <v>0</v>
      </c>
      <c r="I35" s="279">
        <f t="shared" si="13"/>
        <v>0</v>
      </c>
      <c r="J35" s="280">
        <f t="shared" si="13"/>
        <v>0</v>
      </c>
      <c r="K35" s="654"/>
      <c r="L35" s="281">
        <f t="shared" ref="L35:S35" si="14">IF($AE$29=MAX($AE$29:$AE$33),L29,IF($AE$30=MAX($AE$29:$AE$33),L30,IF($AE$31=MAX($AE$29:$AE$33),L31,IF($AE$32=MAX($AE$29:$AE$33),L32,L33))))</f>
        <v>0</v>
      </c>
      <c r="M35" s="278">
        <f t="shared" si="14"/>
        <v>0</v>
      </c>
      <c r="N35" s="279">
        <f t="shared" si="14"/>
        <v>0</v>
      </c>
      <c r="O35" s="280">
        <f t="shared" si="14"/>
        <v>0</v>
      </c>
      <c r="P35" s="281">
        <f t="shared" si="14"/>
        <v>0</v>
      </c>
      <c r="Q35" s="278">
        <f t="shared" si="14"/>
        <v>0</v>
      </c>
      <c r="R35" s="279">
        <f t="shared" si="14"/>
        <v>0</v>
      </c>
      <c r="S35" s="282">
        <f t="shared" si="14"/>
        <v>0</v>
      </c>
      <c r="T35" s="654"/>
      <c r="U35" s="281">
        <f t="shared" ref="U35:AB35" si="15">IF($AE$29=MAX($AE$29:$AE$33),U29,IF($AE$30=MAX($AE$29:$AE$33),U30,IF($AE$31=MAX($AE$29:$AE$33),U31,IF($AE$32=MAX($AE$29:$AE$33),U32,U33))))</f>
        <v>0</v>
      </c>
      <c r="V35" s="278">
        <f t="shared" si="15"/>
        <v>0</v>
      </c>
      <c r="W35" s="279">
        <f t="shared" si="15"/>
        <v>0</v>
      </c>
      <c r="X35" s="280">
        <f t="shared" si="15"/>
        <v>0</v>
      </c>
      <c r="Y35" s="281">
        <f t="shared" si="15"/>
        <v>0</v>
      </c>
      <c r="Z35" s="278">
        <f t="shared" si="15"/>
        <v>0</v>
      </c>
      <c r="AA35" s="279">
        <f t="shared" si="15"/>
        <v>0</v>
      </c>
      <c r="AB35" s="282">
        <f t="shared" si="15"/>
        <v>0</v>
      </c>
      <c r="AC35" s="1146" t="str">
        <f>A35</f>
        <v>de 6:30 à 7:30</v>
      </c>
      <c r="AD35" s="1147"/>
      <c r="AE35" s="343">
        <f t="shared" si="1"/>
        <v>0</v>
      </c>
      <c r="AF35" s="216">
        <f t="shared" si="4"/>
        <v>0</v>
      </c>
      <c r="AG35" s="216">
        <f t="shared" si="5"/>
        <v>0</v>
      </c>
      <c r="AH35" s="216">
        <f t="shared" si="6"/>
        <v>0</v>
      </c>
      <c r="AI35" s="216">
        <f t="shared" si="2"/>
        <v>0</v>
      </c>
      <c r="AJ35" s="216">
        <f t="shared" si="7"/>
        <v>0</v>
      </c>
      <c r="AK35" s="216">
        <f t="shared" si="8"/>
        <v>0</v>
      </c>
      <c r="AL35" s="905"/>
      <c r="AM35" s="906"/>
      <c r="AN35" s="906"/>
      <c r="AO35" s="907"/>
    </row>
    <row r="36" spans="1:41" s="8" customFormat="1" ht="12.75" customHeight="1" thickTop="1" thickBot="1">
      <c r="A36" s="319"/>
      <c r="B36" s="320"/>
      <c r="C36" s="320"/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0"/>
      <c r="R36" s="320"/>
      <c r="S36" s="320"/>
      <c r="T36" s="320"/>
      <c r="U36" s="319"/>
      <c r="V36" s="320"/>
      <c r="W36" s="320"/>
      <c r="X36" s="320"/>
      <c r="Y36" s="320"/>
      <c r="Z36" s="320"/>
      <c r="AA36" s="320"/>
      <c r="AB36" s="320"/>
      <c r="AC36" s="321"/>
      <c r="AD36" s="321"/>
      <c r="AE36" s="320"/>
      <c r="AF36" s="320"/>
      <c r="AG36" s="319"/>
      <c r="AH36" s="320"/>
      <c r="AI36" s="320"/>
      <c r="AJ36" s="320"/>
      <c r="AK36" s="320"/>
      <c r="AL36" s="321"/>
      <c r="AM36" s="321"/>
      <c r="AN36" s="322"/>
      <c r="AO36" s="322"/>
    </row>
    <row r="37" spans="1:41" s="8" customFormat="1" ht="32.25" customHeight="1" thickTop="1">
      <c r="A37" s="323"/>
      <c r="B37" s="321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3"/>
      <c r="AD37" s="321"/>
      <c r="AE37" s="325"/>
      <c r="AF37" s="979" t="s">
        <v>108</v>
      </c>
      <c r="AG37" s="979" t="s">
        <v>109</v>
      </c>
      <c r="AH37" s="979" t="s">
        <v>110</v>
      </c>
      <c r="AI37" s="979" t="s">
        <v>19</v>
      </c>
      <c r="AJ37" s="979" t="s">
        <v>20</v>
      </c>
      <c r="AK37" s="979" t="s">
        <v>83</v>
      </c>
      <c r="AL37" s="326"/>
      <c r="AM37" s="327"/>
      <c r="AN37" s="327"/>
      <c r="AO37" s="322"/>
    </row>
    <row r="38" spans="1:41" s="8" customFormat="1" ht="22.7" customHeight="1">
      <c r="A38" s="323"/>
      <c r="B38" s="321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  <c r="AA38" s="328"/>
      <c r="AB38" s="328"/>
      <c r="AC38" s="323"/>
      <c r="AD38" s="321"/>
      <c r="AE38" s="325"/>
      <c r="AF38" s="980"/>
      <c r="AG38" s="980"/>
      <c r="AH38" s="980"/>
      <c r="AI38" s="980"/>
      <c r="AJ38" s="980"/>
      <c r="AK38" s="980"/>
      <c r="AL38" s="326"/>
      <c r="AM38" s="327"/>
      <c r="AN38" s="327"/>
      <c r="AO38" s="322"/>
    </row>
    <row r="39" spans="1:41" s="8" customFormat="1" ht="18.600000000000001" hidden="1" customHeight="1">
      <c r="A39" s="323"/>
      <c r="B39" s="321"/>
      <c r="C39" s="329"/>
      <c r="D39" s="329"/>
      <c r="E39" s="329"/>
      <c r="F39" s="329"/>
      <c r="G39" s="329"/>
      <c r="H39" s="329"/>
      <c r="I39" s="329"/>
      <c r="J39" s="329"/>
      <c r="K39" s="329"/>
      <c r="L39" s="329"/>
      <c r="M39" s="329"/>
      <c r="N39" s="329"/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29"/>
      <c r="Z39" s="329"/>
      <c r="AA39" s="329"/>
      <c r="AB39" s="329"/>
      <c r="AC39" s="323"/>
      <c r="AD39" s="321"/>
      <c r="AE39" s="325"/>
      <c r="AF39" s="980"/>
      <c r="AG39" s="980"/>
      <c r="AH39" s="980"/>
      <c r="AI39" s="980"/>
      <c r="AJ39" s="980"/>
      <c r="AK39" s="980"/>
      <c r="AL39" s="326"/>
      <c r="AM39" s="327"/>
      <c r="AN39" s="327"/>
      <c r="AO39" s="322"/>
    </row>
    <row r="40" spans="1:41" s="8" customFormat="1" ht="20.25" hidden="1">
      <c r="A40" s="330"/>
      <c r="B40" s="330"/>
      <c r="C40" s="331"/>
      <c r="D40" s="331"/>
      <c r="E40" s="331"/>
      <c r="F40" s="331"/>
      <c r="G40" s="331"/>
      <c r="H40" s="331"/>
      <c r="I40" s="331"/>
      <c r="J40" s="331"/>
      <c r="K40" s="584"/>
      <c r="L40" s="331"/>
      <c r="M40" s="331"/>
      <c r="N40" s="331"/>
      <c r="O40" s="331"/>
      <c r="P40" s="331"/>
      <c r="Q40" s="331"/>
      <c r="R40" s="331"/>
      <c r="S40" s="331"/>
      <c r="T40" s="584"/>
      <c r="U40" s="331"/>
      <c r="V40" s="331"/>
      <c r="W40" s="331"/>
      <c r="X40" s="331"/>
      <c r="Y40" s="331"/>
      <c r="Z40" s="331"/>
      <c r="AA40" s="331"/>
      <c r="AB40" s="331"/>
      <c r="AC40" s="330"/>
      <c r="AD40" s="330"/>
      <c r="AE40" s="325"/>
      <c r="AF40" s="981"/>
      <c r="AG40" s="981"/>
      <c r="AH40" s="981"/>
      <c r="AI40" s="981"/>
      <c r="AJ40" s="981"/>
      <c r="AK40" s="981"/>
      <c r="AL40" s="326"/>
      <c r="AM40" s="327"/>
      <c r="AN40" s="327"/>
      <c r="AO40" s="322"/>
    </row>
    <row r="41" spans="1:41" s="8" customFormat="1" ht="54.95" customHeight="1">
      <c r="A41" s="330"/>
      <c r="B41" s="330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0"/>
      <c r="AD41" s="330"/>
      <c r="AE41" s="333"/>
      <c r="AF41" s="217">
        <f>(C29+E29+G29+I29+L29+N29+P29+R29+U29+W29+Y29+AA29)</f>
        <v>0</v>
      </c>
      <c r="AG41" s="217">
        <f>(E29+F29+I29+J29+N29+O29+R29+S29+W29+X29+AA29+AB29)</f>
        <v>0</v>
      </c>
      <c r="AH41" s="217">
        <f>(E29+I29+N29+R29+W29+AA29)</f>
        <v>0</v>
      </c>
      <c r="AI41" s="217">
        <f>SUM(G29:J29,P29:S29)</f>
        <v>0</v>
      </c>
      <c r="AJ41" s="217">
        <f>SUM(L29:S29)</f>
        <v>0</v>
      </c>
      <c r="AK41" s="217">
        <f>SUM(C29:J29)</f>
        <v>0</v>
      </c>
      <c r="AL41" s="334"/>
      <c r="AM41" s="335"/>
      <c r="AN41" s="335"/>
      <c r="AO41" s="322"/>
    </row>
    <row r="42" spans="1:41" s="8" customFormat="1" ht="54.95" customHeight="1">
      <c r="A42" s="330"/>
      <c r="B42" s="330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0"/>
      <c r="AD42" s="330"/>
      <c r="AE42" s="333"/>
      <c r="AF42" s="218">
        <f t="shared" ref="AF42:AF47" si="16">(C30+E30+G30+I30+L30+N30+P30+R30+U30+W30+Y30+AA30)</f>
        <v>0</v>
      </c>
      <c r="AG42" s="218">
        <f t="shared" ref="AG42:AG47" si="17">(E30+F30+I30+J30+N30+O30+R30+S30+W30+X30+AA30+AB30)</f>
        <v>0</v>
      </c>
      <c r="AH42" s="218">
        <f t="shared" ref="AH42:AH47" si="18">(E30+I30+N30+R30+W30+AA30)</f>
        <v>0</v>
      </c>
      <c r="AI42" s="218">
        <f t="shared" ref="AI42:AI47" si="19">SUM(G30:J30,P30:S30)</f>
        <v>0</v>
      </c>
      <c r="AJ42" s="218">
        <f t="shared" ref="AJ42:AJ47" si="20">SUM(L30:S30)</f>
        <v>0</v>
      </c>
      <c r="AK42" s="218">
        <f t="shared" ref="AK42:AK47" si="21">SUM(C30:J30)</f>
        <v>0</v>
      </c>
      <c r="AL42" s="334"/>
      <c r="AM42" s="335"/>
      <c r="AN42" s="335"/>
      <c r="AO42" s="322"/>
    </row>
    <row r="43" spans="1:41" s="8" customFormat="1" ht="54.95" customHeight="1">
      <c r="A43" s="330"/>
      <c r="B43" s="330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0"/>
      <c r="AD43" s="330"/>
      <c r="AE43" s="333"/>
      <c r="AF43" s="218">
        <f t="shared" si="16"/>
        <v>0</v>
      </c>
      <c r="AG43" s="218">
        <f t="shared" si="17"/>
        <v>0</v>
      </c>
      <c r="AH43" s="218">
        <f t="shared" si="18"/>
        <v>0</v>
      </c>
      <c r="AI43" s="218">
        <f t="shared" si="19"/>
        <v>0</v>
      </c>
      <c r="AJ43" s="218">
        <f t="shared" si="20"/>
        <v>0</v>
      </c>
      <c r="AK43" s="218">
        <f t="shared" si="21"/>
        <v>0</v>
      </c>
      <c r="AL43" s="334"/>
      <c r="AM43" s="335"/>
      <c r="AN43" s="335"/>
      <c r="AO43" s="322"/>
    </row>
    <row r="44" spans="1:41" s="8" customFormat="1" ht="54.95" customHeight="1">
      <c r="A44" s="330"/>
      <c r="B44" s="330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0"/>
      <c r="AD44" s="330"/>
      <c r="AE44" s="333"/>
      <c r="AF44" s="218">
        <f t="shared" si="16"/>
        <v>0</v>
      </c>
      <c r="AG44" s="218">
        <f t="shared" si="17"/>
        <v>0</v>
      </c>
      <c r="AH44" s="218">
        <f t="shared" si="18"/>
        <v>0</v>
      </c>
      <c r="AI44" s="218">
        <f t="shared" si="19"/>
        <v>0</v>
      </c>
      <c r="AJ44" s="218">
        <f t="shared" si="20"/>
        <v>0</v>
      </c>
      <c r="AK44" s="218">
        <f t="shared" si="21"/>
        <v>0</v>
      </c>
      <c r="AL44" s="334"/>
      <c r="AM44" s="335"/>
      <c r="AN44" s="335"/>
      <c r="AO44" s="322"/>
    </row>
    <row r="45" spans="1:41" s="8" customFormat="1" ht="54.95" customHeight="1">
      <c r="A45" s="330"/>
      <c r="B45" s="330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0"/>
      <c r="AD45" s="330"/>
      <c r="AE45" s="333"/>
      <c r="AF45" s="219">
        <f t="shared" si="16"/>
        <v>0</v>
      </c>
      <c r="AG45" s="219">
        <f t="shared" si="17"/>
        <v>0</v>
      </c>
      <c r="AH45" s="219">
        <f t="shared" si="18"/>
        <v>0</v>
      </c>
      <c r="AI45" s="219">
        <f t="shared" si="19"/>
        <v>0</v>
      </c>
      <c r="AJ45" s="219">
        <f t="shared" si="20"/>
        <v>0</v>
      </c>
      <c r="AK45" s="219">
        <f t="shared" si="21"/>
        <v>0</v>
      </c>
      <c r="AL45" s="334"/>
      <c r="AM45" s="335"/>
      <c r="AN45" s="335"/>
      <c r="AO45" s="322"/>
    </row>
    <row r="46" spans="1:41" s="8" customFormat="1" ht="54.95" customHeight="1">
      <c r="A46" s="330"/>
      <c r="B46" s="330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0"/>
      <c r="AD46" s="330"/>
      <c r="AE46" s="333"/>
      <c r="AF46" s="220">
        <f t="shared" si="16"/>
        <v>0</v>
      </c>
      <c r="AG46" s="220">
        <f t="shared" si="17"/>
        <v>0</v>
      </c>
      <c r="AH46" s="220">
        <f t="shared" si="18"/>
        <v>0</v>
      </c>
      <c r="AI46" s="220">
        <f t="shared" si="19"/>
        <v>0</v>
      </c>
      <c r="AJ46" s="220">
        <f t="shared" si="20"/>
        <v>0</v>
      </c>
      <c r="AK46" s="220">
        <f t="shared" si="21"/>
        <v>0</v>
      </c>
      <c r="AL46" s="334"/>
      <c r="AM46" s="335"/>
      <c r="AN46" s="335"/>
      <c r="AO46" s="322"/>
    </row>
    <row r="47" spans="1:41" s="8" customFormat="1" ht="54.95" customHeight="1" thickBot="1">
      <c r="A47" s="330"/>
      <c r="B47" s="330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0"/>
      <c r="AD47" s="330"/>
      <c r="AE47" s="333"/>
      <c r="AF47" s="221">
        <f t="shared" si="16"/>
        <v>0</v>
      </c>
      <c r="AG47" s="221">
        <f t="shared" si="17"/>
        <v>0</v>
      </c>
      <c r="AH47" s="221">
        <f t="shared" si="18"/>
        <v>0</v>
      </c>
      <c r="AI47" s="221">
        <f t="shared" si="19"/>
        <v>0</v>
      </c>
      <c r="AJ47" s="221">
        <f t="shared" si="20"/>
        <v>0</v>
      </c>
      <c r="AK47" s="221">
        <f t="shared" si="21"/>
        <v>0</v>
      </c>
      <c r="AL47" s="334"/>
      <c r="AM47" s="335"/>
      <c r="AN47" s="335"/>
      <c r="AO47" s="322"/>
    </row>
    <row r="48" spans="1:41" s="8" customFormat="1" ht="24" thickTop="1">
      <c r="A48" s="195"/>
      <c r="B48" s="19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95"/>
      <c r="AD48" s="195"/>
      <c r="AE48" s="204"/>
      <c r="AF48" s="19"/>
      <c r="AG48" s="18"/>
      <c r="AH48" s="19"/>
      <c r="AI48" s="19"/>
      <c r="AJ48" s="7"/>
      <c r="AK48" s="7"/>
      <c r="AL48" s="7"/>
      <c r="AM48" s="7"/>
    </row>
    <row r="49" spans="1:45" ht="20.25">
      <c r="A49" s="147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7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7"/>
      <c r="AH49" s="146"/>
      <c r="AI49" s="146"/>
      <c r="AJ49" s="146"/>
      <c r="AK49" s="146"/>
      <c r="AL49" s="146"/>
      <c r="AM49" s="146"/>
    </row>
    <row r="50" spans="1:45" ht="20.25">
      <c r="A50" s="147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7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7"/>
      <c r="AH50" s="146"/>
      <c r="AI50" s="146"/>
      <c r="AJ50" s="146"/>
      <c r="AK50" s="146"/>
      <c r="AL50" s="146"/>
      <c r="AM50" s="146"/>
    </row>
    <row r="51" spans="1:45" ht="20.25">
      <c r="A51" s="147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7"/>
      <c r="AF51" s="146"/>
      <c r="AG51" s="146"/>
      <c r="AH51" s="146"/>
      <c r="AI51" s="146"/>
      <c r="AJ51" s="146"/>
      <c r="AK51" s="146"/>
      <c r="AL51" s="146"/>
      <c r="AM51" s="146"/>
      <c r="AN51" s="147"/>
      <c r="AO51" s="146"/>
      <c r="AP51" s="146"/>
      <c r="AQ51" s="146"/>
      <c r="AR51" s="146"/>
      <c r="AS51" s="146"/>
    </row>
    <row r="52" spans="1:45" ht="20.25">
      <c r="A52" s="147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7"/>
      <c r="AF52" s="146"/>
      <c r="AG52" s="146"/>
      <c r="AH52" s="146"/>
      <c r="AI52" s="146"/>
      <c r="AJ52" s="146"/>
      <c r="AK52" s="146"/>
      <c r="AL52" s="146"/>
      <c r="AM52" s="146"/>
      <c r="AN52" s="147"/>
      <c r="AO52" s="146"/>
      <c r="AP52" s="146"/>
      <c r="AQ52" s="146"/>
      <c r="AR52" s="146"/>
      <c r="AS52" s="146"/>
    </row>
    <row r="53" spans="1:45" ht="20.25">
      <c r="A53" s="147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7"/>
      <c r="AF53" s="146"/>
      <c r="AG53" s="146"/>
      <c r="AH53" s="146"/>
      <c r="AI53" s="146"/>
      <c r="AJ53" s="146"/>
      <c r="AK53" s="146"/>
      <c r="AL53" s="146"/>
      <c r="AM53" s="146"/>
      <c r="AN53" s="147"/>
      <c r="AO53" s="146"/>
      <c r="AP53" s="146"/>
      <c r="AQ53" s="146"/>
      <c r="AR53" s="146"/>
      <c r="AS53" s="146"/>
    </row>
    <row r="54" spans="1:45" ht="20.25">
      <c r="A54" s="147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7"/>
      <c r="AF54" s="146"/>
      <c r="AG54" s="146"/>
      <c r="AH54" s="146"/>
      <c r="AI54" s="146"/>
      <c r="AJ54" s="146"/>
      <c r="AK54" s="146"/>
      <c r="AL54" s="146"/>
      <c r="AM54" s="146"/>
      <c r="AN54" s="147"/>
      <c r="AO54" s="146"/>
      <c r="AP54" s="146"/>
      <c r="AQ54" s="146"/>
      <c r="AR54" s="146"/>
      <c r="AS54" s="146"/>
    </row>
    <row r="55" spans="1:45" ht="20.25">
      <c r="A55" s="147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7"/>
      <c r="AF55" s="146"/>
      <c r="AG55" s="146"/>
      <c r="AH55" s="146"/>
      <c r="AI55" s="146"/>
      <c r="AJ55" s="146"/>
      <c r="AK55" s="146"/>
      <c r="AL55" s="146"/>
      <c r="AM55" s="146"/>
      <c r="AN55" s="147"/>
      <c r="AO55" s="146"/>
      <c r="AP55" s="146"/>
      <c r="AQ55" s="146"/>
      <c r="AR55" s="146"/>
      <c r="AS55" s="146"/>
    </row>
    <row r="56" spans="1:45" ht="20.25">
      <c r="A56" s="147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7"/>
      <c r="AF56" s="146"/>
      <c r="AG56" s="146"/>
      <c r="AH56" s="146"/>
      <c r="AI56" s="146"/>
      <c r="AJ56" s="146"/>
      <c r="AK56" s="146"/>
      <c r="AL56" s="146"/>
      <c r="AM56" s="146"/>
      <c r="AN56" s="147"/>
      <c r="AO56" s="146"/>
      <c r="AP56" s="146"/>
      <c r="AQ56" s="146"/>
      <c r="AR56" s="146"/>
      <c r="AS56" s="146"/>
    </row>
    <row r="57" spans="1:45" ht="20.25">
      <c r="F57" s="146"/>
      <c r="G57" s="146"/>
      <c r="H57" s="146"/>
      <c r="I57" s="146"/>
      <c r="J57" s="146"/>
      <c r="K57" s="146"/>
      <c r="L57" s="146"/>
      <c r="M57" s="146"/>
      <c r="N57" s="146"/>
      <c r="U57" s="146"/>
      <c r="V57" s="146"/>
      <c r="W57" s="146"/>
    </row>
    <row r="58" spans="1:45" ht="20.25">
      <c r="F58" s="146"/>
      <c r="G58" s="146"/>
      <c r="H58" s="146"/>
      <c r="I58" s="146"/>
      <c r="J58" s="146"/>
      <c r="K58" s="146"/>
      <c r="L58" s="146"/>
      <c r="M58" s="146"/>
      <c r="N58" s="146"/>
      <c r="U58" s="146"/>
      <c r="V58" s="146"/>
      <c r="W58" s="146"/>
    </row>
  </sheetData>
  <mergeCells count="83">
    <mergeCell ref="C3:X3"/>
    <mergeCell ref="A35:B35"/>
    <mergeCell ref="AC35:AD35"/>
    <mergeCell ref="A32:B32"/>
    <mergeCell ref="AC32:AD32"/>
    <mergeCell ref="A33:B33"/>
    <mergeCell ref="AC33:AD33"/>
    <mergeCell ref="A30:B30"/>
    <mergeCell ref="AC30:AD30"/>
    <mergeCell ref="A31:B31"/>
    <mergeCell ref="AC31:AD31"/>
    <mergeCell ref="A34:B34"/>
    <mergeCell ref="AC34:AD34"/>
    <mergeCell ref="AA9:AB9"/>
    <mergeCell ref="C9:D9"/>
    <mergeCell ref="E9:F9"/>
    <mergeCell ref="AH25:AH28"/>
    <mergeCell ref="AJ25:AJ28"/>
    <mergeCell ref="AK25:AK28"/>
    <mergeCell ref="AI25:AI28"/>
    <mergeCell ref="A29:B29"/>
    <mergeCell ref="AC29:AD29"/>
    <mergeCell ref="Y27:Z27"/>
    <mergeCell ref="AA27:AB27"/>
    <mergeCell ref="A28:B28"/>
    <mergeCell ref="AC28:AD28"/>
    <mergeCell ref="I27:J27"/>
    <mergeCell ref="L27:M27"/>
    <mergeCell ref="N27:O27"/>
    <mergeCell ref="P27:Q27"/>
    <mergeCell ref="R27:S27"/>
    <mergeCell ref="U27:V27"/>
    <mergeCell ref="AG25:AG28"/>
    <mergeCell ref="Y26:AB26"/>
    <mergeCell ref="C27:D27"/>
    <mergeCell ref="E27:F27"/>
    <mergeCell ref="G27:H27"/>
    <mergeCell ref="C25:J25"/>
    <mergeCell ref="L25:S25"/>
    <mergeCell ref="U25:AB25"/>
    <mergeCell ref="AE25:AE28"/>
    <mergeCell ref="AF25:AF28"/>
    <mergeCell ref="C26:F26"/>
    <mergeCell ref="G26:J26"/>
    <mergeCell ref="L26:O26"/>
    <mergeCell ref="P26:S26"/>
    <mergeCell ref="U26:X26"/>
    <mergeCell ref="W27:X27"/>
    <mergeCell ref="U8:X8"/>
    <mergeCell ref="Y8:AB8"/>
    <mergeCell ref="G9:H9"/>
    <mergeCell ref="I9:J9"/>
    <mergeCell ref="L9:M9"/>
    <mergeCell ref="N9:O9"/>
    <mergeCell ref="P9:Q9"/>
    <mergeCell ref="AL35:AO35"/>
    <mergeCell ref="AK37:AK40"/>
    <mergeCell ref="AF37:AF40"/>
    <mergeCell ref="AG37:AG40"/>
    <mergeCell ref="AH37:AH40"/>
    <mergeCell ref="AI37:AI40"/>
    <mergeCell ref="AJ37:AJ40"/>
    <mergeCell ref="AL30:AO30"/>
    <mergeCell ref="AL31:AO31"/>
    <mergeCell ref="AL32:AO32"/>
    <mergeCell ref="AL33:AO33"/>
    <mergeCell ref="AL34:AO34"/>
    <mergeCell ref="C5:O5"/>
    <mergeCell ref="C24:O24"/>
    <mergeCell ref="R5:AA5"/>
    <mergeCell ref="AL25:AO28"/>
    <mergeCell ref="AL29:AO29"/>
    <mergeCell ref="R9:S9"/>
    <mergeCell ref="U9:V9"/>
    <mergeCell ref="W9:X9"/>
    <mergeCell ref="Y9:Z9"/>
    <mergeCell ref="C7:J7"/>
    <mergeCell ref="L7:S7"/>
    <mergeCell ref="U7:AB7"/>
    <mergeCell ref="C8:F8"/>
    <mergeCell ref="G8:J8"/>
    <mergeCell ref="L8:O8"/>
    <mergeCell ref="P8:S8"/>
  </mergeCells>
  <pageMargins left="0.39370078740157483" right="0.39370078740157483" top="0.39370078740157483" bottom="0.39370078740157483" header="0.59055118110236227" footer="0.59055118110236227"/>
  <pageSetup paperSize="9" scale="37" fitToHeight="0" pageOrder="overThenDown" orientation="landscape" useFirstPageNumber="1" r:id="rId1"/>
  <headerFooter alignWithMargins="0"/>
  <colBreaks count="1" manualBreakCount="1">
    <brk id="28" max="22" man="1"/>
  </colBreaks>
  <ignoredErrors>
    <ignoredError sqref="AI49 AE29:AE35" evalErro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R67"/>
  <sheetViews>
    <sheetView view="pageBreakPreview" zoomScale="25" zoomScaleNormal="55" zoomScaleSheetLayoutView="25" workbookViewId="0">
      <selection activeCell="R17" sqref="R17"/>
    </sheetView>
  </sheetViews>
  <sheetFormatPr baseColWidth="10" defaultRowHeight="14.25" outlineLevelRow="1"/>
  <cols>
    <col min="1" max="1" width="9.125" style="291" customWidth="1"/>
    <col min="2" max="2" width="13.75" style="291" customWidth="1"/>
    <col min="3" max="14" width="12.875" style="291" customWidth="1"/>
    <col min="15" max="15" width="2.625" style="291" customWidth="1"/>
    <col min="16" max="27" width="12.875" style="291" customWidth="1"/>
    <col min="28" max="28" width="9.125" style="291" customWidth="1"/>
    <col min="29" max="29" width="13.75" style="291" customWidth="1"/>
    <col min="30" max="35" width="21.125" style="291" customWidth="1"/>
    <col min="36" max="36" width="123.625" style="291" customWidth="1"/>
    <col min="37" max="37" width="21.125" style="291" customWidth="1"/>
    <col min="38" max="44" width="10.625" style="291" customWidth="1"/>
    <col min="45" max="16384" width="11" style="291"/>
  </cols>
  <sheetData>
    <row r="1" spans="1:33" ht="52.5" customHeight="1" thickBot="1">
      <c r="A1" s="283" t="s">
        <v>89</v>
      </c>
      <c r="B1" s="284" t="s">
        <v>125</v>
      </c>
      <c r="C1" s="285"/>
      <c r="D1" s="285"/>
      <c r="E1" s="285"/>
      <c r="F1" s="286"/>
      <c r="G1" s="286"/>
      <c r="H1" s="285"/>
      <c r="I1" s="285"/>
      <c r="J1" s="286"/>
      <c r="K1" s="286"/>
      <c r="L1" s="287"/>
      <c r="M1" s="240" t="s">
        <v>30</v>
      </c>
      <c r="N1" s="241" t="s">
        <v>139</v>
      </c>
      <c r="O1" s="623"/>
      <c r="P1" s="285"/>
      <c r="Q1" s="285"/>
      <c r="R1" s="285"/>
      <c r="S1" s="285"/>
      <c r="T1" s="285"/>
      <c r="U1" s="285"/>
      <c r="V1" s="285"/>
      <c r="W1" s="288"/>
      <c r="X1" s="289"/>
      <c r="Y1" s="289"/>
      <c r="Z1" s="289"/>
      <c r="AA1" s="290"/>
    </row>
    <row r="2" spans="1:33" ht="52.5" customHeight="1" thickBot="1">
      <c r="A2" s="227" t="s">
        <v>2</v>
      </c>
      <c r="B2" s="228"/>
      <c r="C2" s="228"/>
      <c r="D2" s="228"/>
      <c r="E2" s="228"/>
      <c r="F2" s="228"/>
      <c r="G2" s="284"/>
      <c r="H2" s="285"/>
      <c r="I2" s="285"/>
      <c r="J2" s="285"/>
      <c r="K2" s="285"/>
      <c r="L2" s="285"/>
      <c r="M2" s="285"/>
      <c r="N2" s="285"/>
      <c r="O2" s="600"/>
      <c r="P2" s="285"/>
      <c r="Q2" s="285"/>
      <c r="R2" s="285"/>
      <c r="S2" s="285"/>
      <c r="T2" s="285"/>
      <c r="U2" s="285"/>
      <c r="V2" s="285"/>
      <c r="W2" s="288"/>
      <c r="X2" s="228"/>
      <c r="Y2" s="228"/>
      <c r="Z2" s="228"/>
      <c r="AA2" s="228"/>
    </row>
    <row r="3" spans="1:33" ht="52.5" customHeight="1" thickBot="1">
      <c r="A3" s="227" t="s">
        <v>3</v>
      </c>
      <c r="B3" s="228"/>
      <c r="C3" s="1172"/>
      <c r="D3" s="1173"/>
      <c r="E3" s="1173"/>
      <c r="F3" s="1173"/>
      <c r="G3" s="1173"/>
      <c r="H3" s="1173"/>
      <c r="I3" s="1173"/>
      <c r="J3" s="1173"/>
      <c r="K3" s="1173"/>
      <c r="L3" s="1173"/>
      <c r="M3" s="1173"/>
      <c r="N3" s="1173"/>
      <c r="O3" s="1173"/>
      <c r="P3" s="1173"/>
      <c r="Q3" s="1173"/>
      <c r="R3" s="1173"/>
      <c r="S3" s="1173"/>
      <c r="T3" s="1173"/>
      <c r="U3" s="1173"/>
      <c r="V3" s="1173"/>
      <c r="W3" s="1174"/>
      <c r="X3" s="228"/>
      <c r="Y3" s="228"/>
      <c r="Z3" s="228"/>
      <c r="AA3" s="245"/>
    </row>
    <row r="4" spans="1:33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45"/>
    </row>
    <row r="5" spans="1:33" s="645" customFormat="1" ht="75" customHeight="1">
      <c r="A5" s="639" t="s">
        <v>27</v>
      </c>
      <c r="B5" s="640"/>
      <c r="C5" s="866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674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666"/>
    </row>
    <row r="6" spans="1:33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597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45"/>
    </row>
    <row r="7" spans="1:33" ht="32.25" customHeight="1" thickTop="1">
      <c r="A7" s="227"/>
      <c r="B7" s="228"/>
      <c r="C7" s="875" t="s">
        <v>52</v>
      </c>
      <c r="D7" s="876"/>
      <c r="E7" s="876"/>
      <c r="F7" s="876"/>
      <c r="G7" s="876"/>
      <c r="H7" s="876"/>
      <c r="I7" s="876"/>
      <c r="J7" s="876"/>
      <c r="K7" s="876"/>
      <c r="L7" s="876"/>
      <c r="M7" s="876"/>
      <c r="N7" s="876"/>
      <c r="O7" s="636"/>
      <c r="P7" s="875" t="s">
        <v>121</v>
      </c>
      <c r="Q7" s="876"/>
      <c r="R7" s="876"/>
      <c r="S7" s="876"/>
      <c r="T7" s="876"/>
      <c r="U7" s="876"/>
      <c r="V7" s="876"/>
      <c r="W7" s="876"/>
      <c r="X7" s="876"/>
      <c r="Y7" s="876"/>
      <c r="Z7" s="876"/>
      <c r="AA7" s="877"/>
      <c r="AC7" s="293"/>
      <c r="AD7" s="293"/>
      <c r="AE7" s="293"/>
      <c r="AF7" s="293"/>
      <c r="AG7" s="293"/>
    </row>
    <row r="8" spans="1:33" ht="22.7" customHeight="1">
      <c r="A8" s="227"/>
      <c r="B8" s="228"/>
      <c r="C8" s="878" t="s">
        <v>123</v>
      </c>
      <c r="D8" s="879"/>
      <c r="E8" s="879"/>
      <c r="F8" s="879"/>
      <c r="G8" s="879" t="s">
        <v>86</v>
      </c>
      <c r="H8" s="879"/>
      <c r="I8" s="879"/>
      <c r="J8" s="879"/>
      <c r="K8" s="879" t="s">
        <v>124</v>
      </c>
      <c r="L8" s="879"/>
      <c r="M8" s="879"/>
      <c r="N8" s="879"/>
      <c r="O8" s="583"/>
      <c r="P8" s="878" t="s">
        <v>86</v>
      </c>
      <c r="Q8" s="879"/>
      <c r="R8" s="879"/>
      <c r="S8" s="879"/>
      <c r="T8" s="879" t="s">
        <v>124</v>
      </c>
      <c r="U8" s="879"/>
      <c r="V8" s="879"/>
      <c r="W8" s="879"/>
      <c r="X8" s="879" t="s">
        <v>55</v>
      </c>
      <c r="Y8" s="879"/>
      <c r="Z8" s="879"/>
      <c r="AA8" s="880"/>
    </row>
    <row r="9" spans="1:33" ht="18.600000000000001" customHeight="1" thickBot="1">
      <c r="A9" s="227"/>
      <c r="B9" s="228"/>
      <c r="C9" s="908" t="s">
        <v>4</v>
      </c>
      <c r="D9" s="909"/>
      <c r="E9" s="910" t="s">
        <v>5</v>
      </c>
      <c r="F9" s="911"/>
      <c r="G9" s="911" t="s">
        <v>4</v>
      </c>
      <c r="H9" s="912"/>
      <c r="I9" s="910" t="s">
        <v>5</v>
      </c>
      <c r="J9" s="911"/>
      <c r="K9" s="911" t="s">
        <v>4</v>
      </c>
      <c r="L9" s="922"/>
      <c r="M9" s="923" t="s">
        <v>5</v>
      </c>
      <c r="N9" s="924"/>
      <c r="O9" s="624"/>
      <c r="P9" s="908" t="s">
        <v>4</v>
      </c>
      <c r="Q9" s="909"/>
      <c r="R9" s="910" t="s">
        <v>5</v>
      </c>
      <c r="S9" s="911"/>
      <c r="T9" s="911" t="s">
        <v>4</v>
      </c>
      <c r="U9" s="912"/>
      <c r="V9" s="910" t="s">
        <v>5</v>
      </c>
      <c r="W9" s="911"/>
      <c r="X9" s="911" t="s">
        <v>4</v>
      </c>
      <c r="Y9" s="922"/>
      <c r="Z9" s="923" t="s">
        <v>5</v>
      </c>
      <c r="AA9" s="930"/>
    </row>
    <row r="10" spans="1:33" ht="21" thickTop="1">
      <c r="A10" s="294" t="s">
        <v>6</v>
      </c>
      <c r="B10" s="295" t="s">
        <v>7</v>
      </c>
      <c r="C10" s="368" t="s">
        <v>8</v>
      </c>
      <c r="D10" s="369" t="s">
        <v>9</v>
      </c>
      <c r="E10" s="370" t="s">
        <v>8</v>
      </c>
      <c r="F10" s="371" t="s">
        <v>9</v>
      </c>
      <c r="G10" s="372" t="s">
        <v>8</v>
      </c>
      <c r="H10" s="373" t="s">
        <v>9</v>
      </c>
      <c r="I10" s="370" t="s">
        <v>8</v>
      </c>
      <c r="J10" s="371" t="s">
        <v>9</v>
      </c>
      <c r="K10" s="251" t="s">
        <v>8</v>
      </c>
      <c r="L10" s="248" t="s">
        <v>9</v>
      </c>
      <c r="M10" s="249" t="s">
        <v>8</v>
      </c>
      <c r="N10" s="250" t="s">
        <v>9</v>
      </c>
      <c r="O10" s="637"/>
      <c r="P10" s="368" t="s">
        <v>8</v>
      </c>
      <c r="Q10" s="369" t="s">
        <v>9</v>
      </c>
      <c r="R10" s="370" t="s">
        <v>8</v>
      </c>
      <c r="S10" s="371" t="s">
        <v>9</v>
      </c>
      <c r="T10" s="372" t="s">
        <v>8</v>
      </c>
      <c r="U10" s="373" t="s">
        <v>9</v>
      </c>
      <c r="V10" s="370" t="s">
        <v>8</v>
      </c>
      <c r="W10" s="371" t="s">
        <v>9</v>
      </c>
      <c r="X10" s="251" t="s">
        <v>8</v>
      </c>
      <c r="Y10" s="248" t="s">
        <v>9</v>
      </c>
      <c r="Z10" s="249" t="s">
        <v>8</v>
      </c>
      <c r="AA10" s="252" t="s">
        <v>9</v>
      </c>
      <c r="AB10" s="296"/>
    </row>
    <row r="11" spans="1:33" ht="54.95" hidden="1" customHeight="1" outlineLevel="1">
      <c r="A11" s="297">
        <v>6</v>
      </c>
      <c r="B11" s="298" t="s">
        <v>25</v>
      </c>
      <c r="C11" s="374"/>
      <c r="D11" s="375"/>
      <c r="E11" s="376"/>
      <c r="F11" s="377"/>
      <c r="G11" s="378"/>
      <c r="H11" s="379"/>
      <c r="I11" s="376"/>
      <c r="J11" s="377"/>
      <c r="K11" s="348"/>
      <c r="L11" s="345"/>
      <c r="M11" s="346"/>
      <c r="N11" s="347"/>
      <c r="O11" s="638"/>
      <c r="P11" s="374"/>
      <c r="Q11" s="375"/>
      <c r="R11" s="376"/>
      <c r="S11" s="377"/>
      <c r="T11" s="378"/>
      <c r="U11" s="379"/>
      <c r="V11" s="376"/>
      <c r="W11" s="377"/>
      <c r="X11" s="348"/>
      <c r="Y11" s="345"/>
      <c r="Z11" s="346"/>
      <c r="AA11" s="349"/>
      <c r="AB11" s="299"/>
      <c r="AC11" s="299"/>
      <c r="AD11" s="299"/>
      <c r="AE11" s="299"/>
      <c r="AF11" s="299"/>
      <c r="AG11" s="299"/>
    </row>
    <row r="12" spans="1:33" ht="54.95" hidden="1" customHeight="1" outlineLevel="1">
      <c r="A12" s="297"/>
      <c r="B12" s="298" t="s">
        <v>26</v>
      </c>
      <c r="C12" s="601"/>
      <c r="D12" s="602"/>
      <c r="E12" s="603"/>
      <c r="F12" s="604"/>
      <c r="G12" s="605"/>
      <c r="H12" s="606"/>
      <c r="I12" s="603"/>
      <c r="J12" s="604"/>
      <c r="K12" s="607"/>
      <c r="L12" s="608"/>
      <c r="M12" s="609"/>
      <c r="N12" s="610"/>
      <c r="O12" s="638"/>
      <c r="P12" s="601"/>
      <c r="Q12" s="602"/>
      <c r="R12" s="603"/>
      <c r="S12" s="604"/>
      <c r="T12" s="605"/>
      <c r="U12" s="606"/>
      <c r="V12" s="603"/>
      <c r="W12" s="604"/>
      <c r="X12" s="607"/>
      <c r="Y12" s="608"/>
      <c r="Z12" s="609"/>
      <c r="AA12" s="611"/>
      <c r="AB12" s="299"/>
      <c r="AC12" s="299"/>
      <c r="AD12" s="299"/>
      <c r="AE12" s="299"/>
      <c r="AF12" s="299"/>
      <c r="AG12" s="299"/>
    </row>
    <row r="13" spans="1:33" ht="54.95" customHeight="1" collapsed="1">
      <c r="A13" s="297">
        <v>7</v>
      </c>
      <c r="B13" s="298" t="s">
        <v>140</v>
      </c>
      <c r="C13" s="253"/>
      <c r="D13" s="254"/>
      <c r="E13" s="255"/>
      <c r="F13" s="256"/>
      <c r="G13" s="257"/>
      <c r="H13" s="254"/>
      <c r="I13" s="255"/>
      <c r="J13" s="256"/>
      <c r="K13" s="253"/>
      <c r="L13" s="254"/>
      <c r="M13" s="255"/>
      <c r="N13" s="256"/>
      <c r="O13" s="638"/>
      <c r="P13" s="253"/>
      <c r="Q13" s="254"/>
      <c r="R13" s="255"/>
      <c r="S13" s="256"/>
      <c r="T13" s="257"/>
      <c r="U13" s="254"/>
      <c r="V13" s="255"/>
      <c r="W13" s="256"/>
      <c r="X13" s="253"/>
      <c r="Y13" s="254"/>
      <c r="Z13" s="255"/>
      <c r="AA13" s="256"/>
      <c r="AB13" s="299"/>
      <c r="AC13" s="299"/>
      <c r="AD13" s="299"/>
      <c r="AE13" s="299"/>
      <c r="AF13" s="299"/>
      <c r="AG13" s="299"/>
    </row>
    <row r="14" spans="1:33" ht="54.95" customHeight="1">
      <c r="A14" s="297"/>
      <c r="B14" s="298" t="s">
        <v>141</v>
      </c>
      <c r="C14" s="613"/>
      <c r="D14" s="614"/>
      <c r="E14" s="619"/>
      <c r="F14" s="620"/>
      <c r="G14" s="615"/>
      <c r="H14" s="614"/>
      <c r="I14" s="619"/>
      <c r="J14" s="620"/>
      <c r="K14" s="613"/>
      <c r="L14" s="614"/>
      <c r="M14" s="619"/>
      <c r="N14" s="620"/>
      <c r="O14" s="638"/>
      <c r="P14" s="613"/>
      <c r="Q14" s="614"/>
      <c r="R14" s="619"/>
      <c r="S14" s="620"/>
      <c r="T14" s="615"/>
      <c r="U14" s="614"/>
      <c r="V14" s="619"/>
      <c r="W14" s="620"/>
      <c r="X14" s="613"/>
      <c r="Y14" s="614"/>
      <c r="Z14" s="619"/>
      <c r="AA14" s="620"/>
      <c r="AB14" s="299"/>
      <c r="AC14" s="299"/>
      <c r="AD14" s="299"/>
      <c r="AE14" s="299"/>
      <c r="AF14" s="299"/>
      <c r="AG14" s="299"/>
    </row>
    <row r="15" spans="1:33" ht="54.95" customHeight="1">
      <c r="A15" s="297"/>
      <c r="B15" s="298" t="s">
        <v>142</v>
      </c>
      <c r="C15" s="259"/>
      <c r="D15" s="260"/>
      <c r="E15" s="261"/>
      <c r="F15" s="262"/>
      <c r="G15" s="263"/>
      <c r="H15" s="260"/>
      <c r="I15" s="261"/>
      <c r="J15" s="262"/>
      <c r="K15" s="259"/>
      <c r="L15" s="260"/>
      <c r="M15" s="261"/>
      <c r="N15" s="262"/>
      <c r="O15" s="638"/>
      <c r="P15" s="259"/>
      <c r="Q15" s="260"/>
      <c r="R15" s="261"/>
      <c r="S15" s="262"/>
      <c r="T15" s="263"/>
      <c r="U15" s="260"/>
      <c r="V15" s="261"/>
      <c r="W15" s="262"/>
      <c r="X15" s="259"/>
      <c r="Y15" s="260"/>
      <c r="Z15" s="261"/>
      <c r="AA15" s="262"/>
      <c r="AB15" s="299"/>
      <c r="AC15" s="299"/>
      <c r="AD15" s="299"/>
      <c r="AE15" s="299"/>
      <c r="AF15" s="299"/>
      <c r="AG15" s="299"/>
    </row>
    <row r="16" spans="1:33" ht="54.95" customHeight="1">
      <c r="A16" s="297"/>
      <c r="B16" s="298" t="s">
        <v>143</v>
      </c>
      <c r="C16" s="616"/>
      <c r="D16" s="617"/>
      <c r="E16" s="621"/>
      <c r="F16" s="622"/>
      <c r="G16" s="618"/>
      <c r="H16" s="617"/>
      <c r="I16" s="621"/>
      <c r="J16" s="622"/>
      <c r="K16" s="616"/>
      <c r="L16" s="617"/>
      <c r="M16" s="621"/>
      <c r="N16" s="622"/>
      <c r="O16" s="638"/>
      <c r="P16" s="616"/>
      <c r="Q16" s="617"/>
      <c r="R16" s="621"/>
      <c r="S16" s="622"/>
      <c r="T16" s="618"/>
      <c r="U16" s="617"/>
      <c r="V16" s="621"/>
      <c r="W16" s="622"/>
      <c r="X16" s="616"/>
      <c r="Y16" s="617"/>
      <c r="Z16" s="621"/>
      <c r="AA16" s="622"/>
      <c r="AB16" s="299"/>
      <c r="AC16" s="299"/>
      <c r="AD16" s="299"/>
      <c r="AE16" s="299"/>
      <c r="AF16" s="299"/>
      <c r="AG16" s="299"/>
    </row>
    <row r="17" spans="1:33" ht="54.95" customHeight="1">
      <c r="A17" s="297">
        <v>8</v>
      </c>
      <c r="B17" s="298" t="s">
        <v>140</v>
      </c>
      <c r="C17" s="253"/>
      <c r="D17" s="254"/>
      <c r="E17" s="255"/>
      <c r="F17" s="256"/>
      <c r="G17" s="257"/>
      <c r="H17" s="254"/>
      <c r="I17" s="255"/>
      <c r="J17" s="256"/>
      <c r="K17" s="253"/>
      <c r="L17" s="254"/>
      <c r="M17" s="255"/>
      <c r="N17" s="256"/>
      <c r="O17" s="638"/>
      <c r="P17" s="253"/>
      <c r="Q17" s="254"/>
      <c r="R17" s="255"/>
      <c r="S17" s="256"/>
      <c r="T17" s="257"/>
      <c r="U17" s="254"/>
      <c r="V17" s="255"/>
      <c r="W17" s="256"/>
      <c r="X17" s="253"/>
      <c r="Y17" s="254"/>
      <c r="Z17" s="255"/>
      <c r="AA17" s="256"/>
      <c r="AB17" s="299"/>
      <c r="AC17" s="299"/>
      <c r="AD17" s="299"/>
      <c r="AE17" s="299"/>
      <c r="AF17" s="299"/>
      <c r="AG17" s="299"/>
    </row>
    <row r="18" spans="1:33" ht="54.95" customHeight="1">
      <c r="A18" s="297"/>
      <c r="B18" s="298" t="s">
        <v>141</v>
      </c>
      <c r="C18" s="613"/>
      <c r="D18" s="614"/>
      <c r="E18" s="619"/>
      <c r="F18" s="620"/>
      <c r="G18" s="615"/>
      <c r="H18" s="614"/>
      <c r="I18" s="619"/>
      <c r="J18" s="620"/>
      <c r="K18" s="613"/>
      <c r="L18" s="614"/>
      <c r="M18" s="619"/>
      <c r="N18" s="620"/>
      <c r="O18" s="638"/>
      <c r="P18" s="613"/>
      <c r="Q18" s="614"/>
      <c r="R18" s="619"/>
      <c r="S18" s="620"/>
      <c r="T18" s="615"/>
      <c r="U18" s="614"/>
      <c r="V18" s="619"/>
      <c r="W18" s="620"/>
      <c r="X18" s="613"/>
      <c r="Y18" s="614"/>
      <c r="Z18" s="619"/>
      <c r="AA18" s="620"/>
      <c r="AB18" s="299"/>
      <c r="AC18" s="299"/>
      <c r="AD18" s="299"/>
      <c r="AE18" s="299"/>
      <c r="AF18" s="299"/>
      <c r="AG18" s="299"/>
    </row>
    <row r="19" spans="1:33" ht="54.95" customHeight="1">
      <c r="A19" s="297"/>
      <c r="B19" s="298" t="s">
        <v>142</v>
      </c>
      <c r="C19" s="259"/>
      <c r="D19" s="260"/>
      <c r="E19" s="261"/>
      <c r="F19" s="262"/>
      <c r="G19" s="263"/>
      <c r="H19" s="260"/>
      <c r="I19" s="261"/>
      <c r="J19" s="262"/>
      <c r="K19" s="259"/>
      <c r="L19" s="260"/>
      <c r="M19" s="261"/>
      <c r="N19" s="262"/>
      <c r="O19" s="638"/>
      <c r="P19" s="259"/>
      <c r="Q19" s="260"/>
      <c r="R19" s="261"/>
      <c r="S19" s="262"/>
      <c r="T19" s="263"/>
      <c r="U19" s="260"/>
      <c r="V19" s="261"/>
      <c r="W19" s="262"/>
      <c r="X19" s="259"/>
      <c r="Y19" s="260"/>
      <c r="Z19" s="261"/>
      <c r="AA19" s="262"/>
      <c r="AB19" s="299"/>
      <c r="AC19" s="299"/>
      <c r="AD19" s="299"/>
      <c r="AE19" s="299"/>
      <c r="AF19" s="299"/>
      <c r="AG19" s="299"/>
    </row>
    <row r="20" spans="1:33" ht="54.95" customHeight="1" thickBot="1">
      <c r="A20" s="297"/>
      <c r="B20" s="298" t="s">
        <v>143</v>
      </c>
      <c r="C20" s="616"/>
      <c r="D20" s="617"/>
      <c r="E20" s="621"/>
      <c r="F20" s="622"/>
      <c r="G20" s="618"/>
      <c r="H20" s="617"/>
      <c r="I20" s="621"/>
      <c r="J20" s="622"/>
      <c r="K20" s="616"/>
      <c r="L20" s="617"/>
      <c r="M20" s="621"/>
      <c r="N20" s="622"/>
      <c r="O20" s="638"/>
      <c r="P20" s="616"/>
      <c r="Q20" s="617"/>
      <c r="R20" s="621"/>
      <c r="S20" s="622"/>
      <c r="T20" s="618"/>
      <c r="U20" s="617"/>
      <c r="V20" s="621"/>
      <c r="W20" s="622"/>
      <c r="X20" s="616"/>
      <c r="Y20" s="617"/>
      <c r="Z20" s="621"/>
      <c r="AA20" s="622"/>
      <c r="AB20" s="299"/>
      <c r="AC20" s="299"/>
      <c r="AD20" s="299"/>
      <c r="AE20" s="299"/>
      <c r="AF20" s="299"/>
      <c r="AG20" s="299"/>
    </row>
    <row r="21" spans="1:33" ht="54.95" hidden="1" customHeight="1" outlineLevel="1">
      <c r="A21" s="297">
        <v>9</v>
      </c>
      <c r="B21" s="298" t="s">
        <v>23</v>
      </c>
      <c r="C21" s="374"/>
      <c r="D21" s="375"/>
      <c r="E21" s="376"/>
      <c r="F21" s="377"/>
      <c r="G21" s="378"/>
      <c r="H21" s="379"/>
      <c r="I21" s="376"/>
      <c r="J21" s="377"/>
      <c r="K21" s="348"/>
      <c r="L21" s="345"/>
      <c r="M21" s="346"/>
      <c r="N21" s="347"/>
      <c r="O21" s="638"/>
      <c r="P21" s="374"/>
      <c r="Q21" s="375"/>
      <c r="R21" s="376"/>
      <c r="S21" s="377"/>
      <c r="T21" s="378"/>
      <c r="U21" s="379"/>
      <c r="V21" s="376"/>
      <c r="W21" s="377"/>
      <c r="X21" s="348"/>
      <c r="Y21" s="345"/>
      <c r="Z21" s="346"/>
      <c r="AA21" s="349"/>
      <c r="AB21" s="299"/>
      <c r="AC21" s="299"/>
      <c r="AD21" s="299"/>
      <c r="AE21" s="299"/>
      <c r="AF21" s="299"/>
      <c r="AG21" s="299"/>
    </row>
    <row r="22" spans="1:33" ht="54.95" hidden="1" customHeight="1" outlineLevel="1" thickBot="1">
      <c r="A22" s="300"/>
      <c r="B22" s="301" t="s">
        <v>24</v>
      </c>
      <c r="C22" s="380"/>
      <c r="D22" s="381"/>
      <c r="E22" s="382"/>
      <c r="F22" s="383"/>
      <c r="G22" s="384"/>
      <c r="H22" s="385"/>
      <c r="I22" s="382"/>
      <c r="J22" s="383"/>
      <c r="K22" s="354"/>
      <c r="L22" s="351"/>
      <c r="M22" s="352"/>
      <c r="N22" s="353"/>
      <c r="O22" s="638"/>
      <c r="P22" s="380"/>
      <c r="Q22" s="381"/>
      <c r="R22" s="382"/>
      <c r="S22" s="383"/>
      <c r="T22" s="384"/>
      <c r="U22" s="385"/>
      <c r="V22" s="382"/>
      <c r="W22" s="383"/>
      <c r="X22" s="354"/>
      <c r="Y22" s="351"/>
      <c r="Z22" s="352"/>
      <c r="AA22" s="355"/>
      <c r="AB22" s="299"/>
      <c r="AC22" s="299"/>
      <c r="AD22" s="299"/>
      <c r="AE22" s="299"/>
      <c r="AF22" s="299"/>
      <c r="AG22" s="299"/>
    </row>
    <row r="23" spans="1:33" s="8" customFormat="1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638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  <c r="AB23" s="2"/>
      <c r="AC23" s="2"/>
      <c r="AD23" s="2"/>
      <c r="AE23" s="2"/>
      <c r="AF23" s="2"/>
      <c r="AG23" s="2"/>
    </row>
    <row r="24" spans="1:33" s="8" customFormat="1" ht="75" customHeight="1" thickBot="1">
      <c r="A24" s="639" t="s">
        <v>27</v>
      </c>
      <c r="B24" s="640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674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  <c r="AA24" s="598"/>
    </row>
    <row r="25" spans="1:33" s="8" customFormat="1" ht="6" hidden="1" customHeight="1" outlineLevel="1" thickBot="1">
      <c r="A25" s="599"/>
      <c r="B25" s="597"/>
      <c r="C25" s="594"/>
      <c r="D25" s="594"/>
      <c r="E25" s="594"/>
      <c r="F25" s="594"/>
      <c r="G25" s="594"/>
      <c r="H25" s="594"/>
      <c r="I25" s="594"/>
      <c r="J25" s="594"/>
      <c r="K25" s="594"/>
      <c r="L25" s="594"/>
      <c r="M25" s="594"/>
      <c r="N25" s="594"/>
      <c r="O25" s="597"/>
      <c r="P25" s="594"/>
      <c r="Q25" s="594"/>
      <c r="R25" s="594"/>
      <c r="S25" s="594"/>
      <c r="T25" s="594"/>
      <c r="U25" s="594"/>
      <c r="V25" s="594"/>
      <c r="W25" s="594"/>
      <c r="X25" s="594"/>
      <c r="Y25" s="594"/>
      <c r="Z25" s="594"/>
      <c r="AA25" s="595"/>
    </row>
    <row r="26" spans="1:33" ht="32.25" customHeight="1" collapsed="1" thickTop="1">
      <c r="A26" s="227"/>
      <c r="B26" s="228"/>
      <c r="C26" s="875" t="s">
        <v>85</v>
      </c>
      <c r="D26" s="876"/>
      <c r="E26" s="876"/>
      <c r="F26" s="876"/>
      <c r="G26" s="876"/>
      <c r="H26" s="876"/>
      <c r="I26" s="876"/>
      <c r="J26" s="876"/>
      <c r="K26" s="876"/>
      <c r="L26" s="876"/>
      <c r="M26" s="876"/>
      <c r="N26" s="876"/>
      <c r="O26" s="636"/>
      <c r="P26" s="875" t="s">
        <v>122</v>
      </c>
      <c r="Q26" s="876"/>
      <c r="R26" s="876"/>
      <c r="S26" s="876"/>
      <c r="T26" s="876"/>
      <c r="U26" s="876"/>
      <c r="V26" s="876"/>
      <c r="W26" s="876"/>
      <c r="X26" s="876"/>
      <c r="Y26" s="876"/>
      <c r="Z26" s="876"/>
      <c r="AA26" s="877"/>
      <c r="AC26" s="293"/>
      <c r="AD26" s="293"/>
      <c r="AE26" s="293"/>
      <c r="AF26" s="293"/>
      <c r="AG26" s="293"/>
    </row>
    <row r="27" spans="1:33" ht="22.7" customHeight="1">
      <c r="A27" s="227"/>
      <c r="B27" s="228"/>
      <c r="C27" s="879" t="s">
        <v>124</v>
      </c>
      <c r="D27" s="879"/>
      <c r="E27" s="879"/>
      <c r="F27" s="879"/>
      <c r="G27" s="879" t="s">
        <v>55</v>
      </c>
      <c r="H27" s="879"/>
      <c r="I27" s="879"/>
      <c r="J27" s="880"/>
      <c r="K27" s="878" t="s">
        <v>123</v>
      </c>
      <c r="L27" s="879"/>
      <c r="M27" s="879"/>
      <c r="N27" s="879"/>
      <c r="O27" s="579"/>
      <c r="P27" s="879" t="s">
        <v>55</v>
      </c>
      <c r="Q27" s="879"/>
      <c r="R27" s="879"/>
      <c r="S27" s="880"/>
      <c r="T27" s="878" t="s">
        <v>123</v>
      </c>
      <c r="U27" s="879"/>
      <c r="V27" s="879"/>
      <c r="W27" s="879"/>
      <c r="X27" s="878" t="s">
        <v>86</v>
      </c>
      <c r="Y27" s="879"/>
      <c r="Z27" s="879"/>
      <c r="AA27" s="879"/>
    </row>
    <row r="28" spans="1:33" ht="18.600000000000001" customHeight="1" thickBot="1">
      <c r="A28" s="227"/>
      <c r="B28" s="228"/>
      <c r="C28" s="908" t="s">
        <v>4</v>
      </c>
      <c r="D28" s="909"/>
      <c r="E28" s="910" t="s">
        <v>5</v>
      </c>
      <c r="F28" s="911"/>
      <c r="G28" s="911" t="s">
        <v>4</v>
      </c>
      <c r="H28" s="912"/>
      <c r="I28" s="910" t="s">
        <v>5</v>
      </c>
      <c r="J28" s="911"/>
      <c r="K28" s="911" t="s">
        <v>4</v>
      </c>
      <c r="L28" s="922"/>
      <c r="M28" s="923" t="s">
        <v>5</v>
      </c>
      <c r="N28" s="924"/>
      <c r="O28" s="624"/>
      <c r="P28" s="908" t="s">
        <v>4</v>
      </c>
      <c r="Q28" s="909"/>
      <c r="R28" s="910" t="s">
        <v>5</v>
      </c>
      <c r="S28" s="911"/>
      <c r="T28" s="911" t="s">
        <v>4</v>
      </c>
      <c r="U28" s="912"/>
      <c r="V28" s="910" t="s">
        <v>5</v>
      </c>
      <c r="W28" s="911"/>
      <c r="X28" s="911" t="s">
        <v>4</v>
      </c>
      <c r="Y28" s="922"/>
      <c r="Z28" s="923" t="s">
        <v>5</v>
      </c>
      <c r="AA28" s="930"/>
    </row>
    <row r="29" spans="1:33" ht="21" thickTop="1">
      <c r="A29" s="294" t="s">
        <v>6</v>
      </c>
      <c r="B29" s="295" t="s">
        <v>7</v>
      </c>
      <c r="C29" s="368" t="s">
        <v>8</v>
      </c>
      <c r="D29" s="369" t="s">
        <v>9</v>
      </c>
      <c r="E29" s="370" t="s">
        <v>8</v>
      </c>
      <c r="F29" s="371" t="s">
        <v>9</v>
      </c>
      <c r="G29" s="372" t="s">
        <v>8</v>
      </c>
      <c r="H29" s="373" t="s">
        <v>9</v>
      </c>
      <c r="I29" s="370" t="s">
        <v>8</v>
      </c>
      <c r="J29" s="371" t="s">
        <v>9</v>
      </c>
      <c r="K29" s="251" t="s">
        <v>8</v>
      </c>
      <c r="L29" s="248" t="s">
        <v>9</v>
      </c>
      <c r="M29" s="249" t="s">
        <v>8</v>
      </c>
      <c r="N29" s="250" t="s">
        <v>9</v>
      </c>
      <c r="O29" s="637"/>
      <c r="P29" s="368" t="s">
        <v>8</v>
      </c>
      <c r="Q29" s="369" t="s">
        <v>9</v>
      </c>
      <c r="R29" s="370" t="s">
        <v>8</v>
      </c>
      <c r="S29" s="371" t="s">
        <v>9</v>
      </c>
      <c r="T29" s="372" t="s">
        <v>8</v>
      </c>
      <c r="U29" s="373" t="s">
        <v>9</v>
      </c>
      <c r="V29" s="370" t="s">
        <v>8</v>
      </c>
      <c r="W29" s="371" t="s">
        <v>9</v>
      </c>
      <c r="X29" s="251" t="s">
        <v>8</v>
      </c>
      <c r="Y29" s="248" t="s">
        <v>9</v>
      </c>
      <c r="Z29" s="249" t="s">
        <v>8</v>
      </c>
      <c r="AA29" s="252" t="s">
        <v>9</v>
      </c>
      <c r="AB29" s="296"/>
    </row>
    <row r="30" spans="1:33" ht="54.95" hidden="1" customHeight="1" outlineLevel="1">
      <c r="A30" s="297">
        <v>6</v>
      </c>
      <c r="B30" s="298" t="s">
        <v>25</v>
      </c>
      <c r="C30" s="374"/>
      <c r="D30" s="375"/>
      <c r="E30" s="376"/>
      <c r="F30" s="377"/>
      <c r="G30" s="378"/>
      <c r="H30" s="379"/>
      <c r="I30" s="376"/>
      <c r="J30" s="377"/>
      <c r="K30" s="348"/>
      <c r="L30" s="345"/>
      <c r="M30" s="346"/>
      <c r="N30" s="347"/>
      <c r="O30" s="638"/>
      <c r="P30" s="374"/>
      <c r="Q30" s="375"/>
      <c r="R30" s="376"/>
      <c r="S30" s="377"/>
      <c r="T30" s="378"/>
      <c r="U30" s="379"/>
      <c r="V30" s="376"/>
      <c r="W30" s="377"/>
      <c r="X30" s="348"/>
      <c r="Y30" s="345"/>
      <c r="Z30" s="346"/>
      <c r="AA30" s="349"/>
      <c r="AB30" s="299"/>
      <c r="AC30" s="299"/>
      <c r="AD30" s="299"/>
      <c r="AE30" s="299"/>
      <c r="AF30" s="299"/>
      <c r="AG30" s="299"/>
    </row>
    <row r="31" spans="1:33" ht="54.95" hidden="1" customHeight="1" outlineLevel="1">
      <c r="A31" s="297"/>
      <c r="B31" s="298" t="s">
        <v>26</v>
      </c>
      <c r="C31" s="601"/>
      <c r="D31" s="602"/>
      <c r="E31" s="603"/>
      <c r="F31" s="604"/>
      <c r="G31" s="605"/>
      <c r="H31" s="606"/>
      <c r="I31" s="603"/>
      <c r="J31" s="604"/>
      <c r="K31" s="607"/>
      <c r="L31" s="608"/>
      <c r="M31" s="609"/>
      <c r="N31" s="610"/>
      <c r="O31" s="638"/>
      <c r="P31" s="601"/>
      <c r="Q31" s="602"/>
      <c r="R31" s="603"/>
      <c r="S31" s="604"/>
      <c r="T31" s="605"/>
      <c r="U31" s="606"/>
      <c r="V31" s="603"/>
      <c r="W31" s="604"/>
      <c r="X31" s="607"/>
      <c r="Y31" s="608"/>
      <c r="Z31" s="609"/>
      <c r="AA31" s="611"/>
      <c r="AB31" s="299"/>
      <c r="AC31" s="299"/>
      <c r="AD31" s="299"/>
      <c r="AE31" s="299"/>
      <c r="AF31" s="299"/>
      <c r="AG31" s="299"/>
    </row>
    <row r="32" spans="1:33" ht="54.95" customHeight="1" collapsed="1">
      <c r="A32" s="297">
        <v>7</v>
      </c>
      <c r="B32" s="298" t="s">
        <v>140</v>
      </c>
      <c r="C32" s="253"/>
      <c r="D32" s="254"/>
      <c r="E32" s="255"/>
      <c r="F32" s="256"/>
      <c r="G32" s="257"/>
      <c r="H32" s="254"/>
      <c r="I32" s="255"/>
      <c r="J32" s="256"/>
      <c r="K32" s="253"/>
      <c r="L32" s="254"/>
      <c r="M32" s="255"/>
      <c r="N32" s="256"/>
      <c r="O32" s="638"/>
      <c r="P32" s="253"/>
      <c r="Q32" s="254"/>
      <c r="R32" s="255"/>
      <c r="S32" s="256"/>
      <c r="T32" s="257"/>
      <c r="U32" s="254"/>
      <c r="V32" s="255"/>
      <c r="W32" s="256"/>
      <c r="X32" s="253"/>
      <c r="Y32" s="254"/>
      <c r="Z32" s="255"/>
      <c r="AA32" s="256"/>
      <c r="AB32" s="299"/>
      <c r="AC32" s="299"/>
      <c r="AD32" s="299"/>
      <c r="AE32" s="299"/>
      <c r="AF32" s="299"/>
      <c r="AG32" s="299"/>
    </row>
    <row r="33" spans="1:37" ht="54.95" customHeight="1">
      <c r="A33" s="297"/>
      <c r="B33" s="298" t="s">
        <v>141</v>
      </c>
      <c r="C33" s="613"/>
      <c r="D33" s="614"/>
      <c r="E33" s="619"/>
      <c r="F33" s="620"/>
      <c r="G33" s="615"/>
      <c r="H33" s="614"/>
      <c r="I33" s="619"/>
      <c r="J33" s="620"/>
      <c r="K33" s="613"/>
      <c r="L33" s="614"/>
      <c r="M33" s="619"/>
      <c r="N33" s="620"/>
      <c r="O33" s="638"/>
      <c r="P33" s="613"/>
      <c r="Q33" s="614"/>
      <c r="R33" s="619"/>
      <c r="S33" s="620"/>
      <c r="T33" s="615"/>
      <c r="U33" s="614"/>
      <c r="V33" s="619"/>
      <c r="W33" s="620"/>
      <c r="X33" s="613"/>
      <c r="Y33" s="614"/>
      <c r="Z33" s="619"/>
      <c r="AA33" s="620"/>
      <c r="AB33" s="299"/>
      <c r="AC33" s="299"/>
      <c r="AD33" s="299"/>
      <c r="AE33" s="299"/>
      <c r="AF33" s="299"/>
      <c r="AG33" s="299"/>
    </row>
    <row r="34" spans="1:37" ht="54.95" customHeight="1">
      <c r="A34" s="297"/>
      <c r="B34" s="298" t="s">
        <v>142</v>
      </c>
      <c r="C34" s="259"/>
      <c r="D34" s="260"/>
      <c r="E34" s="261"/>
      <c r="F34" s="262"/>
      <c r="G34" s="263"/>
      <c r="H34" s="260"/>
      <c r="I34" s="261"/>
      <c r="J34" s="262"/>
      <c r="K34" s="259"/>
      <c r="L34" s="260"/>
      <c r="M34" s="261"/>
      <c r="N34" s="262"/>
      <c r="O34" s="638"/>
      <c r="P34" s="259"/>
      <c r="Q34" s="260"/>
      <c r="R34" s="261"/>
      <c r="S34" s="262"/>
      <c r="T34" s="263"/>
      <c r="U34" s="260"/>
      <c r="V34" s="261"/>
      <c r="W34" s="262"/>
      <c r="X34" s="259"/>
      <c r="Y34" s="260"/>
      <c r="Z34" s="261"/>
      <c r="AA34" s="262"/>
      <c r="AB34" s="299"/>
      <c r="AC34" s="299"/>
      <c r="AD34" s="299"/>
      <c r="AE34" s="299"/>
      <c r="AF34" s="299"/>
      <c r="AG34" s="299"/>
    </row>
    <row r="35" spans="1:37" ht="54.95" customHeight="1">
      <c r="A35" s="297"/>
      <c r="B35" s="298" t="s">
        <v>143</v>
      </c>
      <c r="C35" s="616"/>
      <c r="D35" s="617"/>
      <c r="E35" s="621"/>
      <c r="F35" s="622"/>
      <c r="G35" s="618"/>
      <c r="H35" s="617"/>
      <c r="I35" s="621"/>
      <c r="J35" s="622"/>
      <c r="K35" s="616"/>
      <c r="L35" s="617"/>
      <c r="M35" s="621"/>
      <c r="N35" s="622"/>
      <c r="O35" s="638"/>
      <c r="P35" s="616"/>
      <c r="Q35" s="617"/>
      <c r="R35" s="621"/>
      <c r="S35" s="622"/>
      <c r="T35" s="618"/>
      <c r="U35" s="617"/>
      <c r="V35" s="621"/>
      <c r="W35" s="622"/>
      <c r="X35" s="616"/>
      <c r="Y35" s="617"/>
      <c r="Z35" s="621"/>
      <c r="AA35" s="622"/>
      <c r="AB35" s="299"/>
      <c r="AC35" s="299"/>
      <c r="AD35" s="299"/>
      <c r="AE35" s="299"/>
      <c r="AF35" s="299"/>
      <c r="AG35" s="299"/>
    </row>
    <row r="36" spans="1:37" ht="54.95" customHeight="1">
      <c r="A36" s="297">
        <v>8</v>
      </c>
      <c r="B36" s="298" t="s">
        <v>140</v>
      </c>
      <c r="C36" s="253"/>
      <c r="D36" s="254"/>
      <c r="E36" s="255"/>
      <c r="F36" s="256"/>
      <c r="G36" s="257"/>
      <c r="H36" s="254"/>
      <c r="I36" s="255"/>
      <c r="J36" s="256"/>
      <c r="K36" s="253"/>
      <c r="L36" s="254"/>
      <c r="M36" s="255"/>
      <c r="N36" s="256"/>
      <c r="O36" s="638"/>
      <c r="P36" s="253"/>
      <c r="Q36" s="254"/>
      <c r="R36" s="255"/>
      <c r="S36" s="256"/>
      <c r="T36" s="257"/>
      <c r="U36" s="254"/>
      <c r="V36" s="255"/>
      <c r="W36" s="256"/>
      <c r="X36" s="253"/>
      <c r="Y36" s="254"/>
      <c r="Z36" s="255"/>
      <c r="AA36" s="256"/>
      <c r="AB36" s="299"/>
      <c r="AC36" s="299"/>
      <c r="AD36" s="299"/>
      <c r="AE36" s="299"/>
      <c r="AF36" s="299"/>
      <c r="AG36" s="299"/>
    </row>
    <row r="37" spans="1:37" ht="54.95" customHeight="1">
      <c r="A37" s="297"/>
      <c r="B37" s="298" t="s">
        <v>141</v>
      </c>
      <c r="C37" s="613"/>
      <c r="D37" s="614"/>
      <c r="E37" s="619"/>
      <c r="F37" s="620"/>
      <c r="G37" s="615"/>
      <c r="H37" s="614"/>
      <c r="I37" s="619"/>
      <c r="J37" s="620"/>
      <c r="K37" s="613"/>
      <c r="L37" s="614"/>
      <c r="M37" s="619"/>
      <c r="N37" s="620"/>
      <c r="O37" s="638"/>
      <c r="P37" s="613"/>
      <c r="Q37" s="614"/>
      <c r="R37" s="619"/>
      <c r="S37" s="620"/>
      <c r="T37" s="615"/>
      <c r="U37" s="614"/>
      <c r="V37" s="619"/>
      <c r="W37" s="620"/>
      <c r="X37" s="613"/>
      <c r="Y37" s="614"/>
      <c r="Z37" s="619"/>
      <c r="AA37" s="620"/>
      <c r="AB37" s="299"/>
      <c r="AC37" s="299"/>
      <c r="AD37" s="299"/>
      <c r="AE37" s="299"/>
      <c r="AF37" s="299"/>
      <c r="AG37" s="299"/>
    </row>
    <row r="38" spans="1:37" ht="54.95" customHeight="1">
      <c r="A38" s="297"/>
      <c r="B38" s="298" t="s">
        <v>142</v>
      </c>
      <c r="C38" s="259"/>
      <c r="D38" s="260"/>
      <c r="E38" s="261"/>
      <c r="F38" s="262"/>
      <c r="G38" s="263"/>
      <c r="H38" s="260"/>
      <c r="I38" s="261"/>
      <c r="J38" s="262"/>
      <c r="K38" s="259"/>
      <c r="L38" s="260"/>
      <c r="M38" s="261"/>
      <c r="N38" s="262"/>
      <c r="O38" s="638"/>
      <c r="P38" s="259"/>
      <c r="Q38" s="260"/>
      <c r="R38" s="261"/>
      <c r="S38" s="262"/>
      <c r="T38" s="263"/>
      <c r="U38" s="260"/>
      <c r="V38" s="261"/>
      <c r="W38" s="262"/>
      <c r="X38" s="259"/>
      <c r="Y38" s="260"/>
      <c r="Z38" s="261"/>
      <c r="AA38" s="262"/>
      <c r="AB38" s="299"/>
      <c r="AC38" s="299"/>
      <c r="AD38" s="299"/>
      <c r="AE38" s="299"/>
      <c r="AF38" s="299"/>
      <c r="AG38" s="299"/>
    </row>
    <row r="39" spans="1:37" ht="54.95" customHeight="1" thickBot="1">
      <c r="A39" s="297"/>
      <c r="B39" s="298" t="s">
        <v>143</v>
      </c>
      <c r="C39" s="616"/>
      <c r="D39" s="617"/>
      <c r="E39" s="621"/>
      <c r="F39" s="622"/>
      <c r="G39" s="618"/>
      <c r="H39" s="617"/>
      <c r="I39" s="621"/>
      <c r="J39" s="622"/>
      <c r="K39" s="616"/>
      <c r="L39" s="617"/>
      <c r="M39" s="621"/>
      <c r="N39" s="622"/>
      <c r="O39" s="638"/>
      <c r="P39" s="616"/>
      <c r="Q39" s="617"/>
      <c r="R39" s="621"/>
      <c r="S39" s="622"/>
      <c r="T39" s="618"/>
      <c r="U39" s="617"/>
      <c r="V39" s="621"/>
      <c r="W39" s="622"/>
      <c r="X39" s="616"/>
      <c r="Y39" s="617"/>
      <c r="Z39" s="621"/>
      <c r="AA39" s="622"/>
      <c r="AB39" s="299"/>
      <c r="AC39" s="299"/>
      <c r="AD39" s="299"/>
      <c r="AE39" s="299"/>
      <c r="AF39" s="299"/>
      <c r="AG39" s="299"/>
    </row>
    <row r="40" spans="1:37" ht="54.95" hidden="1" customHeight="1" outlineLevel="1">
      <c r="A40" s="297">
        <v>9</v>
      </c>
      <c r="B40" s="298" t="s">
        <v>23</v>
      </c>
      <c r="C40" s="374"/>
      <c r="D40" s="375"/>
      <c r="E40" s="376"/>
      <c r="F40" s="377"/>
      <c r="G40" s="378"/>
      <c r="H40" s="379"/>
      <c r="I40" s="376"/>
      <c r="J40" s="377"/>
      <c r="K40" s="348"/>
      <c r="L40" s="345"/>
      <c r="M40" s="346"/>
      <c r="N40" s="347"/>
      <c r="O40" s="638"/>
      <c r="P40" s="374"/>
      <c r="Q40" s="375"/>
      <c r="R40" s="376"/>
      <c r="S40" s="377"/>
      <c r="T40" s="378"/>
      <c r="U40" s="379"/>
      <c r="V40" s="376"/>
      <c r="W40" s="377"/>
      <c r="X40" s="348"/>
      <c r="Y40" s="345"/>
      <c r="Z40" s="346"/>
      <c r="AA40" s="349"/>
      <c r="AB40" s="299"/>
      <c r="AC40" s="299"/>
      <c r="AD40" s="299"/>
      <c r="AE40" s="299"/>
      <c r="AF40" s="299"/>
      <c r="AG40" s="299"/>
    </row>
    <row r="41" spans="1:37" ht="54.95" hidden="1" customHeight="1" outlineLevel="1" thickBot="1">
      <c r="A41" s="300"/>
      <c r="B41" s="301" t="s">
        <v>24</v>
      </c>
      <c r="C41" s="380"/>
      <c r="D41" s="381"/>
      <c r="E41" s="382"/>
      <c r="F41" s="383"/>
      <c r="G41" s="384"/>
      <c r="H41" s="385"/>
      <c r="I41" s="382"/>
      <c r="J41" s="383"/>
      <c r="K41" s="354"/>
      <c r="L41" s="351"/>
      <c r="M41" s="352"/>
      <c r="N41" s="353"/>
      <c r="O41" s="638"/>
      <c r="P41" s="380"/>
      <c r="Q41" s="381"/>
      <c r="R41" s="382"/>
      <c r="S41" s="383"/>
      <c r="T41" s="384"/>
      <c r="U41" s="385"/>
      <c r="V41" s="382"/>
      <c r="W41" s="383"/>
      <c r="X41" s="354"/>
      <c r="Y41" s="351"/>
      <c r="Z41" s="352"/>
      <c r="AA41" s="355"/>
      <c r="AB41" s="299"/>
      <c r="AC41" s="299"/>
      <c r="AD41" s="299"/>
      <c r="AE41" s="299"/>
      <c r="AF41" s="299"/>
      <c r="AG41" s="299"/>
    </row>
    <row r="42" spans="1:37" s="8" customFormat="1" ht="30" customHeight="1" collapsed="1" thickTop="1" thickBot="1">
      <c r="A42" s="593"/>
      <c r="B42" s="593"/>
      <c r="C42" s="596"/>
      <c r="D42" s="596"/>
      <c r="E42" s="596"/>
      <c r="F42" s="596"/>
      <c r="G42" s="596"/>
      <c r="H42" s="596"/>
      <c r="I42" s="596"/>
      <c r="J42" s="596"/>
      <c r="K42" s="596"/>
      <c r="L42" s="596"/>
      <c r="M42" s="596"/>
      <c r="N42" s="596"/>
      <c r="O42" s="638"/>
      <c r="P42" s="596"/>
      <c r="Q42" s="596"/>
      <c r="R42" s="596"/>
      <c r="S42" s="596"/>
      <c r="T42" s="596"/>
      <c r="U42" s="596"/>
      <c r="V42" s="596"/>
      <c r="W42" s="596"/>
      <c r="X42" s="596"/>
      <c r="Y42" s="596"/>
      <c r="Z42" s="596"/>
      <c r="AA42" s="596"/>
      <c r="AB42" s="2"/>
      <c r="AC42" s="2"/>
      <c r="AD42" s="2"/>
      <c r="AE42" s="2"/>
      <c r="AF42" s="2"/>
      <c r="AG42" s="2"/>
    </row>
    <row r="43" spans="1:37" s="8" customFormat="1" ht="30" hidden="1" customHeight="1" outlineLevel="1" thickBot="1">
      <c r="A43" s="599"/>
      <c r="B43" s="597"/>
      <c r="C43" s="594"/>
      <c r="D43" s="594"/>
      <c r="E43" s="594"/>
      <c r="F43" s="594"/>
      <c r="G43" s="594"/>
      <c r="H43" s="594"/>
      <c r="I43" s="594"/>
      <c r="J43" s="594"/>
      <c r="K43" s="594"/>
      <c r="L43" s="594"/>
      <c r="M43" s="594"/>
      <c r="N43" s="594"/>
      <c r="O43" s="594"/>
      <c r="P43" s="594"/>
      <c r="Q43" s="594"/>
      <c r="R43" s="594"/>
      <c r="S43" s="594"/>
      <c r="T43" s="594"/>
      <c r="U43" s="594"/>
      <c r="V43" s="594"/>
      <c r="W43" s="594"/>
      <c r="X43" s="594"/>
      <c r="Y43" s="594"/>
      <c r="Z43" s="594"/>
      <c r="AA43" s="595"/>
    </row>
    <row r="44" spans="1:37" ht="32.25" customHeight="1" collapsed="1" thickTop="1">
      <c r="A44" s="227"/>
      <c r="B44" s="228"/>
      <c r="C44" s="875" t="str">
        <f>C7</f>
        <v>Depuis 'Annemasse - Genève'</v>
      </c>
      <c r="D44" s="876"/>
      <c r="E44" s="876"/>
      <c r="F44" s="876"/>
      <c r="G44" s="876"/>
      <c r="H44" s="876"/>
      <c r="I44" s="876"/>
      <c r="J44" s="876"/>
      <c r="K44" s="876"/>
      <c r="L44" s="876"/>
      <c r="M44" s="876"/>
      <c r="N44" s="876"/>
      <c r="O44" s="587"/>
      <c r="P44" s="875" t="str">
        <f>P7</f>
        <v>Depuis 'Carrefour - Bersat'</v>
      </c>
      <c r="Q44" s="876"/>
      <c r="R44" s="876"/>
      <c r="S44" s="876"/>
      <c r="T44" s="876"/>
      <c r="U44" s="876"/>
      <c r="V44" s="876"/>
      <c r="W44" s="876"/>
      <c r="X44" s="876"/>
      <c r="Y44" s="876"/>
      <c r="Z44" s="876"/>
      <c r="AA44" s="877"/>
      <c r="AB44" s="227"/>
      <c r="AC44" s="228"/>
      <c r="AD44" s="1130" t="s">
        <v>12</v>
      </c>
      <c r="AE44" s="872" t="s">
        <v>14</v>
      </c>
      <c r="AF44" s="872" t="s">
        <v>15</v>
      </c>
      <c r="AG44" s="872" t="s">
        <v>18</v>
      </c>
      <c r="AH44" s="872" t="s">
        <v>16</v>
      </c>
      <c r="AI44" s="884" t="s">
        <v>31</v>
      </c>
      <c r="AJ44" s="885"/>
      <c r="AK44" s="886"/>
    </row>
    <row r="45" spans="1:37" ht="22.7" customHeight="1">
      <c r="A45" s="227"/>
      <c r="B45" s="228"/>
      <c r="C45" s="878" t="str">
        <f>C8</f>
        <v>vers 'Carrefour - Bersat'</v>
      </c>
      <c r="D45" s="879"/>
      <c r="E45" s="879"/>
      <c r="F45" s="879"/>
      <c r="G45" s="878" t="str">
        <f>G8</f>
        <v>vers 'Pers-Jussy'</v>
      </c>
      <c r="H45" s="879"/>
      <c r="I45" s="879"/>
      <c r="J45" s="879"/>
      <c r="K45" s="878" t="str">
        <f>K8</f>
        <v>vers 'Esery - Méran'</v>
      </c>
      <c r="L45" s="879"/>
      <c r="M45" s="879"/>
      <c r="N45" s="879"/>
      <c r="O45" s="583"/>
      <c r="P45" s="878" t="str">
        <f>P8</f>
        <v>vers 'Pers-Jussy'</v>
      </c>
      <c r="Q45" s="879"/>
      <c r="R45" s="879"/>
      <c r="S45" s="879"/>
      <c r="T45" s="878" t="str">
        <f>T8</f>
        <v>vers 'Esery - Méran'</v>
      </c>
      <c r="U45" s="879"/>
      <c r="V45" s="879"/>
      <c r="W45" s="879"/>
      <c r="X45" s="878" t="str">
        <f>X8</f>
        <v>vers 'Annemasse - Genève'</v>
      </c>
      <c r="Y45" s="879"/>
      <c r="Z45" s="879"/>
      <c r="AA45" s="880"/>
      <c r="AB45" s="227"/>
      <c r="AC45" s="228"/>
      <c r="AD45" s="1131"/>
      <c r="AE45" s="873"/>
      <c r="AF45" s="873"/>
      <c r="AG45" s="873"/>
      <c r="AH45" s="873"/>
      <c r="AI45" s="887"/>
      <c r="AJ45" s="888"/>
      <c r="AK45" s="889"/>
    </row>
    <row r="46" spans="1:37" ht="18.600000000000001" customHeight="1" thickBot="1">
      <c r="A46" s="227"/>
      <c r="B46" s="228"/>
      <c r="C46" s="1176" t="s">
        <v>4</v>
      </c>
      <c r="D46" s="1177"/>
      <c r="E46" s="1178" t="s">
        <v>5</v>
      </c>
      <c r="F46" s="1179"/>
      <c r="G46" s="1179" t="s">
        <v>4</v>
      </c>
      <c r="H46" s="1176"/>
      <c r="I46" s="1178" t="s">
        <v>5</v>
      </c>
      <c r="J46" s="1179"/>
      <c r="K46" s="1179" t="s">
        <v>4</v>
      </c>
      <c r="L46" s="1176"/>
      <c r="M46" s="1178" t="s">
        <v>5</v>
      </c>
      <c r="N46" s="1179"/>
      <c r="O46" s="585"/>
      <c r="P46" s="1179" t="s">
        <v>4</v>
      </c>
      <c r="Q46" s="1176"/>
      <c r="R46" s="1178" t="s">
        <v>5</v>
      </c>
      <c r="S46" s="1179"/>
      <c r="T46" s="1179" t="s">
        <v>4</v>
      </c>
      <c r="U46" s="1176"/>
      <c r="V46" s="1178" t="s">
        <v>5</v>
      </c>
      <c r="W46" s="1179"/>
      <c r="X46" s="1179" t="s">
        <v>4</v>
      </c>
      <c r="Y46" s="1176"/>
      <c r="Z46" s="1177" t="s">
        <v>5</v>
      </c>
      <c r="AA46" s="1178"/>
      <c r="AB46" s="229"/>
      <c r="AC46" s="228"/>
      <c r="AD46" s="1131"/>
      <c r="AE46" s="873"/>
      <c r="AF46" s="873"/>
      <c r="AG46" s="873"/>
      <c r="AH46" s="873"/>
      <c r="AI46" s="887"/>
      <c r="AJ46" s="888"/>
      <c r="AK46" s="889"/>
    </row>
    <row r="47" spans="1:37" ht="21" thickTop="1">
      <c r="A47" s="1052" t="s">
        <v>13</v>
      </c>
      <c r="B47" s="1053"/>
      <c r="C47" s="368" t="s">
        <v>8</v>
      </c>
      <c r="D47" s="373" t="s">
        <v>9</v>
      </c>
      <c r="E47" s="370" t="s">
        <v>8</v>
      </c>
      <c r="F47" s="512" t="s">
        <v>9</v>
      </c>
      <c r="G47" s="368" t="s">
        <v>8</v>
      </c>
      <c r="H47" s="373" t="s">
        <v>9</v>
      </c>
      <c r="I47" s="370" t="s">
        <v>8</v>
      </c>
      <c r="J47" s="512" t="s">
        <v>9</v>
      </c>
      <c r="K47" s="368" t="s">
        <v>8</v>
      </c>
      <c r="L47" s="373" t="s">
        <v>9</v>
      </c>
      <c r="M47" s="370" t="s">
        <v>8</v>
      </c>
      <c r="N47" s="512" t="s">
        <v>9</v>
      </c>
      <c r="O47" s="625"/>
      <c r="P47" s="368" t="s">
        <v>8</v>
      </c>
      <c r="Q47" s="373" t="s">
        <v>9</v>
      </c>
      <c r="R47" s="370" t="s">
        <v>8</v>
      </c>
      <c r="S47" s="512" t="s">
        <v>9</v>
      </c>
      <c r="T47" s="368" t="s">
        <v>8</v>
      </c>
      <c r="U47" s="373" t="s">
        <v>9</v>
      </c>
      <c r="V47" s="370" t="s">
        <v>8</v>
      </c>
      <c r="W47" s="512" t="s">
        <v>9</v>
      </c>
      <c r="X47" s="368" t="s">
        <v>8</v>
      </c>
      <c r="Y47" s="373" t="s">
        <v>9</v>
      </c>
      <c r="Z47" s="370" t="s">
        <v>8</v>
      </c>
      <c r="AA47" s="512" t="s">
        <v>9</v>
      </c>
      <c r="AB47" s="1138" t="s">
        <v>13</v>
      </c>
      <c r="AC47" s="1139"/>
      <c r="AD47" s="1131"/>
      <c r="AE47" s="874"/>
      <c r="AF47" s="874"/>
      <c r="AG47" s="874"/>
      <c r="AH47" s="874"/>
      <c r="AI47" s="890"/>
      <c r="AJ47" s="891"/>
      <c r="AK47" s="892"/>
    </row>
    <row r="48" spans="1:37" ht="54.95" customHeight="1">
      <c r="A48" s="1039" t="s">
        <v>28</v>
      </c>
      <c r="B48" s="1040"/>
      <c r="C48" s="513">
        <f t="shared" ref="C48:AA48" si="0">SUM(C11:C14)</f>
        <v>0</v>
      </c>
      <c r="D48" s="514">
        <f t="shared" si="0"/>
        <v>0</v>
      </c>
      <c r="E48" s="515">
        <f t="shared" si="0"/>
        <v>0</v>
      </c>
      <c r="F48" s="516">
        <f t="shared" si="0"/>
        <v>0</v>
      </c>
      <c r="G48" s="513">
        <f t="shared" si="0"/>
        <v>0</v>
      </c>
      <c r="H48" s="514">
        <f t="shared" si="0"/>
        <v>0</v>
      </c>
      <c r="I48" s="515">
        <f>SUM(I11:I14)</f>
        <v>0</v>
      </c>
      <c r="J48" s="516">
        <f t="shared" si="0"/>
        <v>0</v>
      </c>
      <c r="K48" s="513">
        <f t="shared" si="0"/>
        <v>0</v>
      </c>
      <c r="L48" s="514">
        <f t="shared" si="0"/>
        <v>0</v>
      </c>
      <c r="M48" s="515">
        <f t="shared" si="0"/>
        <v>0</v>
      </c>
      <c r="N48" s="516">
        <f t="shared" si="0"/>
        <v>0</v>
      </c>
      <c r="O48" s="647"/>
      <c r="P48" s="513">
        <f t="shared" si="0"/>
        <v>0</v>
      </c>
      <c r="Q48" s="514">
        <f t="shared" si="0"/>
        <v>0</v>
      </c>
      <c r="R48" s="515">
        <f t="shared" si="0"/>
        <v>0</v>
      </c>
      <c r="S48" s="516">
        <f t="shared" si="0"/>
        <v>0</v>
      </c>
      <c r="T48" s="513">
        <f t="shared" si="0"/>
        <v>0</v>
      </c>
      <c r="U48" s="514">
        <f t="shared" si="0"/>
        <v>0</v>
      </c>
      <c r="V48" s="515">
        <f t="shared" si="0"/>
        <v>0</v>
      </c>
      <c r="W48" s="516">
        <f t="shared" si="0"/>
        <v>0</v>
      </c>
      <c r="X48" s="513">
        <f t="shared" si="0"/>
        <v>0</v>
      </c>
      <c r="Y48" s="514">
        <f t="shared" si="0"/>
        <v>0</v>
      </c>
      <c r="Z48" s="515">
        <f t="shared" si="0"/>
        <v>0</v>
      </c>
      <c r="AA48" s="516">
        <f t="shared" si="0"/>
        <v>0</v>
      </c>
      <c r="AB48" s="1188" t="s">
        <v>28</v>
      </c>
      <c r="AC48" s="1189"/>
      <c r="AD48" s="230">
        <f t="shared" ref="AD48:AD53" si="1">SUM(C48:AA48)+SUM(C60:AA60)</f>
        <v>0</v>
      </c>
      <c r="AE48" s="170">
        <f>IF(AD48=0,0,AE60/AD48)</f>
        <v>0</v>
      </c>
      <c r="AF48" s="170">
        <f>IF(AD48=0,0,AF60/AD48)</f>
        <v>0</v>
      </c>
      <c r="AG48" s="170">
        <f>IF(AF60=0,0,AG60/AF60)</f>
        <v>0</v>
      </c>
      <c r="AH48" s="170">
        <f t="shared" ref="AH48:AH54" si="2">IF(AD48=0,0,AH60/AD48)</f>
        <v>0</v>
      </c>
      <c r="AI48" s="311"/>
      <c r="AJ48" s="517"/>
      <c r="AK48" s="518"/>
    </row>
    <row r="49" spans="1:37" ht="54.95" customHeight="1">
      <c r="A49" s="1047" t="s">
        <v>11</v>
      </c>
      <c r="B49" s="1048"/>
      <c r="C49" s="519">
        <f t="shared" ref="C49:AA49" si="3">SUM(C13:C16)</f>
        <v>0</v>
      </c>
      <c r="D49" s="520">
        <f t="shared" si="3"/>
        <v>0</v>
      </c>
      <c r="E49" s="521">
        <f t="shared" si="3"/>
        <v>0</v>
      </c>
      <c r="F49" s="522">
        <f t="shared" si="3"/>
        <v>0</v>
      </c>
      <c r="G49" s="519">
        <f t="shared" si="3"/>
        <v>0</v>
      </c>
      <c r="H49" s="520">
        <f t="shared" si="3"/>
        <v>0</v>
      </c>
      <c r="I49" s="521">
        <f t="shared" si="3"/>
        <v>0</v>
      </c>
      <c r="J49" s="522">
        <f t="shared" si="3"/>
        <v>0</v>
      </c>
      <c r="K49" s="519">
        <f t="shared" si="3"/>
        <v>0</v>
      </c>
      <c r="L49" s="520">
        <f t="shared" si="3"/>
        <v>0</v>
      </c>
      <c r="M49" s="521">
        <f t="shared" si="3"/>
        <v>0</v>
      </c>
      <c r="N49" s="522">
        <f t="shared" si="3"/>
        <v>0</v>
      </c>
      <c r="O49" s="648"/>
      <c r="P49" s="519">
        <f t="shared" si="3"/>
        <v>0</v>
      </c>
      <c r="Q49" s="520">
        <f t="shared" si="3"/>
        <v>0</v>
      </c>
      <c r="R49" s="521">
        <f t="shared" si="3"/>
        <v>0</v>
      </c>
      <c r="S49" s="522">
        <f t="shared" si="3"/>
        <v>0</v>
      </c>
      <c r="T49" s="519">
        <f t="shared" si="3"/>
        <v>0</v>
      </c>
      <c r="U49" s="520">
        <f t="shared" si="3"/>
        <v>0</v>
      </c>
      <c r="V49" s="521">
        <f t="shared" si="3"/>
        <v>0</v>
      </c>
      <c r="W49" s="522">
        <f t="shared" si="3"/>
        <v>0</v>
      </c>
      <c r="X49" s="519">
        <f t="shared" si="3"/>
        <v>0</v>
      </c>
      <c r="Y49" s="520">
        <f t="shared" si="3"/>
        <v>0</v>
      </c>
      <c r="Z49" s="521">
        <f t="shared" si="3"/>
        <v>0</v>
      </c>
      <c r="AA49" s="522">
        <f t="shared" si="3"/>
        <v>0</v>
      </c>
      <c r="AB49" s="1184" t="s">
        <v>11</v>
      </c>
      <c r="AC49" s="1185"/>
      <c r="AD49" s="231">
        <f t="shared" si="1"/>
        <v>0</v>
      </c>
      <c r="AE49" s="172">
        <f t="shared" ref="AE49:AE54" si="4">IF(AD49=0,0,AE61/AD49)</f>
        <v>0</v>
      </c>
      <c r="AF49" s="172">
        <f t="shared" ref="AF49:AF54" si="5">IF(AD49=0,0,AF61/AD49)</f>
        <v>0</v>
      </c>
      <c r="AG49" s="172">
        <f t="shared" ref="AG49:AG54" si="6">IF(AF61=0,0,AG61/AF61)</f>
        <v>0</v>
      </c>
      <c r="AH49" s="172">
        <f t="shared" si="2"/>
        <v>0</v>
      </c>
      <c r="AI49" s="314"/>
      <c r="AJ49" s="523"/>
      <c r="AK49" s="524"/>
    </row>
    <row r="50" spans="1:37" ht="54.95" customHeight="1">
      <c r="A50" s="1047" t="s">
        <v>17</v>
      </c>
      <c r="B50" s="1048"/>
      <c r="C50" s="519">
        <f t="shared" ref="C50:AA50" si="7">SUM(C15:C18)</f>
        <v>0</v>
      </c>
      <c r="D50" s="520">
        <f t="shared" si="7"/>
        <v>0</v>
      </c>
      <c r="E50" s="521">
        <f t="shared" si="7"/>
        <v>0</v>
      </c>
      <c r="F50" s="522">
        <f t="shared" si="7"/>
        <v>0</v>
      </c>
      <c r="G50" s="519">
        <f t="shared" si="7"/>
        <v>0</v>
      </c>
      <c r="H50" s="520">
        <f t="shared" si="7"/>
        <v>0</v>
      </c>
      <c r="I50" s="521">
        <f t="shared" si="7"/>
        <v>0</v>
      </c>
      <c r="J50" s="522">
        <f t="shared" si="7"/>
        <v>0</v>
      </c>
      <c r="K50" s="519">
        <f t="shared" si="7"/>
        <v>0</v>
      </c>
      <c r="L50" s="520">
        <f t="shared" si="7"/>
        <v>0</v>
      </c>
      <c r="M50" s="521">
        <f t="shared" si="7"/>
        <v>0</v>
      </c>
      <c r="N50" s="522">
        <f t="shared" si="7"/>
        <v>0</v>
      </c>
      <c r="O50" s="648"/>
      <c r="P50" s="519">
        <f t="shared" si="7"/>
        <v>0</v>
      </c>
      <c r="Q50" s="520">
        <f t="shared" si="7"/>
        <v>0</v>
      </c>
      <c r="R50" s="521">
        <f t="shared" si="7"/>
        <v>0</v>
      </c>
      <c r="S50" s="522">
        <f t="shared" si="7"/>
        <v>0</v>
      </c>
      <c r="T50" s="519">
        <f t="shared" si="7"/>
        <v>0</v>
      </c>
      <c r="U50" s="520">
        <f t="shared" si="7"/>
        <v>0</v>
      </c>
      <c r="V50" s="521">
        <f t="shared" si="7"/>
        <v>0</v>
      </c>
      <c r="W50" s="522">
        <f t="shared" si="7"/>
        <v>0</v>
      </c>
      <c r="X50" s="519">
        <f t="shared" si="7"/>
        <v>0</v>
      </c>
      <c r="Y50" s="520">
        <f t="shared" si="7"/>
        <v>0</v>
      </c>
      <c r="Z50" s="521">
        <f t="shared" si="7"/>
        <v>0</v>
      </c>
      <c r="AA50" s="522">
        <f t="shared" si="7"/>
        <v>0</v>
      </c>
      <c r="AB50" s="1184" t="s">
        <v>17</v>
      </c>
      <c r="AC50" s="1185"/>
      <c r="AD50" s="231">
        <f t="shared" si="1"/>
        <v>0</v>
      </c>
      <c r="AE50" s="172">
        <f t="shared" si="4"/>
        <v>0</v>
      </c>
      <c r="AF50" s="172">
        <f t="shared" si="5"/>
        <v>0</v>
      </c>
      <c r="AG50" s="172">
        <f t="shared" si="6"/>
        <v>0</v>
      </c>
      <c r="AH50" s="172">
        <f t="shared" si="2"/>
        <v>0</v>
      </c>
      <c r="AI50" s="314"/>
      <c r="AJ50" s="523"/>
      <c r="AK50" s="524"/>
    </row>
    <row r="51" spans="1:37" ht="54.95" customHeight="1">
      <c r="A51" s="1047" t="s">
        <v>10</v>
      </c>
      <c r="B51" s="1048"/>
      <c r="C51" s="519">
        <f t="shared" ref="C51:AA51" si="8">SUM(C17:C20)</f>
        <v>0</v>
      </c>
      <c r="D51" s="520">
        <f t="shared" si="8"/>
        <v>0</v>
      </c>
      <c r="E51" s="521">
        <f t="shared" si="8"/>
        <v>0</v>
      </c>
      <c r="F51" s="522">
        <f t="shared" si="8"/>
        <v>0</v>
      </c>
      <c r="G51" s="519">
        <f t="shared" si="8"/>
        <v>0</v>
      </c>
      <c r="H51" s="520">
        <f t="shared" si="8"/>
        <v>0</v>
      </c>
      <c r="I51" s="521">
        <f t="shared" si="8"/>
        <v>0</v>
      </c>
      <c r="J51" s="522">
        <f t="shared" si="8"/>
        <v>0</v>
      </c>
      <c r="K51" s="519">
        <f t="shared" si="8"/>
        <v>0</v>
      </c>
      <c r="L51" s="520">
        <f t="shared" si="8"/>
        <v>0</v>
      </c>
      <c r="M51" s="521">
        <f t="shared" si="8"/>
        <v>0</v>
      </c>
      <c r="N51" s="522">
        <f t="shared" si="8"/>
        <v>0</v>
      </c>
      <c r="O51" s="648"/>
      <c r="P51" s="519">
        <f t="shared" si="8"/>
        <v>0</v>
      </c>
      <c r="Q51" s="520">
        <f t="shared" si="8"/>
        <v>0</v>
      </c>
      <c r="R51" s="521">
        <f t="shared" si="8"/>
        <v>0</v>
      </c>
      <c r="S51" s="522">
        <f t="shared" si="8"/>
        <v>0</v>
      </c>
      <c r="T51" s="519">
        <f t="shared" si="8"/>
        <v>0</v>
      </c>
      <c r="U51" s="520">
        <f t="shared" si="8"/>
        <v>0</v>
      </c>
      <c r="V51" s="521">
        <f t="shared" si="8"/>
        <v>0</v>
      </c>
      <c r="W51" s="522">
        <f t="shared" si="8"/>
        <v>0</v>
      </c>
      <c r="X51" s="519">
        <f t="shared" si="8"/>
        <v>0</v>
      </c>
      <c r="Y51" s="520">
        <f t="shared" si="8"/>
        <v>0</v>
      </c>
      <c r="Z51" s="521">
        <f t="shared" si="8"/>
        <v>0</v>
      </c>
      <c r="AA51" s="522">
        <f t="shared" si="8"/>
        <v>0</v>
      </c>
      <c r="AB51" s="1184" t="s">
        <v>10</v>
      </c>
      <c r="AC51" s="1185"/>
      <c r="AD51" s="231">
        <f t="shared" si="1"/>
        <v>0</v>
      </c>
      <c r="AE51" s="172">
        <f t="shared" si="4"/>
        <v>0</v>
      </c>
      <c r="AF51" s="172">
        <f t="shared" si="5"/>
        <v>0</v>
      </c>
      <c r="AG51" s="172">
        <f t="shared" si="6"/>
        <v>0</v>
      </c>
      <c r="AH51" s="172">
        <f t="shared" si="2"/>
        <v>0</v>
      </c>
      <c r="AI51" s="314"/>
      <c r="AJ51" s="523"/>
      <c r="AK51" s="524"/>
    </row>
    <row r="52" spans="1:37" ht="54.95" customHeight="1">
      <c r="A52" s="1050" t="s">
        <v>29</v>
      </c>
      <c r="B52" s="1051"/>
      <c r="C52" s="525">
        <f t="shared" ref="C52:AA52" si="9">SUM(C19:C22)</f>
        <v>0</v>
      </c>
      <c r="D52" s="526">
        <f t="shared" si="9"/>
        <v>0</v>
      </c>
      <c r="E52" s="527">
        <f t="shared" si="9"/>
        <v>0</v>
      </c>
      <c r="F52" s="528">
        <f t="shared" si="9"/>
        <v>0</v>
      </c>
      <c r="G52" s="525">
        <f t="shared" si="9"/>
        <v>0</v>
      </c>
      <c r="H52" s="526">
        <f t="shared" si="9"/>
        <v>0</v>
      </c>
      <c r="I52" s="527">
        <f t="shared" si="9"/>
        <v>0</v>
      </c>
      <c r="J52" s="528">
        <f t="shared" si="9"/>
        <v>0</v>
      </c>
      <c r="K52" s="525">
        <f t="shared" si="9"/>
        <v>0</v>
      </c>
      <c r="L52" s="526">
        <f t="shared" si="9"/>
        <v>0</v>
      </c>
      <c r="M52" s="527">
        <f t="shared" si="9"/>
        <v>0</v>
      </c>
      <c r="N52" s="528">
        <f t="shared" si="9"/>
        <v>0</v>
      </c>
      <c r="O52" s="649"/>
      <c r="P52" s="525">
        <f t="shared" si="9"/>
        <v>0</v>
      </c>
      <c r="Q52" s="526">
        <f t="shared" si="9"/>
        <v>0</v>
      </c>
      <c r="R52" s="527">
        <f t="shared" si="9"/>
        <v>0</v>
      </c>
      <c r="S52" s="528">
        <f t="shared" si="9"/>
        <v>0</v>
      </c>
      <c r="T52" s="525">
        <f t="shared" si="9"/>
        <v>0</v>
      </c>
      <c r="U52" s="526">
        <f t="shared" si="9"/>
        <v>0</v>
      </c>
      <c r="V52" s="527">
        <f t="shared" si="9"/>
        <v>0</v>
      </c>
      <c r="W52" s="528">
        <f t="shared" si="9"/>
        <v>0</v>
      </c>
      <c r="X52" s="525">
        <f t="shared" si="9"/>
        <v>0</v>
      </c>
      <c r="Y52" s="526">
        <f t="shared" si="9"/>
        <v>0</v>
      </c>
      <c r="Z52" s="527">
        <f t="shared" si="9"/>
        <v>0</v>
      </c>
      <c r="AA52" s="528">
        <f t="shared" si="9"/>
        <v>0</v>
      </c>
      <c r="AB52" s="1186" t="s">
        <v>29</v>
      </c>
      <c r="AC52" s="1187"/>
      <c r="AD52" s="529">
        <f t="shared" si="1"/>
        <v>0</v>
      </c>
      <c r="AE52" s="174">
        <f t="shared" si="4"/>
        <v>0</v>
      </c>
      <c r="AF52" s="174">
        <f t="shared" si="5"/>
        <v>0</v>
      </c>
      <c r="AG52" s="174">
        <f t="shared" si="6"/>
        <v>0</v>
      </c>
      <c r="AH52" s="174">
        <f t="shared" si="2"/>
        <v>0</v>
      </c>
      <c r="AI52" s="530"/>
      <c r="AJ52" s="531"/>
      <c r="AK52" s="532"/>
    </row>
    <row r="53" spans="1:37" ht="54.95" customHeight="1">
      <c r="A53" s="1043" t="s">
        <v>12</v>
      </c>
      <c r="B53" s="1044"/>
      <c r="C53" s="533">
        <f t="shared" ref="C53:AA53" si="10">SUM(C11:C22)</f>
        <v>0</v>
      </c>
      <c r="D53" s="534">
        <f t="shared" si="10"/>
        <v>0</v>
      </c>
      <c r="E53" s="535">
        <f t="shared" si="10"/>
        <v>0</v>
      </c>
      <c r="F53" s="536">
        <f t="shared" si="10"/>
        <v>0</v>
      </c>
      <c r="G53" s="533">
        <f t="shared" si="10"/>
        <v>0</v>
      </c>
      <c r="H53" s="534">
        <f t="shared" si="10"/>
        <v>0</v>
      </c>
      <c r="I53" s="535">
        <f t="shared" si="10"/>
        <v>0</v>
      </c>
      <c r="J53" s="536">
        <f t="shared" si="10"/>
        <v>0</v>
      </c>
      <c r="K53" s="533">
        <f t="shared" si="10"/>
        <v>0</v>
      </c>
      <c r="L53" s="534">
        <f t="shared" si="10"/>
        <v>0</v>
      </c>
      <c r="M53" s="535">
        <f t="shared" si="10"/>
        <v>0</v>
      </c>
      <c r="N53" s="536">
        <f t="shared" si="10"/>
        <v>0</v>
      </c>
      <c r="O53" s="650"/>
      <c r="P53" s="533">
        <f t="shared" si="10"/>
        <v>0</v>
      </c>
      <c r="Q53" s="534">
        <f t="shared" si="10"/>
        <v>0</v>
      </c>
      <c r="R53" s="535">
        <f t="shared" si="10"/>
        <v>0</v>
      </c>
      <c r="S53" s="536">
        <f t="shared" si="10"/>
        <v>0</v>
      </c>
      <c r="T53" s="533">
        <f t="shared" si="10"/>
        <v>0</v>
      </c>
      <c r="U53" s="534">
        <f t="shared" si="10"/>
        <v>0</v>
      </c>
      <c r="V53" s="535">
        <f t="shared" si="10"/>
        <v>0</v>
      </c>
      <c r="W53" s="536">
        <f t="shared" si="10"/>
        <v>0</v>
      </c>
      <c r="X53" s="533">
        <f t="shared" si="10"/>
        <v>0</v>
      </c>
      <c r="Y53" s="534">
        <f t="shared" si="10"/>
        <v>0</v>
      </c>
      <c r="Z53" s="535">
        <f t="shared" si="10"/>
        <v>0</v>
      </c>
      <c r="AA53" s="536">
        <f t="shared" si="10"/>
        <v>0</v>
      </c>
      <c r="AB53" s="1180" t="s">
        <v>12</v>
      </c>
      <c r="AC53" s="1181"/>
      <c r="AD53" s="537">
        <f t="shared" si="1"/>
        <v>0</v>
      </c>
      <c r="AE53" s="215">
        <f t="shared" si="4"/>
        <v>0</v>
      </c>
      <c r="AF53" s="215">
        <f t="shared" si="5"/>
        <v>0</v>
      </c>
      <c r="AG53" s="215">
        <f t="shared" si="6"/>
        <v>0</v>
      </c>
      <c r="AH53" s="215">
        <f t="shared" si="2"/>
        <v>0</v>
      </c>
      <c r="AI53" s="538"/>
      <c r="AJ53" s="539"/>
      <c r="AK53" s="540"/>
    </row>
    <row r="54" spans="1:37" ht="54.95" customHeight="1" thickBot="1">
      <c r="A54" s="1045" t="str">
        <f>IF($AD$48=MAX($AD$48:$AD$52),A48,IF($AD$49=MAX($AD$48:$AD$52),A49,IF($AD$50=MAX($AD$48:$AD$52),A50,IF($AD$51=MAX($AD$48:$AD$52),A51,A52))))</f>
        <v>de 6:30 à 7:30</v>
      </c>
      <c r="B54" s="1046"/>
      <c r="C54" s="541">
        <f t="shared" ref="C54:N54" si="11">IF($AD$48=MAX($AD$48:$AD$52),C48,IF($AD$49=MAX($AD$48:$AD$52),C49,IF($AD$50=MAX($AD$48:$AD$52),C50,IF($AD$51=MAX($AD$48:$AD$52),(C51),C52))))</f>
        <v>0</v>
      </c>
      <c r="D54" s="542">
        <f t="shared" si="11"/>
        <v>0</v>
      </c>
      <c r="E54" s="543">
        <f t="shared" si="11"/>
        <v>0</v>
      </c>
      <c r="F54" s="544">
        <f t="shared" si="11"/>
        <v>0</v>
      </c>
      <c r="G54" s="541">
        <f t="shared" si="11"/>
        <v>0</v>
      </c>
      <c r="H54" s="542">
        <f t="shared" si="11"/>
        <v>0</v>
      </c>
      <c r="I54" s="543">
        <f t="shared" si="11"/>
        <v>0</v>
      </c>
      <c r="J54" s="544">
        <f t="shared" si="11"/>
        <v>0</v>
      </c>
      <c r="K54" s="541">
        <f t="shared" si="11"/>
        <v>0</v>
      </c>
      <c r="L54" s="542">
        <f t="shared" si="11"/>
        <v>0</v>
      </c>
      <c r="M54" s="543">
        <f t="shared" si="11"/>
        <v>0</v>
      </c>
      <c r="N54" s="544">
        <f t="shared" si="11"/>
        <v>0</v>
      </c>
      <c r="O54" s="651"/>
      <c r="P54" s="541">
        <f t="shared" ref="P54:AA54" si="12">IF($AD$48=MAX($AD$48:$AD$52),P48,IF($AD$49=MAX($AD$48:$AD$52),P49,IF($AD$50=MAX($AD$48:$AD$52),P50,IF($AD$51=MAX($AD$48:$AD$52),(P51),P52))))</f>
        <v>0</v>
      </c>
      <c r="Q54" s="542">
        <f t="shared" si="12"/>
        <v>0</v>
      </c>
      <c r="R54" s="543">
        <f t="shared" si="12"/>
        <v>0</v>
      </c>
      <c r="S54" s="544">
        <f t="shared" si="12"/>
        <v>0</v>
      </c>
      <c r="T54" s="541">
        <f t="shared" si="12"/>
        <v>0</v>
      </c>
      <c r="U54" s="542">
        <f t="shared" si="12"/>
        <v>0</v>
      </c>
      <c r="V54" s="543">
        <f t="shared" si="12"/>
        <v>0</v>
      </c>
      <c r="W54" s="544">
        <f t="shared" si="12"/>
        <v>0</v>
      </c>
      <c r="X54" s="541">
        <f t="shared" si="12"/>
        <v>0</v>
      </c>
      <c r="Y54" s="542">
        <f t="shared" si="12"/>
        <v>0</v>
      </c>
      <c r="Z54" s="543">
        <f t="shared" si="12"/>
        <v>0</v>
      </c>
      <c r="AA54" s="544">
        <f t="shared" si="12"/>
        <v>0</v>
      </c>
      <c r="AB54" s="1182" t="str">
        <f>IF($AD$48=MAX($AD$48:$AD$52),A48,IF($AD$49=MAX($AD$48:$AD$52),A49,IF($AD$50=MAX($AD$48:$AD$52),A50,IF($AD$51=MAX($AD$48:$AD$52),A51,A52))))</f>
        <v>de 6:30 à 7:30</v>
      </c>
      <c r="AC54" s="1183"/>
      <c r="AD54" s="545">
        <f>IF($AD$48=MAX($AD$48:$AD$52),AD48,IF($AD$49=MAX($AD$48:$AD$52),AD49,IF($AD$50=MAX($AD$48:$AD$52),AD50,IF($AD$51=MAX($AD$48:$AD$52),(AD51),AD52))))</f>
        <v>0</v>
      </c>
      <c r="AE54" s="216">
        <f t="shared" si="4"/>
        <v>0</v>
      </c>
      <c r="AF54" s="216">
        <f t="shared" si="5"/>
        <v>0</v>
      </c>
      <c r="AG54" s="216">
        <f t="shared" si="6"/>
        <v>0</v>
      </c>
      <c r="AH54" s="216">
        <f t="shared" si="2"/>
        <v>0</v>
      </c>
      <c r="AI54" s="546"/>
      <c r="AJ54" s="547"/>
      <c r="AK54" s="548"/>
    </row>
    <row r="55" spans="1:37" ht="12.75" customHeight="1" thickTop="1" thickBot="1">
      <c r="A55" s="246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45"/>
      <c r="AB55" s="1175"/>
      <c r="AC55" s="1175"/>
      <c r="AD55" s="549"/>
      <c r="AE55" s="550"/>
      <c r="AF55" s="550"/>
      <c r="AG55" s="550"/>
      <c r="AH55" s="550"/>
      <c r="AI55" s="334"/>
      <c r="AJ55" s="334"/>
      <c r="AK55" s="334"/>
    </row>
    <row r="56" spans="1:37" ht="32.25" customHeight="1" thickTop="1">
      <c r="A56" s="227"/>
      <c r="B56" s="228"/>
      <c r="C56" s="875" t="str">
        <f>C26</f>
        <v>Depuis 'Pers-Jussy'</v>
      </c>
      <c r="D56" s="876"/>
      <c r="E56" s="876"/>
      <c r="F56" s="876"/>
      <c r="G56" s="876"/>
      <c r="H56" s="876"/>
      <c r="I56" s="876"/>
      <c r="J56" s="876"/>
      <c r="K56" s="876"/>
      <c r="L56" s="876"/>
      <c r="M56" s="876"/>
      <c r="N56" s="876"/>
      <c r="O56" s="587"/>
      <c r="P56" s="875" t="str">
        <f>P26</f>
        <v>Depuis 'Esery - Méran'</v>
      </c>
      <c r="Q56" s="876"/>
      <c r="R56" s="876"/>
      <c r="S56" s="876"/>
      <c r="T56" s="876"/>
      <c r="U56" s="876"/>
      <c r="V56" s="876"/>
      <c r="W56" s="876"/>
      <c r="X56" s="876"/>
      <c r="Y56" s="876"/>
      <c r="Z56" s="876"/>
      <c r="AA56" s="877"/>
      <c r="AB56" s="1175"/>
      <c r="AC56" s="1175"/>
      <c r="AD56" s="549"/>
      <c r="AE56" s="872" t="s">
        <v>108</v>
      </c>
      <c r="AF56" s="872" t="s">
        <v>109</v>
      </c>
      <c r="AG56" s="872" t="s">
        <v>110</v>
      </c>
      <c r="AH56" s="872" t="s">
        <v>19</v>
      </c>
      <c r="AI56" s="334"/>
      <c r="AJ56" s="334"/>
      <c r="AK56" s="334"/>
    </row>
    <row r="57" spans="1:37" ht="22.7" customHeight="1">
      <c r="A57" s="227"/>
      <c r="B57" s="228"/>
      <c r="C57" s="878" t="str">
        <f>C27</f>
        <v>vers 'Esery - Méran'</v>
      </c>
      <c r="D57" s="879"/>
      <c r="E57" s="879"/>
      <c r="F57" s="879"/>
      <c r="G57" s="878" t="str">
        <f>G27</f>
        <v>vers 'Annemasse - Genève'</v>
      </c>
      <c r="H57" s="879"/>
      <c r="I57" s="879"/>
      <c r="J57" s="879"/>
      <c r="K57" s="878" t="str">
        <f>K27</f>
        <v>vers 'Carrefour - Bersat'</v>
      </c>
      <c r="L57" s="879"/>
      <c r="M57" s="879"/>
      <c r="N57" s="879"/>
      <c r="O57" s="583"/>
      <c r="P57" s="878" t="str">
        <f>P27</f>
        <v>vers 'Annemasse - Genève'</v>
      </c>
      <c r="Q57" s="879"/>
      <c r="R57" s="879"/>
      <c r="S57" s="879"/>
      <c r="T57" s="878" t="str">
        <f>T27</f>
        <v>vers 'Carrefour - Bersat'</v>
      </c>
      <c r="U57" s="879"/>
      <c r="V57" s="879"/>
      <c r="W57" s="879"/>
      <c r="X57" s="878" t="str">
        <f>X27</f>
        <v>vers 'Pers-Jussy'</v>
      </c>
      <c r="Y57" s="879"/>
      <c r="Z57" s="879"/>
      <c r="AA57" s="880"/>
      <c r="AB57" s="1175"/>
      <c r="AC57" s="1175"/>
      <c r="AD57" s="549"/>
      <c r="AE57" s="873"/>
      <c r="AF57" s="873"/>
      <c r="AG57" s="873"/>
      <c r="AH57" s="873"/>
      <c r="AI57" s="334"/>
      <c r="AJ57" s="334"/>
      <c r="AK57" s="334"/>
    </row>
    <row r="58" spans="1:37" ht="18.600000000000001" customHeight="1" thickBot="1">
      <c r="A58" s="227"/>
      <c r="B58" s="228"/>
      <c r="C58" s="1176" t="s">
        <v>4</v>
      </c>
      <c r="D58" s="1177"/>
      <c r="E58" s="1178" t="s">
        <v>5</v>
      </c>
      <c r="F58" s="1179"/>
      <c r="G58" s="1179" t="s">
        <v>4</v>
      </c>
      <c r="H58" s="1176"/>
      <c r="I58" s="1178" t="s">
        <v>5</v>
      </c>
      <c r="J58" s="1179"/>
      <c r="K58" s="1179" t="s">
        <v>4</v>
      </c>
      <c r="L58" s="1176"/>
      <c r="M58" s="1178" t="s">
        <v>5</v>
      </c>
      <c r="N58" s="1179"/>
      <c r="O58" s="585"/>
      <c r="P58" s="1179" t="s">
        <v>4</v>
      </c>
      <c r="Q58" s="1176"/>
      <c r="R58" s="1178" t="s">
        <v>5</v>
      </c>
      <c r="S58" s="1179"/>
      <c r="T58" s="1179" t="s">
        <v>4</v>
      </c>
      <c r="U58" s="1176"/>
      <c r="V58" s="1178" t="s">
        <v>5</v>
      </c>
      <c r="W58" s="1179"/>
      <c r="X58" s="1179" t="s">
        <v>4</v>
      </c>
      <c r="Y58" s="1176"/>
      <c r="Z58" s="1177" t="s">
        <v>5</v>
      </c>
      <c r="AA58" s="1178"/>
      <c r="AB58" s="1175"/>
      <c r="AC58" s="1175"/>
      <c r="AD58" s="549"/>
      <c r="AE58" s="873"/>
      <c r="AF58" s="873"/>
      <c r="AG58" s="873"/>
      <c r="AH58" s="873"/>
      <c r="AI58" s="334"/>
      <c r="AJ58" s="334"/>
      <c r="AK58" s="334"/>
    </row>
    <row r="59" spans="1:37" ht="21.75" customHeight="1" thickTop="1">
      <c r="A59" s="1052" t="s">
        <v>13</v>
      </c>
      <c r="B59" s="1053"/>
      <c r="C59" s="368" t="s">
        <v>8</v>
      </c>
      <c r="D59" s="373" t="s">
        <v>9</v>
      </c>
      <c r="E59" s="370" t="s">
        <v>8</v>
      </c>
      <c r="F59" s="512" t="s">
        <v>9</v>
      </c>
      <c r="G59" s="368" t="s">
        <v>8</v>
      </c>
      <c r="H59" s="373" t="s">
        <v>9</v>
      </c>
      <c r="I59" s="370" t="s">
        <v>8</v>
      </c>
      <c r="J59" s="512" t="s">
        <v>9</v>
      </c>
      <c r="K59" s="368" t="s">
        <v>8</v>
      </c>
      <c r="L59" s="373" t="s">
        <v>9</v>
      </c>
      <c r="M59" s="370" t="s">
        <v>8</v>
      </c>
      <c r="N59" s="512" t="s">
        <v>9</v>
      </c>
      <c r="O59" s="625"/>
      <c r="P59" s="368" t="s">
        <v>8</v>
      </c>
      <c r="Q59" s="373" t="s">
        <v>9</v>
      </c>
      <c r="R59" s="370" t="s">
        <v>8</v>
      </c>
      <c r="S59" s="512" t="s">
        <v>9</v>
      </c>
      <c r="T59" s="368" t="s">
        <v>8</v>
      </c>
      <c r="U59" s="373" t="s">
        <v>9</v>
      </c>
      <c r="V59" s="370" t="s">
        <v>8</v>
      </c>
      <c r="W59" s="512" t="s">
        <v>9</v>
      </c>
      <c r="X59" s="368" t="s">
        <v>8</v>
      </c>
      <c r="Y59" s="373" t="s">
        <v>9</v>
      </c>
      <c r="Z59" s="370" t="s">
        <v>8</v>
      </c>
      <c r="AA59" s="512" t="s">
        <v>9</v>
      </c>
      <c r="AB59" s="1175"/>
      <c r="AC59" s="1175"/>
      <c r="AD59" s="549"/>
      <c r="AE59" s="874"/>
      <c r="AF59" s="874"/>
      <c r="AG59" s="874"/>
      <c r="AH59" s="874"/>
      <c r="AI59" s="334"/>
      <c r="AJ59" s="334"/>
      <c r="AK59" s="334"/>
    </row>
    <row r="60" spans="1:37" ht="54.95" customHeight="1">
      <c r="A60" s="1039" t="s">
        <v>28</v>
      </c>
      <c r="B60" s="1040"/>
      <c r="C60" s="513">
        <f t="shared" ref="C60:AA60" si="13">SUM(C30:C33)</f>
        <v>0</v>
      </c>
      <c r="D60" s="514">
        <f t="shared" si="13"/>
        <v>0</v>
      </c>
      <c r="E60" s="515">
        <f t="shared" si="13"/>
        <v>0</v>
      </c>
      <c r="F60" s="516">
        <f t="shared" si="13"/>
        <v>0</v>
      </c>
      <c r="G60" s="513">
        <f t="shared" si="13"/>
        <v>0</v>
      </c>
      <c r="H60" s="514">
        <f t="shared" si="13"/>
        <v>0</v>
      </c>
      <c r="I60" s="515">
        <f t="shared" si="13"/>
        <v>0</v>
      </c>
      <c r="J60" s="516">
        <f t="shared" si="13"/>
        <v>0</v>
      </c>
      <c r="K60" s="513">
        <f t="shared" si="13"/>
        <v>0</v>
      </c>
      <c r="L60" s="514">
        <f t="shared" si="13"/>
        <v>0</v>
      </c>
      <c r="M60" s="515">
        <f t="shared" si="13"/>
        <v>0</v>
      </c>
      <c r="N60" s="516">
        <f t="shared" si="13"/>
        <v>0</v>
      </c>
      <c r="O60" s="647"/>
      <c r="P60" s="513">
        <f t="shared" si="13"/>
        <v>0</v>
      </c>
      <c r="Q60" s="514">
        <f t="shared" si="13"/>
        <v>0</v>
      </c>
      <c r="R60" s="515">
        <f t="shared" si="13"/>
        <v>0</v>
      </c>
      <c r="S60" s="516">
        <f t="shared" si="13"/>
        <v>0</v>
      </c>
      <c r="T60" s="513">
        <f t="shared" si="13"/>
        <v>0</v>
      </c>
      <c r="U60" s="514">
        <f t="shared" si="13"/>
        <v>0</v>
      </c>
      <c r="V60" s="515">
        <f t="shared" si="13"/>
        <v>0</v>
      </c>
      <c r="W60" s="516">
        <f t="shared" si="13"/>
        <v>0</v>
      </c>
      <c r="X60" s="513">
        <f t="shared" si="13"/>
        <v>0</v>
      </c>
      <c r="Y60" s="514">
        <f t="shared" si="13"/>
        <v>0</v>
      </c>
      <c r="Z60" s="515">
        <f t="shared" si="13"/>
        <v>0</v>
      </c>
      <c r="AA60" s="516">
        <f t="shared" si="13"/>
        <v>0</v>
      </c>
      <c r="AB60" s="1175"/>
      <c r="AC60" s="1175"/>
      <c r="AD60" s="549"/>
      <c r="AE60" s="171">
        <f t="shared" ref="AE60:AE66" si="14">(C48+E48+G48+I48+K48+M48+P48+R48+T48+V48+X48+Z48+C60+E60+G60+I60+K60+M60+P60+R60+T60+V60+X60+Z60)</f>
        <v>0</v>
      </c>
      <c r="AF60" s="171">
        <f t="shared" ref="AF60:AF66" si="15">(E48+F48+I48+J48+M48+N48+R48+S48+V48+W48+Z48+AA48+E60+F60+I60+J60+M60+N60+R60+S60+V60+W60+Z60+AA60)</f>
        <v>0</v>
      </c>
      <c r="AG60" s="171">
        <f t="shared" ref="AG60:AG66" si="16">(E48+I48+M48+R48+V48+Z48+E60+I60+M60+R60+V60+Z60)</f>
        <v>0</v>
      </c>
      <c r="AH60" s="171">
        <f t="shared" ref="AH60:AH66" si="17">SUM(X48:AA48,C60:F60,X60:AA60)</f>
        <v>0</v>
      </c>
      <c r="AI60" s="334"/>
      <c r="AJ60" s="334"/>
      <c r="AK60" s="334"/>
    </row>
    <row r="61" spans="1:37" ht="54.95" customHeight="1">
      <c r="A61" s="1047" t="s">
        <v>11</v>
      </c>
      <c r="B61" s="1048"/>
      <c r="C61" s="519">
        <f t="shared" ref="C61:AA61" si="18">SUM(C32:C35)</f>
        <v>0</v>
      </c>
      <c r="D61" s="520">
        <f t="shared" si="18"/>
        <v>0</v>
      </c>
      <c r="E61" s="521">
        <f t="shared" si="18"/>
        <v>0</v>
      </c>
      <c r="F61" s="522">
        <f t="shared" si="18"/>
        <v>0</v>
      </c>
      <c r="G61" s="519">
        <f t="shared" si="18"/>
        <v>0</v>
      </c>
      <c r="H61" s="520">
        <f t="shared" si="18"/>
        <v>0</v>
      </c>
      <c r="I61" s="521">
        <f t="shared" si="18"/>
        <v>0</v>
      </c>
      <c r="J61" s="522">
        <f t="shared" si="18"/>
        <v>0</v>
      </c>
      <c r="K61" s="519">
        <f t="shared" si="18"/>
        <v>0</v>
      </c>
      <c r="L61" s="520">
        <f t="shared" si="18"/>
        <v>0</v>
      </c>
      <c r="M61" s="521">
        <f t="shared" si="18"/>
        <v>0</v>
      </c>
      <c r="N61" s="522">
        <f t="shared" si="18"/>
        <v>0</v>
      </c>
      <c r="O61" s="648"/>
      <c r="P61" s="519">
        <f t="shared" si="18"/>
        <v>0</v>
      </c>
      <c r="Q61" s="520">
        <f t="shared" si="18"/>
        <v>0</v>
      </c>
      <c r="R61" s="521">
        <f t="shared" si="18"/>
        <v>0</v>
      </c>
      <c r="S61" s="522">
        <f t="shared" si="18"/>
        <v>0</v>
      </c>
      <c r="T61" s="519">
        <f t="shared" si="18"/>
        <v>0</v>
      </c>
      <c r="U61" s="520">
        <f t="shared" si="18"/>
        <v>0</v>
      </c>
      <c r="V61" s="521">
        <f t="shared" si="18"/>
        <v>0</v>
      </c>
      <c r="W61" s="522">
        <f t="shared" si="18"/>
        <v>0</v>
      </c>
      <c r="X61" s="519">
        <f t="shared" si="18"/>
        <v>0</v>
      </c>
      <c r="Y61" s="520">
        <f t="shared" si="18"/>
        <v>0</v>
      </c>
      <c r="Z61" s="521">
        <f t="shared" si="18"/>
        <v>0</v>
      </c>
      <c r="AA61" s="522">
        <f t="shared" si="18"/>
        <v>0</v>
      </c>
      <c r="AB61" s="1175"/>
      <c r="AC61" s="1175"/>
      <c r="AD61" s="549"/>
      <c r="AE61" s="173">
        <f t="shared" si="14"/>
        <v>0</v>
      </c>
      <c r="AF61" s="173">
        <f t="shared" si="15"/>
        <v>0</v>
      </c>
      <c r="AG61" s="173">
        <f t="shared" si="16"/>
        <v>0</v>
      </c>
      <c r="AH61" s="173">
        <f t="shared" si="17"/>
        <v>0</v>
      </c>
      <c r="AI61" s="334"/>
      <c r="AJ61" s="334"/>
      <c r="AK61" s="334"/>
    </row>
    <row r="62" spans="1:37" ht="54.95" customHeight="1">
      <c r="A62" s="1047" t="s">
        <v>17</v>
      </c>
      <c r="B62" s="1048"/>
      <c r="C62" s="519">
        <f t="shared" ref="C62:AA62" si="19">SUM(C34:C37)</f>
        <v>0</v>
      </c>
      <c r="D62" s="520">
        <f t="shared" si="19"/>
        <v>0</v>
      </c>
      <c r="E62" s="521">
        <f t="shared" si="19"/>
        <v>0</v>
      </c>
      <c r="F62" s="522">
        <f t="shared" si="19"/>
        <v>0</v>
      </c>
      <c r="G62" s="519">
        <f t="shared" si="19"/>
        <v>0</v>
      </c>
      <c r="H62" s="520">
        <f t="shared" si="19"/>
        <v>0</v>
      </c>
      <c r="I62" s="521">
        <f t="shared" si="19"/>
        <v>0</v>
      </c>
      <c r="J62" s="522">
        <f t="shared" si="19"/>
        <v>0</v>
      </c>
      <c r="K62" s="519">
        <f t="shared" si="19"/>
        <v>0</v>
      </c>
      <c r="L62" s="520">
        <f t="shared" si="19"/>
        <v>0</v>
      </c>
      <c r="M62" s="521">
        <f t="shared" si="19"/>
        <v>0</v>
      </c>
      <c r="N62" s="522">
        <f t="shared" si="19"/>
        <v>0</v>
      </c>
      <c r="O62" s="648"/>
      <c r="P62" s="519">
        <f t="shared" si="19"/>
        <v>0</v>
      </c>
      <c r="Q62" s="520">
        <f t="shared" si="19"/>
        <v>0</v>
      </c>
      <c r="R62" s="521">
        <f t="shared" si="19"/>
        <v>0</v>
      </c>
      <c r="S62" s="522">
        <f t="shared" si="19"/>
        <v>0</v>
      </c>
      <c r="T62" s="519">
        <f t="shared" si="19"/>
        <v>0</v>
      </c>
      <c r="U62" s="520">
        <f t="shared" si="19"/>
        <v>0</v>
      </c>
      <c r="V62" s="521">
        <f t="shared" si="19"/>
        <v>0</v>
      </c>
      <c r="W62" s="522">
        <f t="shared" si="19"/>
        <v>0</v>
      </c>
      <c r="X62" s="519">
        <f t="shared" si="19"/>
        <v>0</v>
      </c>
      <c r="Y62" s="520">
        <f t="shared" si="19"/>
        <v>0</v>
      </c>
      <c r="Z62" s="521">
        <f t="shared" si="19"/>
        <v>0</v>
      </c>
      <c r="AA62" s="522">
        <f t="shared" si="19"/>
        <v>0</v>
      </c>
      <c r="AB62" s="1175"/>
      <c r="AC62" s="1175"/>
      <c r="AD62" s="549"/>
      <c r="AE62" s="173">
        <f t="shared" si="14"/>
        <v>0</v>
      </c>
      <c r="AF62" s="173">
        <f t="shared" si="15"/>
        <v>0</v>
      </c>
      <c r="AG62" s="173">
        <f t="shared" si="16"/>
        <v>0</v>
      </c>
      <c r="AH62" s="173">
        <f t="shared" si="17"/>
        <v>0</v>
      </c>
      <c r="AI62" s="334"/>
      <c r="AJ62" s="334"/>
      <c r="AK62" s="334"/>
    </row>
    <row r="63" spans="1:37" ht="54.95" customHeight="1">
      <c r="A63" s="1047" t="s">
        <v>10</v>
      </c>
      <c r="B63" s="1048"/>
      <c r="C63" s="519">
        <f t="shared" ref="C63:AA63" si="20">SUM(C36:C39)</f>
        <v>0</v>
      </c>
      <c r="D63" s="520">
        <f t="shared" si="20"/>
        <v>0</v>
      </c>
      <c r="E63" s="521">
        <f t="shared" si="20"/>
        <v>0</v>
      </c>
      <c r="F63" s="522">
        <f t="shared" si="20"/>
        <v>0</v>
      </c>
      <c r="G63" s="519">
        <f t="shared" si="20"/>
        <v>0</v>
      </c>
      <c r="H63" s="520">
        <f t="shared" si="20"/>
        <v>0</v>
      </c>
      <c r="I63" s="521">
        <f t="shared" si="20"/>
        <v>0</v>
      </c>
      <c r="J63" s="522">
        <f t="shared" si="20"/>
        <v>0</v>
      </c>
      <c r="K63" s="519">
        <f t="shared" si="20"/>
        <v>0</v>
      </c>
      <c r="L63" s="520">
        <f t="shared" si="20"/>
        <v>0</v>
      </c>
      <c r="M63" s="521">
        <f t="shared" si="20"/>
        <v>0</v>
      </c>
      <c r="N63" s="522">
        <f t="shared" si="20"/>
        <v>0</v>
      </c>
      <c r="O63" s="648"/>
      <c r="P63" s="519">
        <f t="shared" si="20"/>
        <v>0</v>
      </c>
      <c r="Q63" s="520">
        <f t="shared" si="20"/>
        <v>0</v>
      </c>
      <c r="R63" s="521">
        <f t="shared" si="20"/>
        <v>0</v>
      </c>
      <c r="S63" s="522">
        <f t="shared" si="20"/>
        <v>0</v>
      </c>
      <c r="T63" s="519">
        <f t="shared" si="20"/>
        <v>0</v>
      </c>
      <c r="U63" s="520">
        <f t="shared" si="20"/>
        <v>0</v>
      </c>
      <c r="V63" s="521">
        <f t="shared" si="20"/>
        <v>0</v>
      </c>
      <c r="W63" s="522">
        <f t="shared" si="20"/>
        <v>0</v>
      </c>
      <c r="X63" s="519">
        <f t="shared" si="20"/>
        <v>0</v>
      </c>
      <c r="Y63" s="520">
        <f t="shared" si="20"/>
        <v>0</v>
      </c>
      <c r="Z63" s="521">
        <f t="shared" si="20"/>
        <v>0</v>
      </c>
      <c r="AA63" s="522">
        <f t="shared" si="20"/>
        <v>0</v>
      </c>
      <c r="AB63" s="1175"/>
      <c r="AC63" s="1175"/>
      <c r="AD63" s="549"/>
      <c r="AE63" s="173">
        <f t="shared" si="14"/>
        <v>0</v>
      </c>
      <c r="AF63" s="173">
        <f t="shared" si="15"/>
        <v>0</v>
      </c>
      <c r="AG63" s="173">
        <f t="shared" si="16"/>
        <v>0</v>
      </c>
      <c r="AH63" s="173">
        <f t="shared" si="17"/>
        <v>0</v>
      </c>
      <c r="AI63" s="334"/>
      <c r="AJ63" s="334"/>
      <c r="AK63" s="334"/>
    </row>
    <row r="64" spans="1:37" ht="54.95" customHeight="1">
      <c r="A64" s="1050" t="s">
        <v>29</v>
      </c>
      <c r="B64" s="1051"/>
      <c r="C64" s="525">
        <f t="shared" ref="C64:AA64" si="21">SUM(C38:C41)</f>
        <v>0</v>
      </c>
      <c r="D64" s="526">
        <f t="shared" si="21"/>
        <v>0</v>
      </c>
      <c r="E64" s="527">
        <f t="shared" si="21"/>
        <v>0</v>
      </c>
      <c r="F64" s="528">
        <f t="shared" si="21"/>
        <v>0</v>
      </c>
      <c r="G64" s="525">
        <f t="shared" si="21"/>
        <v>0</v>
      </c>
      <c r="H64" s="526">
        <f t="shared" si="21"/>
        <v>0</v>
      </c>
      <c r="I64" s="527">
        <f t="shared" si="21"/>
        <v>0</v>
      </c>
      <c r="J64" s="528">
        <f t="shared" si="21"/>
        <v>0</v>
      </c>
      <c r="K64" s="525">
        <f t="shared" si="21"/>
        <v>0</v>
      </c>
      <c r="L64" s="526">
        <f t="shared" si="21"/>
        <v>0</v>
      </c>
      <c r="M64" s="527">
        <f t="shared" si="21"/>
        <v>0</v>
      </c>
      <c r="N64" s="528">
        <f t="shared" si="21"/>
        <v>0</v>
      </c>
      <c r="O64" s="649"/>
      <c r="P64" s="525">
        <f t="shared" si="21"/>
        <v>0</v>
      </c>
      <c r="Q64" s="526">
        <f t="shared" si="21"/>
        <v>0</v>
      </c>
      <c r="R64" s="527">
        <f t="shared" si="21"/>
        <v>0</v>
      </c>
      <c r="S64" s="528">
        <f t="shared" si="21"/>
        <v>0</v>
      </c>
      <c r="T64" s="525">
        <f t="shared" si="21"/>
        <v>0</v>
      </c>
      <c r="U64" s="526">
        <f t="shared" si="21"/>
        <v>0</v>
      </c>
      <c r="V64" s="527">
        <f t="shared" si="21"/>
        <v>0</v>
      </c>
      <c r="W64" s="528">
        <f t="shared" si="21"/>
        <v>0</v>
      </c>
      <c r="X64" s="525">
        <f t="shared" si="21"/>
        <v>0</v>
      </c>
      <c r="Y64" s="526">
        <f t="shared" si="21"/>
        <v>0</v>
      </c>
      <c r="Z64" s="527">
        <f t="shared" si="21"/>
        <v>0</v>
      </c>
      <c r="AA64" s="528">
        <f t="shared" si="21"/>
        <v>0</v>
      </c>
      <c r="AB64" s="1175"/>
      <c r="AC64" s="1175"/>
      <c r="AD64" s="549"/>
      <c r="AE64" s="175">
        <f t="shared" si="14"/>
        <v>0</v>
      </c>
      <c r="AF64" s="175">
        <f t="shared" si="15"/>
        <v>0</v>
      </c>
      <c r="AG64" s="175">
        <f t="shared" si="16"/>
        <v>0</v>
      </c>
      <c r="AH64" s="175">
        <f t="shared" si="17"/>
        <v>0</v>
      </c>
      <c r="AI64" s="334"/>
      <c r="AJ64" s="334"/>
      <c r="AK64" s="334"/>
    </row>
    <row r="65" spans="1:44" ht="54.95" customHeight="1">
      <c r="A65" s="1043" t="s">
        <v>12</v>
      </c>
      <c r="B65" s="1044"/>
      <c r="C65" s="533">
        <f t="shared" ref="C65:AA65" si="22">SUM(C30:C41)</f>
        <v>0</v>
      </c>
      <c r="D65" s="534">
        <f t="shared" si="22"/>
        <v>0</v>
      </c>
      <c r="E65" s="535">
        <f t="shared" si="22"/>
        <v>0</v>
      </c>
      <c r="F65" s="536">
        <f t="shared" si="22"/>
        <v>0</v>
      </c>
      <c r="G65" s="533">
        <f t="shared" si="22"/>
        <v>0</v>
      </c>
      <c r="H65" s="534">
        <f t="shared" si="22"/>
        <v>0</v>
      </c>
      <c r="I65" s="535">
        <f t="shared" si="22"/>
        <v>0</v>
      </c>
      <c r="J65" s="536">
        <f t="shared" si="22"/>
        <v>0</v>
      </c>
      <c r="K65" s="533">
        <f t="shared" si="22"/>
        <v>0</v>
      </c>
      <c r="L65" s="534">
        <f t="shared" si="22"/>
        <v>0</v>
      </c>
      <c r="M65" s="535">
        <f t="shared" si="22"/>
        <v>0</v>
      </c>
      <c r="N65" s="536">
        <f t="shared" si="22"/>
        <v>0</v>
      </c>
      <c r="O65" s="650"/>
      <c r="P65" s="533">
        <f t="shared" si="22"/>
        <v>0</v>
      </c>
      <c r="Q65" s="534">
        <f t="shared" si="22"/>
        <v>0</v>
      </c>
      <c r="R65" s="535">
        <f t="shared" si="22"/>
        <v>0</v>
      </c>
      <c r="S65" s="536">
        <f t="shared" si="22"/>
        <v>0</v>
      </c>
      <c r="T65" s="533">
        <f t="shared" si="22"/>
        <v>0</v>
      </c>
      <c r="U65" s="534">
        <f t="shared" si="22"/>
        <v>0</v>
      </c>
      <c r="V65" s="535">
        <f t="shared" si="22"/>
        <v>0</v>
      </c>
      <c r="W65" s="536">
        <f t="shared" si="22"/>
        <v>0</v>
      </c>
      <c r="X65" s="533">
        <f t="shared" si="22"/>
        <v>0</v>
      </c>
      <c r="Y65" s="534">
        <f t="shared" si="22"/>
        <v>0</v>
      </c>
      <c r="Z65" s="535">
        <f t="shared" si="22"/>
        <v>0</v>
      </c>
      <c r="AA65" s="536">
        <f t="shared" si="22"/>
        <v>0</v>
      </c>
      <c r="AB65" s="322"/>
      <c r="AC65" s="322"/>
      <c r="AD65" s="322"/>
      <c r="AE65" s="224">
        <f t="shared" si="14"/>
        <v>0</v>
      </c>
      <c r="AF65" s="224">
        <f t="shared" si="15"/>
        <v>0</v>
      </c>
      <c r="AG65" s="224">
        <f t="shared" si="16"/>
        <v>0</v>
      </c>
      <c r="AH65" s="224">
        <f t="shared" si="17"/>
        <v>0</v>
      </c>
      <c r="AI65" s="322"/>
      <c r="AJ65" s="322"/>
      <c r="AK65" s="322"/>
    </row>
    <row r="66" spans="1:44" ht="54.95" customHeight="1" thickBot="1">
      <c r="A66" s="1045" t="str">
        <f>IF($AD$48=MAX($AD$48:$AD$52),A60,IF($AD$49=MAX($AD$48:$AD$52),A61,IF($AD$50=MAX($AD$48:$AD$52),A62,IF($AD$51=MAX($AD$48:$AD$52),A63,A64))))</f>
        <v>de 6:30 à 7:30</v>
      </c>
      <c r="B66" s="1046"/>
      <c r="C66" s="541">
        <f t="shared" ref="C66:N66" si="23">IF($AD$48=MAX($AD$48:$AD$52),C60,IF($AD$49=MAX($AD$48:$AD$52),C61,IF($AD$50=MAX($AD$48:$AD$52),C62,IF($AD$51=MAX($AD$48:$AD$52),C63,C64))))</f>
        <v>0</v>
      </c>
      <c r="D66" s="542">
        <f t="shared" si="23"/>
        <v>0</v>
      </c>
      <c r="E66" s="543">
        <f t="shared" si="23"/>
        <v>0</v>
      </c>
      <c r="F66" s="544">
        <f t="shared" si="23"/>
        <v>0</v>
      </c>
      <c r="G66" s="541">
        <f t="shared" si="23"/>
        <v>0</v>
      </c>
      <c r="H66" s="542">
        <f t="shared" si="23"/>
        <v>0</v>
      </c>
      <c r="I66" s="543">
        <f t="shared" si="23"/>
        <v>0</v>
      </c>
      <c r="J66" s="544">
        <f t="shared" si="23"/>
        <v>0</v>
      </c>
      <c r="K66" s="541">
        <f t="shared" si="23"/>
        <v>0</v>
      </c>
      <c r="L66" s="542">
        <f t="shared" si="23"/>
        <v>0</v>
      </c>
      <c r="M66" s="543">
        <f t="shared" si="23"/>
        <v>0</v>
      </c>
      <c r="N66" s="544">
        <f t="shared" si="23"/>
        <v>0</v>
      </c>
      <c r="O66" s="651"/>
      <c r="P66" s="541">
        <f t="shared" ref="P66:AA66" si="24">IF($AD$48=MAX($AD$48:$AD$52),P60,IF($AD$49=MAX($AD$48:$AD$52),P61,IF($AD$50=MAX($AD$48:$AD$52),P62,IF($AD$51=MAX($AD$48:$AD$52),P63,P64))))</f>
        <v>0</v>
      </c>
      <c r="Q66" s="542">
        <f t="shared" si="24"/>
        <v>0</v>
      </c>
      <c r="R66" s="543">
        <f t="shared" si="24"/>
        <v>0</v>
      </c>
      <c r="S66" s="544">
        <f t="shared" si="24"/>
        <v>0</v>
      </c>
      <c r="T66" s="541">
        <f t="shared" si="24"/>
        <v>0</v>
      </c>
      <c r="U66" s="542">
        <f t="shared" si="24"/>
        <v>0</v>
      </c>
      <c r="V66" s="543">
        <f t="shared" si="24"/>
        <v>0</v>
      </c>
      <c r="W66" s="544">
        <f t="shared" si="24"/>
        <v>0</v>
      </c>
      <c r="X66" s="541">
        <f t="shared" si="24"/>
        <v>0</v>
      </c>
      <c r="Y66" s="542">
        <f t="shared" si="24"/>
        <v>0</v>
      </c>
      <c r="Z66" s="543">
        <f t="shared" si="24"/>
        <v>0</v>
      </c>
      <c r="AA66" s="544">
        <f t="shared" si="24"/>
        <v>0</v>
      </c>
      <c r="AB66" s="322"/>
      <c r="AC66" s="322"/>
      <c r="AD66" s="322"/>
      <c r="AE66" s="226">
        <f t="shared" si="14"/>
        <v>0</v>
      </c>
      <c r="AF66" s="226">
        <f t="shared" si="15"/>
        <v>0</v>
      </c>
      <c r="AG66" s="226">
        <f t="shared" si="16"/>
        <v>0</v>
      </c>
      <c r="AH66" s="226">
        <f t="shared" si="17"/>
        <v>0</v>
      </c>
      <c r="AI66" s="322"/>
      <c r="AJ66" s="322"/>
      <c r="AK66" s="322"/>
    </row>
    <row r="67" spans="1:44" ht="9" customHeight="1" thickTop="1">
      <c r="A67" s="323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3"/>
      <c r="AC67" s="321"/>
      <c r="AD67" s="321"/>
      <c r="AE67" s="321"/>
      <c r="AF67" s="321"/>
      <c r="AG67" s="321"/>
      <c r="AH67" s="321"/>
      <c r="AI67" s="321"/>
      <c r="AJ67" s="321"/>
      <c r="AK67" s="321"/>
      <c r="AL67" s="337"/>
      <c r="AM67" s="336"/>
      <c r="AN67" s="337"/>
      <c r="AO67" s="337"/>
      <c r="AP67" s="337"/>
      <c r="AQ67" s="337"/>
      <c r="AR67" s="337"/>
    </row>
  </sheetData>
  <mergeCells count="128">
    <mergeCell ref="C3:W3"/>
    <mergeCell ref="C7:N7"/>
    <mergeCell ref="P7:AA7"/>
    <mergeCell ref="C8:F8"/>
    <mergeCell ref="G8:J8"/>
    <mergeCell ref="K8:N8"/>
    <mergeCell ref="P8:S8"/>
    <mergeCell ref="T8:W8"/>
    <mergeCell ref="X8:AA8"/>
    <mergeCell ref="C5:N5"/>
    <mergeCell ref="R5:AA5"/>
    <mergeCell ref="C26:N26"/>
    <mergeCell ref="P26:AA26"/>
    <mergeCell ref="C27:F27"/>
    <mergeCell ref="G27:J27"/>
    <mergeCell ref="K27:N27"/>
    <mergeCell ref="P27:S27"/>
    <mergeCell ref="T27:W27"/>
    <mergeCell ref="X27:AA27"/>
    <mergeCell ref="P9:Q9"/>
    <mergeCell ref="R9:S9"/>
    <mergeCell ref="T9:U9"/>
    <mergeCell ref="V9:W9"/>
    <mergeCell ref="X9:Y9"/>
    <mergeCell ref="Z9:AA9"/>
    <mergeCell ref="C9:D9"/>
    <mergeCell ref="E9:F9"/>
    <mergeCell ref="G9:H9"/>
    <mergeCell ref="I9:J9"/>
    <mergeCell ref="K9:L9"/>
    <mergeCell ref="M9:N9"/>
    <mergeCell ref="C24:N24"/>
    <mergeCell ref="P28:Q28"/>
    <mergeCell ref="R28:S28"/>
    <mergeCell ref="T28:U28"/>
    <mergeCell ref="V28:W28"/>
    <mergeCell ref="X28:Y28"/>
    <mergeCell ref="Z28:AA28"/>
    <mergeCell ref="C28:D28"/>
    <mergeCell ref="E28:F28"/>
    <mergeCell ref="G28:H28"/>
    <mergeCell ref="I28:J28"/>
    <mergeCell ref="K28:L28"/>
    <mergeCell ref="M28:N28"/>
    <mergeCell ref="AH44:AH47"/>
    <mergeCell ref="AI44:AK47"/>
    <mergeCell ref="C45:F45"/>
    <mergeCell ref="G45:J45"/>
    <mergeCell ref="K45:N45"/>
    <mergeCell ref="P45:S45"/>
    <mergeCell ref="T45:W45"/>
    <mergeCell ref="X45:AA45"/>
    <mergeCell ref="C46:D46"/>
    <mergeCell ref="E46:F46"/>
    <mergeCell ref="C44:N44"/>
    <mergeCell ref="P44:AA44"/>
    <mergeCell ref="AD44:AD47"/>
    <mergeCell ref="AE44:AE47"/>
    <mergeCell ref="AF44:AF47"/>
    <mergeCell ref="AG44:AG47"/>
    <mergeCell ref="G46:H46"/>
    <mergeCell ref="I46:J46"/>
    <mergeCell ref="K46:L46"/>
    <mergeCell ref="M46:N46"/>
    <mergeCell ref="A47:B47"/>
    <mergeCell ref="AB47:AC47"/>
    <mergeCell ref="A48:B48"/>
    <mergeCell ref="AB48:AC48"/>
    <mergeCell ref="A49:B49"/>
    <mergeCell ref="AB49:AC49"/>
    <mergeCell ref="P46:Q46"/>
    <mergeCell ref="R46:S46"/>
    <mergeCell ref="T46:U46"/>
    <mergeCell ref="V46:W46"/>
    <mergeCell ref="X46:Y46"/>
    <mergeCell ref="Z46:AA46"/>
    <mergeCell ref="A53:B53"/>
    <mergeCell ref="AB53:AC53"/>
    <mergeCell ref="A54:B54"/>
    <mergeCell ref="AB54:AC54"/>
    <mergeCell ref="AB55:AC55"/>
    <mergeCell ref="C56:N56"/>
    <mergeCell ref="P56:AA56"/>
    <mergeCell ref="AB56:AC56"/>
    <mergeCell ref="A50:B50"/>
    <mergeCell ref="AB50:AC50"/>
    <mergeCell ref="A51:B51"/>
    <mergeCell ref="AB51:AC51"/>
    <mergeCell ref="A52:B52"/>
    <mergeCell ref="AB52:AC52"/>
    <mergeCell ref="AE56:AE59"/>
    <mergeCell ref="AF56:AF59"/>
    <mergeCell ref="AG56:AG59"/>
    <mergeCell ref="AH56:AH59"/>
    <mergeCell ref="C57:F57"/>
    <mergeCell ref="G57:J57"/>
    <mergeCell ref="K57:N57"/>
    <mergeCell ref="P57:S57"/>
    <mergeCell ref="T57:W57"/>
    <mergeCell ref="X57:AA57"/>
    <mergeCell ref="V58:W58"/>
    <mergeCell ref="X58:Y58"/>
    <mergeCell ref="Z58:AA58"/>
    <mergeCell ref="AB58:AC58"/>
    <mergeCell ref="A59:B59"/>
    <mergeCell ref="AB59:AC59"/>
    <mergeCell ref="AB57:AC57"/>
    <mergeCell ref="C58:D58"/>
    <mergeCell ref="E58:F58"/>
    <mergeCell ref="G58:H58"/>
    <mergeCell ref="I58:J58"/>
    <mergeCell ref="K58:L58"/>
    <mergeCell ref="M58:N58"/>
    <mergeCell ref="P58:Q58"/>
    <mergeCell ref="R58:S58"/>
    <mergeCell ref="T58:U58"/>
    <mergeCell ref="A63:B63"/>
    <mergeCell ref="AB63:AC63"/>
    <mergeCell ref="A64:B64"/>
    <mergeCell ref="AB64:AC64"/>
    <mergeCell ref="A65:B65"/>
    <mergeCell ref="A66:B66"/>
    <mergeCell ref="A60:B60"/>
    <mergeCell ref="AB60:AC60"/>
    <mergeCell ref="A61:B61"/>
    <mergeCell ref="AB61:AC61"/>
    <mergeCell ref="A62:B62"/>
    <mergeCell ref="AB62:AC62"/>
  </mergeCells>
  <pageMargins left="0.39370078740157483" right="0.39370078740157483" top="0.39370078740157483" bottom="0.39370078740157483" header="0.59055118110236227" footer="0.59055118110236227"/>
  <pageSetup paperSize="9" scale="38" fitToHeight="0" pageOrder="overThenDown" orientation="landscape" useFirstPageNumber="1" r:id="rId1"/>
  <headerFooter alignWithMargins="0"/>
  <rowBreaks count="2" manualBreakCount="2">
    <brk id="39" max="25" man="1"/>
    <brk id="67" max="2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R67"/>
  <sheetViews>
    <sheetView view="pageBreakPreview" topLeftCell="A10" zoomScale="40" zoomScaleNormal="55" zoomScaleSheetLayoutView="40" workbookViewId="0">
      <selection activeCell="R17" sqref="R17"/>
    </sheetView>
  </sheetViews>
  <sheetFormatPr baseColWidth="10" defaultRowHeight="14.25" outlineLevelRow="1"/>
  <cols>
    <col min="1" max="1" width="9.125" style="291" customWidth="1"/>
    <col min="2" max="2" width="13.75" style="291" customWidth="1"/>
    <col min="3" max="14" width="12.875" style="291" customWidth="1"/>
    <col min="15" max="15" width="2.625" style="291" customWidth="1"/>
    <col min="16" max="27" width="12.875" style="291" customWidth="1"/>
    <col min="28" max="28" width="9.125" style="291" customWidth="1"/>
    <col min="29" max="29" width="13.75" style="291" customWidth="1"/>
    <col min="30" max="35" width="21.125" style="291" customWidth="1"/>
    <col min="36" max="36" width="123.625" style="291" customWidth="1"/>
    <col min="37" max="37" width="21.125" style="291" customWidth="1"/>
    <col min="38" max="44" width="10.625" style="291" customWidth="1"/>
    <col min="45" max="16384" width="11" style="291"/>
  </cols>
  <sheetData>
    <row r="1" spans="1:33" ht="52.5" customHeight="1" thickBot="1">
      <c r="A1" s="283" t="s">
        <v>89</v>
      </c>
      <c r="B1" s="284" t="s">
        <v>34</v>
      </c>
      <c r="C1" s="285"/>
      <c r="D1" s="285"/>
      <c r="E1" s="285"/>
      <c r="F1" s="286"/>
      <c r="G1" s="286"/>
      <c r="H1" s="285"/>
      <c r="I1" s="285"/>
      <c r="J1" s="286"/>
      <c r="K1" s="286"/>
      <c r="L1" s="287"/>
      <c r="M1" s="240" t="s">
        <v>30</v>
      </c>
      <c r="N1" s="241" t="s">
        <v>139</v>
      </c>
      <c r="O1" s="623"/>
      <c r="P1" s="285"/>
      <c r="Q1" s="285"/>
      <c r="R1" s="285"/>
      <c r="S1" s="285"/>
      <c r="T1" s="285"/>
      <c r="U1" s="285"/>
      <c r="V1" s="285"/>
      <c r="W1" s="288"/>
      <c r="X1" s="289"/>
      <c r="Y1" s="289"/>
      <c r="Z1" s="289"/>
      <c r="AA1" s="290"/>
    </row>
    <row r="2" spans="1:33" ht="52.5" customHeight="1" thickBot="1">
      <c r="A2" s="227" t="s">
        <v>2</v>
      </c>
      <c r="B2" s="228"/>
      <c r="C2" s="228"/>
      <c r="D2" s="228"/>
      <c r="E2" s="228"/>
      <c r="F2" s="228"/>
      <c r="G2" s="284"/>
      <c r="H2" s="285"/>
      <c r="I2" s="285"/>
      <c r="J2" s="285"/>
      <c r="K2" s="285"/>
      <c r="L2" s="285"/>
      <c r="M2" s="285"/>
      <c r="N2" s="285"/>
      <c r="O2" s="600"/>
      <c r="P2" s="285"/>
      <c r="Q2" s="285"/>
      <c r="R2" s="285"/>
      <c r="S2" s="285"/>
      <c r="T2" s="285"/>
      <c r="U2" s="285"/>
      <c r="V2" s="285"/>
      <c r="W2" s="288"/>
      <c r="X2" s="228"/>
      <c r="Y2" s="228"/>
      <c r="Z2" s="228"/>
      <c r="AA2" s="228"/>
    </row>
    <row r="3" spans="1:33" ht="52.5" customHeight="1" thickBot="1">
      <c r="A3" s="227" t="s">
        <v>3</v>
      </c>
      <c r="B3" s="228"/>
      <c r="C3" s="1172"/>
      <c r="D3" s="1173"/>
      <c r="E3" s="1173"/>
      <c r="F3" s="1173"/>
      <c r="G3" s="1173"/>
      <c r="H3" s="1173"/>
      <c r="I3" s="1173"/>
      <c r="J3" s="1173"/>
      <c r="K3" s="1173"/>
      <c r="L3" s="1173"/>
      <c r="M3" s="1173"/>
      <c r="N3" s="1173"/>
      <c r="O3" s="1173"/>
      <c r="P3" s="1173"/>
      <c r="Q3" s="1173"/>
      <c r="R3" s="1173"/>
      <c r="S3" s="1173"/>
      <c r="T3" s="1173"/>
      <c r="U3" s="1173"/>
      <c r="V3" s="1173"/>
      <c r="W3" s="1174"/>
      <c r="X3" s="228"/>
      <c r="Y3" s="228"/>
      <c r="Z3" s="228"/>
      <c r="AA3" s="245"/>
    </row>
    <row r="4" spans="1:33" ht="24.95" customHeight="1">
      <c r="A4" s="227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45"/>
    </row>
    <row r="5" spans="1:33" s="645" customFormat="1" ht="75" customHeight="1">
      <c r="A5" s="639" t="s">
        <v>27</v>
      </c>
      <c r="B5" s="640"/>
      <c r="C5" s="866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674"/>
      <c r="P5" s="641" t="s">
        <v>134</v>
      </c>
      <c r="Q5" s="641"/>
      <c r="R5" s="868" t="s">
        <v>135</v>
      </c>
      <c r="S5" s="868"/>
      <c r="T5" s="868"/>
      <c r="U5" s="868"/>
      <c r="V5" s="868"/>
      <c r="W5" s="868"/>
      <c r="X5" s="868"/>
      <c r="Y5" s="868"/>
      <c r="Z5" s="868"/>
      <c r="AA5" s="868"/>
      <c r="AB5" s="666"/>
    </row>
    <row r="6" spans="1:33" ht="8.1" customHeight="1" thickBot="1">
      <c r="A6" s="246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597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45"/>
    </row>
    <row r="7" spans="1:33" ht="32.25" customHeight="1" thickTop="1">
      <c r="A7" s="227"/>
      <c r="B7" s="228"/>
      <c r="C7" s="875" t="s">
        <v>46</v>
      </c>
      <c r="D7" s="1049"/>
      <c r="E7" s="876"/>
      <c r="F7" s="876"/>
      <c r="G7" s="876"/>
      <c r="H7" s="876"/>
      <c r="I7" s="876"/>
      <c r="J7" s="876"/>
      <c r="K7" s="876"/>
      <c r="L7" s="876"/>
      <c r="M7" s="876"/>
      <c r="N7" s="877"/>
      <c r="O7" s="671"/>
      <c r="P7" s="875" t="s">
        <v>50</v>
      </c>
      <c r="Q7" s="1049"/>
      <c r="R7" s="876"/>
      <c r="S7" s="876"/>
      <c r="T7" s="876"/>
      <c r="U7" s="876"/>
      <c r="V7" s="876"/>
      <c r="W7" s="876"/>
      <c r="X7" s="876"/>
      <c r="Y7" s="876"/>
      <c r="Z7" s="876"/>
      <c r="AA7" s="877"/>
      <c r="AC7" s="293"/>
      <c r="AD7" s="293"/>
      <c r="AE7" s="293"/>
      <c r="AF7" s="293"/>
      <c r="AG7" s="293"/>
    </row>
    <row r="8" spans="1:33" ht="22.7" customHeight="1">
      <c r="A8" s="227"/>
      <c r="B8" s="228"/>
      <c r="C8" s="1041" t="s">
        <v>37</v>
      </c>
      <c r="D8" s="1041"/>
      <c r="E8" s="1041"/>
      <c r="F8" s="1041"/>
      <c r="G8" s="1041" t="s">
        <v>48</v>
      </c>
      <c r="H8" s="1041"/>
      <c r="I8" s="1041"/>
      <c r="J8" s="1041"/>
      <c r="K8" s="1041" t="s">
        <v>49</v>
      </c>
      <c r="L8" s="1041"/>
      <c r="M8" s="1041"/>
      <c r="N8" s="1041"/>
      <c r="O8" s="586"/>
      <c r="P8" s="1041" t="s">
        <v>37</v>
      </c>
      <c r="Q8" s="1041"/>
      <c r="R8" s="1041"/>
      <c r="S8" s="1041"/>
      <c r="T8" s="1041" t="s">
        <v>45</v>
      </c>
      <c r="U8" s="1041"/>
      <c r="V8" s="1041"/>
      <c r="W8" s="1041"/>
      <c r="X8" s="1041" t="s">
        <v>49</v>
      </c>
      <c r="Y8" s="1041"/>
      <c r="Z8" s="1041"/>
      <c r="AA8" s="1041"/>
    </row>
    <row r="9" spans="1:33" ht="18.600000000000001" customHeight="1" thickBot="1">
      <c r="A9" s="227"/>
      <c r="B9" s="228"/>
      <c r="C9" s="908" t="s">
        <v>4</v>
      </c>
      <c r="D9" s="1042"/>
      <c r="E9" s="910" t="s">
        <v>5</v>
      </c>
      <c r="F9" s="911"/>
      <c r="G9" s="911" t="s">
        <v>4</v>
      </c>
      <c r="H9" s="912"/>
      <c r="I9" s="910" t="s">
        <v>5</v>
      </c>
      <c r="J9" s="911"/>
      <c r="K9" s="911" t="s">
        <v>4</v>
      </c>
      <c r="L9" s="912"/>
      <c r="M9" s="1190" t="s">
        <v>5</v>
      </c>
      <c r="N9" s="1191"/>
      <c r="O9" s="624"/>
      <c r="P9" s="908" t="s">
        <v>4</v>
      </c>
      <c r="Q9" s="1042"/>
      <c r="R9" s="910" t="s">
        <v>5</v>
      </c>
      <c r="S9" s="911"/>
      <c r="T9" s="911" t="s">
        <v>4</v>
      </c>
      <c r="U9" s="912"/>
      <c r="V9" s="910" t="s">
        <v>5</v>
      </c>
      <c r="W9" s="911"/>
      <c r="X9" s="911" t="s">
        <v>4</v>
      </c>
      <c r="Y9" s="912"/>
      <c r="Z9" s="1190" t="s">
        <v>5</v>
      </c>
      <c r="AA9" s="1191"/>
    </row>
    <row r="10" spans="1:33" ht="21" thickTop="1">
      <c r="A10" s="294" t="s">
        <v>6</v>
      </c>
      <c r="B10" s="295" t="s">
        <v>7</v>
      </c>
      <c r="C10" s="368" t="s">
        <v>8</v>
      </c>
      <c r="D10" s="373" t="s">
        <v>9</v>
      </c>
      <c r="E10" s="370" t="s">
        <v>8</v>
      </c>
      <c r="F10" s="371" t="s">
        <v>9</v>
      </c>
      <c r="G10" s="372" t="s">
        <v>8</v>
      </c>
      <c r="H10" s="373" t="s">
        <v>9</v>
      </c>
      <c r="I10" s="370" t="s">
        <v>8</v>
      </c>
      <c r="J10" s="371" t="s">
        <v>9</v>
      </c>
      <c r="K10" s="372" t="s">
        <v>8</v>
      </c>
      <c r="L10" s="373" t="s">
        <v>9</v>
      </c>
      <c r="M10" s="370" t="s">
        <v>8</v>
      </c>
      <c r="N10" s="512" t="s">
        <v>9</v>
      </c>
      <c r="O10" s="637"/>
      <c r="P10" s="368" t="s">
        <v>8</v>
      </c>
      <c r="Q10" s="373" t="s">
        <v>9</v>
      </c>
      <c r="R10" s="370" t="s">
        <v>8</v>
      </c>
      <c r="S10" s="371" t="s">
        <v>9</v>
      </c>
      <c r="T10" s="372" t="s">
        <v>8</v>
      </c>
      <c r="U10" s="373" t="s">
        <v>9</v>
      </c>
      <c r="V10" s="370" t="s">
        <v>8</v>
      </c>
      <c r="W10" s="371" t="s">
        <v>9</v>
      </c>
      <c r="X10" s="372" t="s">
        <v>8</v>
      </c>
      <c r="Y10" s="373" t="s">
        <v>9</v>
      </c>
      <c r="Z10" s="370" t="s">
        <v>8</v>
      </c>
      <c r="AA10" s="512" t="s">
        <v>9</v>
      </c>
      <c r="AB10" s="296"/>
    </row>
    <row r="11" spans="1:33" ht="54.95" hidden="1" customHeight="1" outlineLevel="1">
      <c r="A11" s="297">
        <v>6</v>
      </c>
      <c r="B11" s="298" t="s">
        <v>25</v>
      </c>
      <c r="C11" s="374"/>
      <c r="D11" s="379"/>
      <c r="E11" s="376"/>
      <c r="F11" s="377"/>
      <c r="G11" s="378"/>
      <c r="H11" s="379"/>
      <c r="I11" s="376"/>
      <c r="J11" s="377"/>
      <c r="K11" s="378"/>
      <c r="L11" s="379"/>
      <c r="M11" s="376"/>
      <c r="N11" s="551"/>
      <c r="O11" s="638"/>
      <c r="P11" s="374"/>
      <c r="Q11" s="379"/>
      <c r="R11" s="376"/>
      <c r="S11" s="377"/>
      <c r="T11" s="378"/>
      <c r="U11" s="379"/>
      <c r="V11" s="376"/>
      <c r="W11" s="377"/>
      <c r="X11" s="378"/>
      <c r="Y11" s="379"/>
      <c r="Z11" s="376"/>
      <c r="AA11" s="551"/>
      <c r="AB11" s="299"/>
      <c r="AC11" s="299"/>
      <c r="AD11" s="299"/>
      <c r="AE11" s="299"/>
      <c r="AF11" s="299"/>
      <c r="AG11" s="299"/>
    </row>
    <row r="12" spans="1:33" ht="54.95" hidden="1" customHeight="1" outlineLevel="1">
      <c r="A12" s="297"/>
      <c r="B12" s="298" t="s">
        <v>26</v>
      </c>
      <c r="C12" s="374"/>
      <c r="D12" s="379"/>
      <c r="E12" s="376"/>
      <c r="F12" s="377"/>
      <c r="G12" s="378"/>
      <c r="H12" s="379"/>
      <c r="I12" s="376"/>
      <c r="J12" s="377"/>
      <c r="K12" s="378"/>
      <c r="L12" s="379"/>
      <c r="M12" s="376"/>
      <c r="N12" s="551"/>
      <c r="O12" s="638"/>
      <c r="P12" s="374"/>
      <c r="Q12" s="379"/>
      <c r="R12" s="376"/>
      <c r="S12" s="377"/>
      <c r="T12" s="378"/>
      <c r="U12" s="379"/>
      <c r="V12" s="376"/>
      <c r="W12" s="377"/>
      <c r="X12" s="378"/>
      <c r="Y12" s="379"/>
      <c r="Z12" s="376"/>
      <c r="AA12" s="551"/>
      <c r="AB12" s="299"/>
      <c r="AC12" s="299"/>
      <c r="AD12" s="299"/>
      <c r="AE12" s="299"/>
      <c r="AF12" s="299"/>
      <c r="AG12" s="299"/>
    </row>
    <row r="13" spans="1:33" ht="54.95" customHeight="1" collapsed="1">
      <c r="A13" s="297">
        <v>7</v>
      </c>
      <c r="B13" s="298" t="s">
        <v>140</v>
      </c>
      <c r="C13" s="253"/>
      <c r="D13" s="254"/>
      <c r="E13" s="255"/>
      <c r="F13" s="256"/>
      <c r="G13" s="257"/>
      <c r="H13" s="254"/>
      <c r="I13" s="255"/>
      <c r="J13" s="256"/>
      <c r="K13" s="253"/>
      <c r="L13" s="254"/>
      <c r="M13" s="255"/>
      <c r="N13" s="256"/>
      <c r="O13" s="638"/>
      <c r="P13" s="253"/>
      <c r="Q13" s="254"/>
      <c r="R13" s="255"/>
      <c r="S13" s="256"/>
      <c r="T13" s="257"/>
      <c r="U13" s="254"/>
      <c r="V13" s="255"/>
      <c r="W13" s="256"/>
      <c r="X13" s="253"/>
      <c r="Y13" s="254"/>
      <c r="Z13" s="255"/>
      <c r="AA13" s="256"/>
      <c r="AB13" s="299"/>
      <c r="AC13" s="299"/>
      <c r="AD13" s="299"/>
      <c r="AE13" s="299"/>
      <c r="AF13" s="299"/>
      <c r="AG13" s="299"/>
    </row>
    <row r="14" spans="1:33" ht="54.95" customHeight="1">
      <c r="A14" s="297"/>
      <c r="B14" s="298" t="s">
        <v>141</v>
      </c>
      <c r="C14" s="613"/>
      <c r="D14" s="614"/>
      <c r="E14" s="619"/>
      <c r="F14" s="620"/>
      <c r="G14" s="615"/>
      <c r="H14" s="614"/>
      <c r="I14" s="619"/>
      <c r="J14" s="620"/>
      <c r="K14" s="613"/>
      <c r="L14" s="614"/>
      <c r="M14" s="619"/>
      <c r="N14" s="620"/>
      <c r="O14" s="638"/>
      <c r="P14" s="613"/>
      <c r="Q14" s="614"/>
      <c r="R14" s="619"/>
      <c r="S14" s="620"/>
      <c r="T14" s="615"/>
      <c r="U14" s="614"/>
      <c r="V14" s="619"/>
      <c r="W14" s="620"/>
      <c r="X14" s="613"/>
      <c r="Y14" s="614"/>
      <c r="Z14" s="619"/>
      <c r="AA14" s="620"/>
      <c r="AB14" s="299"/>
      <c r="AC14" s="299"/>
      <c r="AD14" s="299"/>
      <c r="AE14" s="299"/>
      <c r="AF14" s="299"/>
      <c r="AG14" s="299"/>
    </row>
    <row r="15" spans="1:33" ht="54.95" customHeight="1">
      <c r="A15" s="297"/>
      <c r="B15" s="298" t="s">
        <v>142</v>
      </c>
      <c r="C15" s="259"/>
      <c r="D15" s="260"/>
      <c r="E15" s="261"/>
      <c r="F15" s="262"/>
      <c r="G15" s="263"/>
      <c r="H15" s="260"/>
      <c r="I15" s="261"/>
      <c r="J15" s="262"/>
      <c r="K15" s="259"/>
      <c r="L15" s="260"/>
      <c r="M15" s="261"/>
      <c r="N15" s="262"/>
      <c r="O15" s="638"/>
      <c r="P15" s="259"/>
      <c r="Q15" s="260"/>
      <c r="R15" s="261"/>
      <c r="S15" s="262"/>
      <c r="T15" s="263"/>
      <c r="U15" s="260"/>
      <c r="V15" s="261"/>
      <c r="W15" s="262"/>
      <c r="X15" s="259"/>
      <c r="Y15" s="260"/>
      <c r="Z15" s="261"/>
      <c r="AA15" s="262"/>
      <c r="AB15" s="299"/>
      <c r="AC15" s="299"/>
      <c r="AD15" s="299"/>
      <c r="AE15" s="299"/>
      <c r="AF15" s="299"/>
      <c r="AG15" s="299"/>
    </row>
    <row r="16" spans="1:33" ht="54.95" customHeight="1">
      <c r="A16" s="297"/>
      <c r="B16" s="298" t="s">
        <v>143</v>
      </c>
      <c r="C16" s="616"/>
      <c r="D16" s="617"/>
      <c r="E16" s="621"/>
      <c r="F16" s="622"/>
      <c r="G16" s="618"/>
      <c r="H16" s="617"/>
      <c r="I16" s="621"/>
      <c r="J16" s="622"/>
      <c r="K16" s="616"/>
      <c r="L16" s="617"/>
      <c r="M16" s="621"/>
      <c r="N16" s="622"/>
      <c r="O16" s="638"/>
      <c r="P16" s="616"/>
      <c r="Q16" s="617"/>
      <c r="R16" s="621"/>
      <c r="S16" s="622"/>
      <c r="T16" s="618"/>
      <c r="U16" s="617"/>
      <c r="V16" s="621"/>
      <c r="W16" s="622"/>
      <c r="X16" s="616"/>
      <c r="Y16" s="617"/>
      <c r="Z16" s="621"/>
      <c r="AA16" s="622"/>
      <c r="AB16" s="299"/>
      <c r="AC16" s="299"/>
      <c r="AD16" s="299"/>
      <c r="AE16" s="299"/>
      <c r="AF16" s="299"/>
      <c r="AG16" s="299"/>
    </row>
    <row r="17" spans="1:33" ht="54.95" customHeight="1">
      <c r="A17" s="297">
        <v>8</v>
      </c>
      <c r="B17" s="298" t="s">
        <v>140</v>
      </c>
      <c r="C17" s="253"/>
      <c r="D17" s="254"/>
      <c r="E17" s="255"/>
      <c r="F17" s="256"/>
      <c r="G17" s="257"/>
      <c r="H17" s="254"/>
      <c r="I17" s="255"/>
      <c r="J17" s="256"/>
      <c r="K17" s="253"/>
      <c r="L17" s="254"/>
      <c r="M17" s="255"/>
      <c r="N17" s="256"/>
      <c r="O17" s="638"/>
      <c r="P17" s="253"/>
      <c r="Q17" s="254"/>
      <c r="R17" s="255"/>
      <c r="S17" s="256"/>
      <c r="T17" s="257"/>
      <c r="U17" s="254"/>
      <c r="V17" s="255"/>
      <c r="W17" s="256"/>
      <c r="X17" s="253"/>
      <c r="Y17" s="254"/>
      <c r="Z17" s="255"/>
      <c r="AA17" s="256"/>
      <c r="AB17" s="299"/>
      <c r="AC17" s="299"/>
      <c r="AD17" s="299"/>
      <c r="AE17" s="299"/>
      <c r="AF17" s="299"/>
      <c r="AG17" s="299"/>
    </row>
    <row r="18" spans="1:33" ht="54.95" customHeight="1">
      <c r="A18" s="297"/>
      <c r="B18" s="298" t="s">
        <v>141</v>
      </c>
      <c r="C18" s="613"/>
      <c r="D18" s="614"/>
      <c r="E18" s="619"/>
      <c r="F18" s="620"/>
      <c r="G18" s="615"/>
      <c r="H18" s="614"/>
      <c r="I18" s="619"/>
      <c r="J18" s="620"/>
      <c r="K18" s="613"/>
      <c r="L18" s="614"/>
      <c r="M18" s="619"/>
      <c r="N18" s="620"/>
      <c r="O18" s="638"/>
      <c r="P18" s="613"/>
      <c r="Q18" s="614"/>
      <c r="R18" s="619"/>
      <c r="S18" s="620"/>
      <c r="T18" s="615"/>
      <c r="U18" s="614"/>
      <c r="V18" s="619"/>
      <c r="W18" s="620"/>
      <c r="X18" s="613"/>
      <c r="Y18" s="614"/>
      <c r="Z18" s="619"/>
      <c r="AA18" s="620"/>
      <c r="AB18" s="299"/>
      <c r="AC18" s="299"/>
      <c r="AD18" s="299"/>
      <c r="AE18" s="299"/>
      <c r="AF18" s="299"/>
      <c r="AG18" s="299"/>
    </row>
    <row r="19" spans="1:33" ht="54.95" customHeight="1">
      <c r="A19" s="297"/>
      <c r="B19" s="298" t="s">
        <v>142</v>
      </c>
      <c r="C19" s="259"/>
      <c r="D19" s="260"/>
      <c r="E19" s="261"/>
      <c r="F19" s="262"/>
      <c r="G19" s="263"/>
      <c r="H19" s="260"/>
      <c r="I19" s="261"/>
      <c r="J19" s="262"/>
      <c r="K19" s="259"/>
      <c r="L19" s="260"/>
      <c r="M19" s="261"/>
      <c r="N19" s="262"/>
      <c r="O19" s="638"/>
      <c r="P19" s="259"/>
      <c r="Q19" s="260"/>
      <c r="R19" s="261"/>
      <c r="S19" s="262"/>
      <c r="T19" s="263"/>
      <c r="U19" s="260"/>
      <c r="V19" s="261"/>
      <c r="W19" s="262"/>
      <c r="X19" s="259"/>
      <c r="Y19" s="260"/>
      <c r="Z19" s="261"/>
      <c r="AA19" s="262"/>
      <c r="AB19" s="299"/>
      <c r="AC19" s="299"/>
      <c r="AD19" s="299"/>
      <c r="AE19" s="299"/>
      <c r="AF19" s="299"/>
      <c r="AG19" s="299"/>
    </row>
    <row r="20" spans="1:33" ht="54.95" customHeight="1" thickBot="1">
      <c r="A20" s="297"/>
      <c r="B20" s="298" t="s">
        <v>143</v>
      </c>
      <c r="C20" s="616"/>
      <c r="D20" s="617"/>
      <c r="E20" s="621"/>
      <c r="F20" s="622"/>
      <c r="G20" s="618"/>
      <c r="H20" s="617"/>
      <c r="I20" s="621"/>
      <c r="J20" s="622"/>
      <c r="K20" s="616"/>
      <c r="L20" s="617"/>
      <c r="M20" s="621"/>
      <c r="N20" s="622"/>
      <c r="O20" s="638"/>
      <c r="P20" s="616"/>
      <c r="Q20" s="617"/>
      <c r="R20" s="621"/>
      <c r="S20" s="622"/>
      <c r="T20" s="618"/>
      <c r="U20" s="617"/>
      <c r="V20" s="621"/>
      <c r="W20" s="622"/>
      <c r="X20" s="616"/>
      <c r="Y20" s="617"/>
      <c r="Z20" s="621"/>
      <c r="AA20" s="622"/>
      <c r="AB20" s="299"/>
      <c r="AC20" s="299"/>
      <c r="AD20" s="299"/>
      <c r="AE20" s="299"/>
      <c r="AF20" s="299"/>
      <c r="AG20" s="299"/>
    </row>
    <row r="21" spans="1:33" ht="54.95" hidden="1" customHeight="1" outlineLevel="1">
      <c r="A21" s="297">
        <v>9</v>
      </c>
      <c r="B21" s="298" t="s">
        <v>23</v>
      </c>
      <c r="C21" s="374"/>
      <c r="D21" s="379"/>
      <c r="E21" s="376"/>
      <c r="F21" s="377"/>
      <c r="G21" s="378"/>
      <c r="H21" s="379"/>
      <c r="I21" s="376"/>
      <c r="J21" s="377"/>
      <c r="K21" s="378"/>
      <c r="L21" s="379"/>
      <c r="M21" s="376"/>
      <c r="N21" s="551"/>
      <c r="O21" s="638"/>
      <c r="P21" s="374"/>
      <c r="Q21" s="379"/>
      <c r="R21" s="376"/>
      <c r="S21" s="377"/>
      <c r="T21" s="378"/>
      <c r="U21" s="379"/>
      <c r="V21" s="376"/>
      <c r="W21" s="377"/>
      <c r="X21" s="378"/>
      <c r="Y21" s="379"/>
      <c r="Z21" s="376"/>
      <c r="AA21" s="551"/>
      <c r="AB21" s="299"/>
      <c r="AC21" s="299"/>
      <c r="AD21" s="299"/>
      <c r="AE21" s="299"/>
      <c r="AF21" s="299"/>
      <c r="AG21" s="299"/>
    </row>
    <row r="22" spans="1:33" ht="54.95" hidden="1" customHeight="1" outlineLevel="1" thickBot="1">
      <c r="A22" s="300"/>
      <c r="B22" s="301" t="s">
        <v>24</v>
      </c>
      <c r="C22" s="380"/>
      <c r="D22" s="385"/>
      <c r="E22" s="382"/>
      <c r="F22" s="383"/>
      <c r="G22" s="384"/>
      <c r="H22" s="385"/>
      <c r="I22" s="382"/>
      <c r="J22" s="383"/>
      <c r="K22" s="384"/>
      <c r="L22" s="385"/>
      <c r="M22" s="382"/>
      <c r="N22" s="552"/>
      <c r="O22" s="638"/>
      <c r="P22" s="380"/>
      <c r="Q22" s="385"/>
      <c r="R22" s="382"/>
      <c r="S22" s="383"/>
      <c r="T22" s="384"/>
      <c r="U22" s="385"/>
      <c r="V22" s="382"/>
      <c r="W22" s="383"/>
      <c r="X22" s="384"/>
      <c r="Y22" s="385"/>
      <c r="Z22" s="382"/>
      <c r="AA22" s="552"/>
      <c r="AB22" s="299"/>
      <c r="AC22" s="299"/>
      <c r="AD22" s="299"/>
      <c r="AE22" s="299"/>
      <c r="AF22" s="299"/>
      <c r="AG22" s="299"/>
    </row>
    <row r="23" spans="1:33" s="8" customFormat="1" ht="24.95" customHeight="1" collapsed="1" thickTop="1">
      <c r="A23" s="593"/>
      <c r="B23" s="593"/>
      <c r="C23" s="596"/>
      <c r="D23" s="596"/>
      <c r="E23" s="596"/>
      <c r="F23" s="596"/>
      <c r="G23" s="596"/>
      <c r="H23" s="596"/>
      <c r="I23" s="596"/>
      <c r="J23" s="596"/>
      <c r="K23" s="596"/>
      <c r="L23" s="596"/>
      <c r="M23" s="596"/>
      <c r="N23" s="596"/>
      <c r="O23" s="638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  <c r="AB23" s="2"/>
      <c r="AC23" s="2"/>
      <c r="AD23" s="2"/>
      <c r="AE23" s="2"/>
      <c r="AF23" s="2"/>
      <c r="AG23" s="2"/>
    </row>
    <row r="24" spans="1:33" s="8" customFormat="1" ht="75" customHeight="1" thickBot="1">
      <c r="A24" s="639" t="s">
        <v>27</v>
      </c>
      <c r="B24" s="640"/>
      <c r="C24" s="866"/>
      <c r="D24" s="867"/>
      <c r="E24" s="867"/>
      <c r="F24" s="867"/>
      <c r="G24" s="867"/>
      <c r="H24" s="867"/>
      <c r="I24" s="867"/>
      <c r="J24" s="867"/>
      <c r="K24" s="867"/>
      <c r="L24" s="867"/>
      <c r="M24" s="867"/>
      <c r="N24" s="867"/>
      <c r="O24" s="674"/>
      <c r="P24" s="597"/>
      <c r="Q24" s="597"/>
      <c r="R24" s="597"/>
      <c r="S24" s="597"/>
      <c r="T24" s="597"/>
      <c r="U24" s="597"/>
      <c r="V24" s="597"/>
      <c r="W24" s="597"/>
      <c r="X24" s="597"/>
      <c r="Y24" s="597"/>
      <c r="Z24" s="597"/>
      <c r="AA24" s="598"/>
    </row>
    <row r="25" spans="1:33" s="8" customFormat="1" ht="6" hidden="1" customHeight="1" outlineLevel="1" thickBot="1">
      <c r="A25" s="599"/>
      <c r="B25" s="597"/>
      <c r="C25" s="594"/>
      <c r="D25" s="594"/>
      <c r="E25" s="594"/>
      <c r="F25" s="594"/>
      <c r="G25" s="594"/>
      <c r="H25" s="594"/>
      <c r="I25" s="594"/>
      <c r="J25" s="594"/>
      <c r="K25" s="594"/>
      <c r="L25" s="594"/>
      <c r="M25" s="594"/>
      <c r="N25" s="594"/>
      <c r="O25" s="597"/>
      <c r="P25" s="594"/>
      <c r="Q25" s="594"/>
      <c r="R25" s="594"/>
      <c r="S25" s="594"/>
      <c r="T25" s="594"/>
      <c r="U25" s="594"/>
      <c r="V25" s="594"/>
      <c r="W25" s="594"/>
      <c r="X25" s="594"/>
      <c r="Y25" s="594"/>
      <c r="Z25" s="594"/>
      <c r="AA25" s="595"/>
    </row>
    <row r="26" spans="1:33" ht="32.25" customHeight="1" collapsed="1" thickTop="1">
      <c r="A26" s="227"/>
      <c r="B26" s="228"/>
      <c r="C26" s="875" t="s">
        <v>39</v>
      </c>
      <c r="D26" s="1049"/>
      <c r="E26" s="876"/>
      <c r="F26" s="876"/>
      <c r="G26" s="876"/>
      <c r="H26" s="876"/>
      <c r="I26" s="876"/>
      <c r="J26" s="876"/>
      <c r="K26" s="876"/>
      <c r="L26" s="876"/>
      <c r="M26" s="876"/>
      <c r="N26" s="877"/>
      <c r="O26" s="671"/>
      <c r="P26" s="875" t="s">
        <v>51</v>
      </c>
      <c r="Q26" s="1049"/>
      <c r="R26" s="876"/>
      <c r="S26" s="876"/>
      <c r="T26" s="876"/>
      <c r="U26" s="876"/>
      <c r="V26" s="876"/>
      <c r="W26" s="876"/>
      <c r="X26" s="876"/>
      <c r="Y26" s="876"/>
      <c r="Z26" s="876"/>
      <c r="AA26" s="877"/>
      <c r="AC26" s="293"/>
      <c r="AD26" s="293"/>
      <c r="AE26" s="293"/>
      <c r="AF26" s="293"/>
      <c r="AG26" s="293"/>
    </row>
    <row r="27" spans="1:33" ht="22.7" customHeight="1">
      <c r="A27" s="227"/>
      <c r="B27" s="228"/>
      <c r="C27" s="1041" t="s">
        <v>48</v>
      </c>
      <c r="D27" s="1041"/>
      <c r="E27" s="1041"/>
      <c r="F27" s="1041"/>
      <c r="G27" s="1041" t="s">
        <v>49</v>
      </c>
      <c r="H27" s="1041"/>
      <c r="I27" s="1041"/>
      <c r="J27" s="1041"/>
      <c r="K27" s="1041" t="s">
        <v>45</v>
      </c>
      <c r="L27" s="1041"/>
      <c r="M27" s="1041"/>
      <c r="N27" s="1041"/>
      <c r="O27" s="586"/>
      <c r="P27" s="1041" t="s">
        <v>37</v>
      </c>
      <c r="Q27" s="1041"/>
      <c r="R27" s="1041"/>
      <c r="S27" s="1041"/>
      <c r="T27" s="1041" t="s">
        <v>48</v>
      </c>
      <c r="U27" s="1041"/>
      <c r="V27" s="1041"/>
      <c r="W27" s="1041"/>
      <c r="X27" s="1041" t="s">
        <v>45</v>
      </c>
      <c r="Y27" s="1041"/>
      <c r="Z27" s="1041"/>
      <c r="AA27" s="1041"/>
    </row>
    <row r="28" spans="1:33" ht="18.600000000000001" customHeight="1" thickBot="1">
      <c r="A28" s="227"/>
      <c r="B28" s="228"/>
      <c r="C28" s="908" t="s">
        <v>4</v>
      </c>
      <c r="D28" s="1042"/>
      <c r="E28" s="910" t="s">
        <v>5</v>
      </c>
      <c r="F28" s="911"/>
      <c r="G28" s="911" t="s">
        <v>4</v>
      </c>
      <c r="H28" s="912"/>
      <c r="I28" s="910" t="s">
        <v>5</v>
      </c>
      <c r="J28" s="911"/>
      <c r="K28" s="911" t="s">
        <v>4</v>
      </c>
      <c r="L28" s="912"/>
      <c r="M28" s="1190" t="s">
        <v>5</v>
      </c>
      <c r="N28" s="1191"/>
      <c r="O28" s="624"/>
      <c r="P28" s="908" t="s">
        <v>4</v>
      </c>
      <c r="Q28" s="1042"/>
      <c r="R28" s="910" t="s">
        <v>5</v>
      </c>
      <c r="S28" s="911"/>
      <c r="T28" s="911" t="s">
        <v>4</v>
      </c>
      <c r="U28" s="912"/>
      <c r="V28" s="910" t="s">
        <v>5</v>
      </c>
      <c r="W28" s="911"/>
      <c r="X28" s="911" t="s">
        <v>4</v>
      </c>
      <c r="Y28" s="912"/>
      <c r="Z28" s="1190" t="s">
        <v>5</v>
      </c>
      <c r="AA28" s="1191"/>
    </row>
    <row r="29" spans="1:33" ht="21" thickTop="1">
      <c r="A29" s="294" t="s">
        <v>6</v>
      </c>
      <c r="B29" s="295" t="s">
        <v>7</v>
      </c>
      <c r="C29" s="368" t="s">
        <v>8</v>
      </c>
      <c r="D29" s="373" t="s">
        <v>9</v>
      </c>
      <c r="E29" s="370" t="s">
        <v>8</v>
      </c>
      <c r="F29" s="371" t="s">
        <v>9</v>
      </c>
      <c r="G29" s="372" t="s">
        <v>8</v>
      </c>
      <c r="H29" s="373" t="s">
        <v>9</v>
      </c>
      <c r="I29" s="370" t="s">
        <v>8</v>
      </c>
      <c r="J29" s="371" t="s">
        <v>9</v>
      </c>
      <c r="K29" s="372" t="s">
        <v>8</v>
      </c>
      <c r="L29" s="373" t="s">
        <v>9</v>
      </c>
      <c r="M29" s="370" t="s">
        <v>8</v>
      </c>
      <c r="N29" s="512" t="s">
        <v>9</v>
      </c>
      <c r="O29" s="637"/>
      <c r="P29" s="368" t="s">
        <v>8</v>
      </c>
      <c r="Q29" s="373" t="s">
        <v>9</v>
      </c>
      <c r="R29" s="370" t="s">
        <v>8</v>
      </c>
      <c r="S29" s="371" t="s">
        <v>9</v>
      </c>
      <c r="T29" s="372" t="s">
        <v>8</v>
      </c>
      <c r="U29" s="373" t="s">
        <v>9</v>
      </c>
      <c r="V29" s="370" t="s">
        <v>8</v>
      </c>
      <c r="W29" s="371" t="s">
        <v>9</v>
      </c>
      <c r="X29" s="372" t="s">
        <v>8</v>
      </c>
      <c r="Y29" s="373" t="s">
        <v>9</v>
      </c>
      <c r="Z29" s="370" t="s">
        <v>8</v>
      </c>
      <c r="AA29" s="512" t="s">
        <v>9</v>
      </c>
      <c r="AB29" s="296"/>
    </row>
    <row r="30" spans="1:33" ht="54.95" hidden="1" customHeight="1" outlineLevel="1">
      <c r="A30" s="297">
        <v>6</v>
      </c>
      <c r="B30" s="298" t="s">
        <v>25</v>
      </c>
      <c r="C30" s="374"/>
      <c r="D30" s="379"/>
      <c r="E30" s="376"/>
      <c r="F30" s="377"/>
      <c r="G30" s="378"/>
      <c r="H30" s="379"/>
      <c r="I30" s="376"/>
      <c r="J30" s="377"/>
      <c r="K30" s="378"/>
      <c r="L30" s="379"/>
      <c r="M30" s="376"/>
      <c r="N30" s="551"/>
      <c r="O30" s="638"/>
      <c r="P30" s="374"/>
      <c r="Q30" s="379"/>
      <c r="R30" s="376"/>
      <c r="S30" s="377"/>
      <c r="T30" s="378"/>
      <c r="U30" s="379"/>
      <c r="V30" s="376"/>
      <c r="W30" s="377"/>
      <c r="X30" s="378"/>
      <c r="Y30" s="379"/>
      <c r="Z30" s="376"/>
      <c r="AA30" s="551"/>
      <c r="AB30" s="299"/>
      <c r="AC30" s="299"/>
      <c r="AD30" s="299"/>
      <c r="AE30" s="299"/>
      <c r="AF30" s="299"/>
      <c r="AG30" s="299"/>
    </row>
    <row r="31" spans="1:33" ht="54.95" hidden="1" customHeight="1" outlineLevel="1">
      <c r="A31" s="297"/>
      <c r="B31" s="298" t="s">
        <v>26</v>
      </c>
      <c r="C31" s="374"/>
      <c r="D31" s="379"/>
      <c r="E31" s="376"/>
      <c r="F31" s="377"/>
      <c r="G31" s="378"/>
      <c r="H31" s="379"/>
      <c r="I31" s="376"/>
      <c r="J31" s="377"/>
      <c r="K31" s="378"/>
      <c r="L31" s="379"/>
      <c r="M31" s="376"/>
      <c r="N31" s="551"/>
      <c r="O31" s="638"/>
      <c r="P31" s="374"/>
      <c r="Q31" s="379"/>
      <c r="R31" s="376"/>
      <c r="S31" s="377"/>
      <c r="T31" s="378"/>
      <c r="U31" s="379"/>
      <c r="V31" s="376"/>
      <c r="W31" s="377"/>
      <c r="X31" s="378"/>
      <c r="Y31" s="379"/>
      <c r="Z31" s="376"/>
      <c r="AA31" s="551"/>
      <c r="AB31" s="299"/>
      <c r="AC31" s="299"/>
      <c r="AD31" s="299"/>
      <c r="AE31" s="299"/>
      <c r="AF31" s="299"/>
      <c r="AG31" s="299"/>
    </row>
    <row r="32" spans="1:33" ht="54.95" customHeight="1" collapsed="1">
      <c r="A32" s="297">
        <v>7</v>
      </c>
      <c r="B32" s="298" t="s">
        <v>140</v>
      </c>
      <c r="C32" s="253"/>
      <c r="D32" s="254"/>
      <c r="E32" s="255"/>
      <c r="F32" s="256"/>
      <c r="G32" s="257"/>
      <c r="H32" s="254"/>
      <c r="I32" s="255"/>
      <c r="J32" s="256"/>
      <c r="K32" s="253"/>
      <c r="L32" s="254"/>
      <c r="M32" s="255"/>
      <c r="N32" s="256"/>
      <c r="O32" s="638"/>
      <c r="P32" s="253"/>
      <c r="Q32" s="254"/>
      <c r="R32" s="255"/>
      <c r="S32" s="256"/>
      <c r="T32" s="257"/>
      <c r="U32" s="254"/>
      <c r="V32" s="255"/>
      <c r="W32" s="256"/>
      <c r="X32" s="253"/>
      <c r="Y32" s="254"/>
      <c r="Z32" s="255"/>
      <c r="AA32" s="256"/>
      <c r="AB32" s="299"/>
      <c r="AC32" s="299"/>
      <c r="AD32" s="299"/>
      <c r="AE32" s="299"/>
      <c r="AF32" s="299"/>
      <c r="AG32" s="299"/>
    </row>
    <row r="33" spans="1:37" ht="54.95" customHeight="1">
      <c r="A33" s="297"/>
      <c r="B33" s="298" t="s">
        <v>141</v>
      </c>
      <c r="C33" s="613"/>
      <c r="D33" s="614"/>
      <c r="E33" s="619"/>
      <c r="F33" s="620"/>
      <c r="G33" s="615"/>
      <c r="H33" s="614"/>
      <c r="I33" s="619"/>
      <c r="J33" s="620"/>
      <c r="K33" s="613"/>
      <c r="L33" s="614"/>
      <c r="M33" s="619"/>
      <c r="N33" s="620"/>
      <c r="O33" s="638"/>
      <c r="P33" s="613"/>
      <c r="Q33" s="614"/>
      <c r="R33" s="619"/>
      <c r="S33" s="620"/>
      <c r="T33" s="615"/>
      <c r="U33" s="614"/>
      <c r="V33" s="619"/>
      <c r="W33" s="620"/>
      <c r="X33" s="613"/>
      <c r="Y33" s="614"/>
      <c r="Z33" s="619"/>
      <c r="AA33" s="620"/>
      <c r="AB33" s="299"/>
      <c r="AC33" s="299"/>
      <c r="AD33" s="299"/>
      <c r="AE33" s="299"/>
      <c r="AF33" s="299"/>
      <c r="AG33" s="299"/>
    </row>
    <row r="34" spans="1:37" ht="54.95" customHeight="1">
      <c r="A34" s="297"/>
      <c r="B34" s="298" t="s">
        <v>142</v>
      </c>
      <c r="C34" s="259"/>
      <c r="D34" s="260"/>
      <c r="E34" s="261"/>
      <c r="F34" s="262"/>
      <c r="G34" s="263"/>
      <c r="H34" s="260"/>
      <c r="I34" s="261"/>
      <c r="J34" s="262"/>
      <c r="K34" s="259"/>
      <c r="L34" s="260"/>
      <c r="M34" s="261"/>
      <c r="N34" s="262"/>
      <c r="O34" s="638"/>
      <c r="P34" s="259"/>
      <c r="Q34" s="260"/>
      <c r="R34" s="261"/>
      <c r="S34" s="262"/>
      <c r="T34" s="263"/>
      <c r="U34" s="260"/>
      <c r="V34" s="261"/>
      <c r="W34" s="262"/>
      <c r="X34" s="259"/>
      <c r="Y34" s="260"/>
      <c r="Z34" s="261"/>
      <c r="AA34" s="262"/>
      <c r="AB34" s="299"/>
      <c r="AC34" s="299"/>
      <c r="AD34" s="299"/>
      <c r="AE34" s="299"/>
      <c r="AF34" s="299"/>
      <c r="AG34" s="299"/>
    </row>
    <row r="35" spans="1:37" ht="54.95" customHeight="1">
      <c r="A35" s="297"/>
      <c r="B35" s="298" t="s">
        <v>143</v>
      </c>
      <c r="C35" s="616"/>
      <c r="D35" s="617"/>
      <c r="E35" s="621"/>
      <c r="F35" s="622"/>
      <c r="G35" s="618"/>
      <c r="H35" s="617"/>
      <c r="I35" s="621"/>
      <c r="J35" s="622"/>
      <c r="K35" s="616"/>
      <c r="L35" s="617"/>
      <c r="M35" s="621"/>
      <c r="N35" s="622"/>
      <c r="O35" s="638"/>
      <c r="P35" s="616"/>
      <c r="Q35" s="617"/>
      <c r="R35" s="621"/>
      <c r="S35" s="622"/>
      <c r="T35" s="618"/>
      <c r="U35" s="617"/>
      <c r="V35" s="621"/>
      <c r="W35" s="622"/>
      <c r="X35" s="616"/>
      <c r="Y35" s="617"/>
      <c r="Z35" s="621"/>
      <c r="AA35" s="622"/>
      <c r="AB35" s="299"/>
      <c r="AC35" s="299"/>
      <c r="AD35" s="299"/>
      <c r="AE35" s="299"/>
      <c r="AF35" s="299"/>
      <c r="AG35" s="299"/>
    </row>
    <row r="36" spans="1:37" ht="54.95" customHeight="1">
      <c r="A36" s="297">
        <v>8</v>
      </c>
      <c r="B36" s="298" t="s">
        <v>140</v>
      </c>
      <c r="C36" s="253"/>
      <c r="D36" s="254"/>
      <c r="E36" s="255"/>
      <c r="F36" s="256"/>
      <c r="G36" s="257"/>
      <c r="H36" s="254"/>
      <c r="I36" s="255"/>
      <c r="J36" s="256"/>
      <c r="K36" s="253"/>
      <c r="L36" s="254"/>
      <c r="M36" s="255"/>
      <c r="N36" s="256"/>
      <c r="O36" s="638"/>
      <c r="P36" s="253"/>
      <c r="Q36" s="254"/>
      <c r="R36" s="255"/>
      <c r="S36" s="256"/>
      <c r="T36" s="257"/>
      <c r="U36" s="254"/>
      <c r="V36" s="255"/>
      <c r="W36" s="256"/>
      <c r="X36" s="253"/>
      <c r="Y36" s="254"/>
      <c r="Z36" s="255"/>
      <c r="AA36" s="256"/>
      <c r="AB36" s="299"/>
      <c r="AC36" s="299"/>
      <c r="AD36" s="299"/>
      <c r="AE36" s="299"/>
      <c r="AF36" s="299"/>
      <c r="AG36" s="299"/>
    </row>
    <row r="37" spans="1:37" ht="54.95" customHeight="1">
      <c r="A37" s="297"/>
      <c r="B37" s="298" t="s">
        <v>141</v>
      </c>
      <c r="C37" s="613"/>
      <c r="D37" s="614"/>
      <c r="E37" s="619"/>
      <c r="F37" s="620"/>
      <c r="G37" s="615"/>
      <c r="H37" s="614"/>
      <c r="I37" s="619"/>
      <c r="J37" s="620"/>
      <c r="K37" s="613"/>
      <c r="L37" s="614"/>
      <c r="M37" s="619"/>
      <c r="N37" s="620"/>
      <c r="O37" s="638"/>
      <c r="P37" s="613"/>
      <c r="Q37" s="614"/>
      <c r="R37" s="619"/>
      <c r="S37" s="620"/>
      <c r="T37" s="615"/>
      <c r="U37" s="614"/>
      <c r="V37" s="619"/>
      <c r="W37" s="620"/>
      <c r="X37" s="613"/>
      <c r="Y37" s="614"/>
      <c r="Z37" s="619"/>
      <c r="AA37" s="620"/>
      <c r="AB37" s="299"/>
      <c r="AC37" s="299"/>
      <c r="AD37" s="299"/>
      <c r="AE37" s="299"/>
      <c r="AF37" s="299"/>
      <c r="AG37" s="299"/>
    </row>
    <row r="38" spans="1:37" ht="54.95" customHeight="1">
      <c r="A38" s="297"/>
      <c r="B38" s="298" t="s">
        <v>142</v>
      </c>
      <c r="C38" s="259"/>
      <c r="D38" s="260"/>
      <c r="E38" s="261"/>
      <c r="F38" s="262"/>
      <c r="G38" s="263"/>
      <c r="H38" s="260"/>
      <c r="I38" s="261"/>
      <c r="J38" s="262"/>
      <c r="K38" s="259"/>
      <c r="L38" s="260"/>
      <c r="M38" s="261"/>
      <c r="N38" s="262"/>
      <c r="O38" s="638"/>
      <c r="P38" s="259"/>
      <c r="Q38" s="260"/>
      <c r="R38" s="261"/>
      <c r="S38" s="262"/>
      <c r="T38" s="263"/>
      <c r="U38" s="260"/>
      <c r="V38" s="261"/>
      <c r="W38" s="262"/>
      <c r="X38" s="259"/>
      <c r="Y38" s="260"/>
      <c r="Z38" s="261"/>
      <c r="AA38" s="262"/>
      <c r="AB38" s="299"/>
      <c r="AC38" s="299"/>
      <c r="AD38" s="299"/>
      <c r="AE38" s="299"/>
      <c r="AF38" s="299"/>
      <c r="AG38" s="299"/>
    </row>
    <row r="39" spans="1:37" ht="54.95" customHeight="1">
      <c r="A39" s="297"/>
      <c r="B39" s="298" t="s">
        <v>143</v>
      </c>
      <c r="C39" s="616"/>
      <c r="D39" s="617"/>
      <c r="E39" s="621"/>
      <c r="F39" s="622"/>
      <c r="G39" s="618"/>
      <c r="H39" s="617"/>
      <c r="I39" s="621"/>
      <c r="J39" s="622"/>
      <c r="K39" s="616"/>
      <c r="L39" s="617"/>
      <c r="M39" s="621"/>
      <c r="N39" s="622"/>
      <c r="O39" s="638"/>
      <c r="P39" s="616"/>
      <c r="Q39" s="617"/>
      <c r="R39" s="621"/>
      <c r="S39" s="622"/>
      <c r="T39" s="618"/>
      <c r="U39" s="617"/>
      <c r="V39" s="621"/>
      <c r="W39" s="622"/>
      <c r="X39" s="616"/>
      <c r="Y39" s="617"/>
      <c r="Z39" s="621"/>
      <c r="AA39" s="622"/>
      <c r="AB39" s="299"/>
      <c r="AC39" s="299"/>
      <c r="AD39" s="299"/>
      <c r="AE39" s="299"/>
      <c r="AF39" s="299"/>
      <c r="AG39" s="299"/>
    </row>
    <row r="40" spans="1:37" ht="54.95" hidden="1" customHeight="1" outlineLevel="1">
      <c r="A40" s="297">
        <v>9</v>
      </c>
      <c r="B40" s="298" t="s">
        <v>23</v>
      </c>
      <c r="C40" s="374"/>
      <c r="D40" s="379"/>
      <c r="E40" s="376"/>
      <c r="F40" s="377"/>
      <c r="G40" s="378"/>
      <c r="H40" s="379"/>
      <c r="I40" s="376"/>
      <c r="J40" s="377"/>
      <c r="K40" s="378"/>
      <c r="L40" s="379"/>
      <c r="M40" s="376"/>
      <c r="N40" s="551"/>
      <c r="O40" s="638"/>
      <c r="P40" s="374"/>
      <c r="Q40" s="379"/>
      <c r="R40" s="376"/>
      <c r="S40" s="377"/>
      <c r="T40" s="378"/>
      <c r="U40" s="379"/>
      <c r="V40" s="376"/>
      <c r="W40" s="377"/>
      <c r="X40" s="378"/>
      <c r="Y40" s="379"/>
      <c r="Z40" s="376"/>
      <c r="AA40" s="551"/>
      <c r="AB40" s="299"/>
      <c r="AC40" s="299"/>
      <c r="AD40" s="299"/>
      <c r="AE40" s="299"/>
      <c r="AF40" s="299"/>
      <c r="AG40" s="299"/>
    </row>
    <row r="41" spans="1:37" ht="54.95" hidden="1" customHeight="1" outlineLevel="1" thickBot="1">
      <c r="A41" s="300"/>
      <c r="B41" s="301" t="s">
        <v>24</v>
      </c>
      <c r="C41" s="380"/>
      <c r="D41" s="385"/>
      <c r="E41" s="382"/>
      <c r="F41" s="383"/>
      <c r="G41" s="384"/>
      <c r="H41" s="385"/>
      <c r="I41" s="382"/>
      <c r="J41" s="383"/>
      <c r="K41" s="384"/>
      <c r="L41" s="385"/>
      <c r="M41" s="382"/>
      <c r="N41" s="552"/>
      <c r="O41" s="638"/>
      <c r="P41" s="380"/>
      <c r="Q41" s="385"/>
      <c r="R41" s="382"/>
      <c r="S41" s="383"/>
      <c r="T41" s="384"/>
      <c r="U41" s="385"/>
      <c r="V41" s="382"/>
      <c r="W41" s="383"/>
      <c r="X41" s="384"/>
      <c r="Y41" s="385"/>
      <c r="Z41" s="382"/>
      <c r="AA41" s="552"/>
      <c r="AB41" s="299"/>
      <c r="AC41" s="299"/>
      <c r="AD41" s="299"/>
      <c r="AE41" s="299"/>
      <c r="AF41" s="299"/>
      <c r="AG41" s="299"/>
    </row>
    <row r="42" spans="1:37" ht="30" customHeight="1" collapsed="1">
      <c r="A42" s="302"/>
      <c r="B42" s="30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638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299"/>
      <c r="AC42" s="299"/>
      <c r="AD42" s="299"/>
      <c r="AE42" s="299"/>
      <c r="AF42" s="299"/>
      <c r="AG42" s="299"/>
    </row>
    <row r="43" spans="1:37" ht="30" customHeight="1" thickBot="1">
      <c r="A43" s="246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</row>
    <row r="44" spans="1:37" ht="32.25" customHeight="1" thickTop="1">
      <c r="A44" s="227"/>
      <c r="B44" s="228"/>
      <c r="C44" s="875" t="str">
        <f>C7</f>
        <v>Depuis 'Annemasse'</v>
      </c>
      <c r="D44" s="1049"/>
      <c r="E44" s="876"/>
      <c r="F44" s="876"/>
      <c r="G44" s="876"/>
      <c r="H44" s="876"/>
      <c r="I44" s="876"/>
      <c r="J44" s="876"/>
      <c r="K44" s="876"/>
      <c r="L44" s="876"/>
      <c r="M44" s="876"/>
      <c r="N44" s="877"/>
      <c r="O44" s="589"/>
      <c r="P44" s="875" t="str">
        <f>P7</f>
        <v>Depuis 'Nangy'</v>
      </c>
      <c r="Q44" s="1049"/>
      <c r="R44" s="876"/>
      <c r="S44" s="876"/>
      <c r="T44" s="876"/>
      <c r="U44" s="876"/>
      <c r="V44" s="876"/>
      <c r="W44" s="876"/>
      <c r="X44" s="876"/>
      <c r="Y44" s="876"/>
      <c r="Z44" s="876"/>
      <c r="AA44" s="877"/>
      <c r="AB44" s="227"/>
      <c r="AC44" s="228"/>
      <c r="AD44" s="1130" t="s">
        <v>12</v>
      </c>
      <c r="AE44" s="872" t="s">
        <v>14</v>
      </c>
      <c r="AF44" s="872" t="s">
        <v>15</v>
      </c>
      <c r="AG44" s="872" t="s">
        <v>18</v>
      </c>
      <c r="AH44" s="872" t="s">
        <v>16</v>
      </c>
      <c r="AI44" s="872" t="s">
        <v>19</v>
      </c>
      <c r="AJ44" s="884" t="s">
        <v>31</v>
      </c>
      <c r="AK44" s="886"/>
    </row>
    <row r="45" spans="1:37" ht="22.7" customHeight="1">
      <c r="A45" s="227"/>
      <c r="B45" s="228"/>
      <c r="C45" s="1041" t="str">
        <f>C8</f>
        <v>vers 'Reignier'</v>
      </c>
      <c r="D45" s="1041"/>
      <c r="E45" s="1041"/>
      <c r="F45" s="1041"/>
      <c r="G45" s="1041" t="str">
        <f>G8</f>
        <v>vers 'Nangy'</v>
      </c>
      <c r="H45" s="1041"/>
      <c r="I45" s="1041"/>
      <c r="J45" s="1041"/>
      <c r="K45" s="1041" t="str">
        <f>K8</f>
        <v>vers 'Rossat'</v>
      </c>
      <c r="L45" s="1041"/>
      <c r="M45" s="1041"/>
      <c r="N45" s="1041"/>
      <c r="O45" s="586"/>
      <c r="P45" s="1041" t="str">
        <f>P8</f>
        <v>vers 'Reignier'</v>
      </c>
      <c r="Q45" s="1041"/>
      <c r="R45" s="1041"/>
      <c r="S45" s="1041"/>
      <c r="T45" s="1041" t="str">
        <f>T8</f>
        <v>vers 'Annemasse'</v>
      </c>
      <c r="U45" s="1041"/>
      <c r="V45" s="1041"/>
      <c r="W45" s="1041"/>
      <c r="X45" s="1041" t="str">
        <f>X8</f>
        <v>vers 'Rossat'</v>
      </c>
      <c r="Y45" s="1041"/>
      <c r="Z45" s="1041"/>
      <c r="AA45" s="1041"/>
      <c r="AB45" s="227"/>
      <c r="AC45" s="228"/>
      <c r="AD45" s="1131"/>
      <c r="AE45" s="873"/>
      <c r="AF45" s="873"/>
      <c r="AG45" s="873"/>
      <c r="AH45" s="873"/>
      <c r="AI45" s="873"/>
      <c r="AJ45" s="887"/>
      <c r="AK45" s="889"/>
    </row>
    <row r="46" spans="1:37" ht="18.600000000000001" customHeight="1" thickBot="1">
      <c r="A46" s="227"/>
      <c r="B46" s="228"/>
      <c r="C46" s="908" t="s">
        <v>4</v>
      </c>
      <c r="D46" s="1042"/>
      <c r="E46" s="910" t="s">
        <v>5</v>
      </c>
      <c r="F46" s="911"/>
      <c r="G46" s="911" t="s">
        <v>4</v>
      </c>
      <c r="H46" s="912"/>
      <c r="I46" s="910" t="s">
        <v>5</v>
      </c>
      <c r="J46" s="911"/>
      <c r="K46" s="911" t="s">
        <v>4</v>
      </c>
      <c r="L46" s="912"/>
      <c r="M46" s="1190" t="s">
        <v>5</v>
      </c>
      <c r="N46" s="1191"/>
      <c r="O46" s="624"/>
      <c r="P46" s="908" t="s">
        <v>4</v>
      </c>
      <c r="Q46" s="1042"/>
      <c r="R46" s="910" t="s">
        <v>5</v>
      </c>
      <c r="S46" s="911"/>
      <c r="T46" s="911" t="s">
        <v>4</v>
      </c>
      <c r="U46" s="912"/>
      <c r="V46" s="910" t="s">
        <v>5</v>
      </c>
      <c r="W46" s="911"/>
      <c r="X46" s="911" t="s">
        <v>4</v>
      </c>
      <c r="Y46" s="912"/>
      <c r="Z46" s="910" t="s">
        <v>5</v>
      </c>
      <c r="AA46" s="1137"/>
      <c r="AB46" s="229"/>
      <c r="AC46" s="228"/>
      <c r="AD46" s="1131"/>
      <c r="AE46" s="873"/>
      <c r="AF46" s="873"/>
      <c r="AG46" s="873"/>
      <c r="AH46" s="873"/>
      <c r="AI46" s="873"/>
      <c r="AJ46" s="887"/>
      <c r="AK46" s="889"/>
    </row>
    <row r="47" spans="1:37" ht="21" thickTop="1">
      <c r="A47" s="1052" t="s">
        <v>13</v>
      </c>
      <c r="B47" s="1053"/>
      <c r="C47" s="368" t="s">
        <v>8</v>
      </c>
      <c r="D47" s="373" t="s">
        <v>9</v>
      </c>
      <c r="E47" s="370" t="s">
        <v>8</v>
      </c>
      <c r="F47" s="371" t="s">
        <v>9</v>
      </c>
      <c r="G47" s="372" t="s">
        <v>8</v>
      </c>
      <c r="H47" s="373" t="s">
        <v>9</v>
      </c>
      <c r="I47" s="370" t="s">
        <v>8</v>
      </c>
      <c r="J47" s="371" t="s">
        <v>9</v>
      </c>
      <c r="K47" s="372" t="s">
        <v>8</v>
      </c>
      <c r="L47" s="373" t="s">
        <v>9</v>
      </c>
      <c r="M47" s="370" t="s">
        <v>8</v>
      </c>
      <c r="N47" s="512" t="s">
        <v>9</v>
      </c>
      <c r="O47" s="625"/>
      <c r="P47" s="368" t="s">
        <v>8</v>
      </c>
      <c r="Q47" s="373" t="s">
        <v>9</v>
      </c>
      <c r="R47" s="370" t="s">
        <v>8</v>
      </c>
      <c r="S47" s="371" t="s">
        <v>9</v>
      </c>
      <c r="T47" s="372" t="s">
        <v>8</v>
      </c>
      <c r="U47" s="373" t="s">
        <v>9</v>
      </c>
      <c r="V47" s="370" t="s">
        <v>8</v>
      </c>
      <c r="W47" s="371" t="s">
        <v>9</v>
      </c>
      <c r="X47" s="372" t="s">
        <v>8</v>
      </c>
      <c r="Y47" s="373" t="s">
        <v>9</v>
      </c>
      <c r="Z47" s="370" t="s">
        <v>8</v>
      </c>
      <c r="AA47" s="512" t="s">
        <v>9</v>
      </c>
      <c r="AB47" s="1138" t="s">
        <v>13</v>
      </c>
      <c r="AC47" s="1139"/>
      <c r="AD47" s="1131"/>
      <c r="AE47" s="874"/>
      <c r="AF47" s="874"/>
      <c r="AG47" s="874"/>
      <c r="AH47" s="874"/>
      <c r="AI47" s="874"/>
      <c r="AJ47" s="890"/>
      <c r="AK47" s="892"/>
    </row>
    <row r="48" spans="1:37" ht="54.95" customHeight="1">
      <c r="A48" s="1039" t="s">
        <v>28</v>
      </c>
      <c r="B48" s="1040"/>
      <c r="C48" s="513">
        <f t="shared" ref="C48:AA48" si="0">SUM(C11:C14)</f>
        <v>0</v>
      </c>
      <c r="D48" s="514">
        <f t="shared" si="0"/>
        <v>0</v>
      </c>
      <c r="E48" s="515">
        <f t="shared" si="0"/>
        <v>0</v>
      </c>
      <c r="F48" s="553">
        <f t="shared" si="0"/>
        <v>0</v>
      </c>
      <c r="G48" s="554">
        <f t="shared" si="0"/>
        <v>0</v>
      </c>
      <c r="H48" s="514">
        <f t="shared" si="0"/>
        <v>0</v>
      </c>
      <c r="I48" s="515">
        <f t="shared" si="0"/>
        <v>0</v>
      </c>
      <c r="J48" s="553">
        <f t="shared" si="0"/>
        <v>0</v>
      </c>
      <c r="K48" s="554">
        <f t="shared" si="0"/>
        <v>0</v>
      </c>
      <c r="L48" s="514">
        <f t="shared" si="0"/>
        <v>0</v>
      </c>
      <c r="M48" s="515">
        <f t="shared" si="0"/>
        <v>0</v>
      </c>
      <c r="N48" s="516">
        <f t="shared" si="0"/>
        <v>0</v>
      </c>
      <c r="O48" s="647"/>
      <c r="P48" s="513">
        <f t="shared" si="0"/>
        <v>0</v>
      </c>
      <c r="Q48" s="514">
        <f t="shared" si="0"/>
        <v>0</v>
      </c>
      <c r="R48" s="515">
        <f t="shared" si="0"/>
        <v>0</v>
      </c>
      <c r="S48" s="553">
        <f t="shared" si="0"/>
        <v>0</v>
      </c>
      <c r="T48" s="554">
        <f t="shared" si="0"/>
        <v>0</v>
      </c>
      <c r="U48" s="514">
        <f t="shared" si="0"/>
        <v>0</v>
      </c>
      <c r="V48" s="515">
        <f t="shared" si="0"/>
        <v>0</v>
      </c>
      <c r="W48" s="553">
        <f t="shared" si="0"/>
        <v>0</v>
      </c>
      <c r="X48" s="554">
        <f t="shared" si="0"/>
        <v>0</v>
      </c>
      <c r="Y48" s="514">
        <f t="shared" si="0"/>
        <v>0</v>
      </c>
      <c r="Z48" s="515">
        <f t="shared" si="0"/>
        <v>0</v>
      </c>
      <c r="AA48" s="516">
        <f t="shared" si="0"/>
        <v>0</v>
      </c>
      <c r="AB48" s="1197" t="s">
        <v>28</v>
      </c>
      <c r="AC48" s="1198"/>
      <c r="AD48" s="555">
        <f t="shared" ref="AD48:AD53" si="1">SUM(C48:AA48)+SUM(C60:AA60)</f>
        <v>0</v>
      </c>
      <c r="AE48" s="170" t="e">
        <f>(C48+E48+G48+I48+K48+M48+P48+R48+T48+V48+X48+Z48+C60+E60+G60+I60+K60+M60+P60+R60+T60+V60+X60+Z60)/AD48</f>
        <v>#DIV/0!</v>
      </c>
      <c r="AF48" s="170" t="e">
        <f>(E48+F48+I48+J48+M48+N48+R48+S48+V48+W48+Z48+AA48+E60+F60+I60+J60+M60+N60+R60+S60+V60+W60+Z60+AA60)/AD48</f>
        <v>#DIV/0!</v>
      </c>
      <c r="AG48" s="170" t="e">
        <f>(E48+I48+M48+R48+V48+Z48+E60+I60+M60+R60+V60+Z60)/(E48+F48+I48+J48+M48+N48+R48+S48+V48+W48+Z48+AA48+E60+F60+I60+J60+M60+N60+R60+S60+V60+W60+Z60+AA60)</f>
        <v>#DIV/0!</v>
      </c>
      <c r="AH48" s="170" t="e">
        <f>AI48/AD48</f>
        <v>#DIV/0!</v>
      </c>
      <c r="AI48" s="171">
        <f>SUM(T48:W48,K60:N60,X60:AA60)</f>
        <v>0</v>
      </c>
      <c r="AJ48" s="556"/>
      <c r="AK48" s="557"/>
    </row>
    <row r="49" spans="1:37" ht="54.95" customHeight="1">
      <c r="A49" s="1047" t="s">
        <v>11</v>
      </c>
      <c r="B49" s="1048"/>
      <c r="C49" s="519">
        <f t="shared" ref="C49:AA49" si="2">SUM(C13:C16)</f>
        <v>0</v>
      </c>
      <c r="D49" s="520">
        <f t="shared" si="2"/>
        <v>0</v>
      </c>
      <c r="E49" s="521">
        <f t="shared" si="2"/>
        <v>0</v>
      </c>
      <c r="F49" s="558">
        <f t="shared" si="2"/>
        <v>0</v>
      </c>
      <c r="G49" s="559">
        <f t="shared" si="2"/>
        <v>0</v>
      </c>
      <c r="H49" s="520">
        <f t="shared" si="2"/>
        <v>0</v>
      </c>
      <c r="I49" s="521">
        <f t="shared" si="2"/>
        <v>0</v>
      </c>
      <c r="J49" s="558">
        <f t="shared" si="2"/>
        <v>0</v>
      </c>
      <c r="K49" s="559">
        <f t="shared" si="2"/>
        <v>0</v>
      </c>
      <c r="L49" s="520">
        <f t="shared" si="2"/>
        <v>0</v>
      </c>
      <c r="M49" s="521">
        <f t="shared" si="2"/>
        <v>0</v>
      </c>
      <c r="N49" s="522">
        <f t="shared" si="2"/>
        <v>0</v>
      </c>
      <c r="O49" s="648"/>
      <c r="P49" s="519">
        <f t="shared" si="2"/>
        <v>0</v>
      </c>
      <c r="Q49" s="520">
        <f t="shared" si="2"/>
        <v>0</v>
      </c>
      <c r="R49" s="521">
        <f t="shared" si="2"/>
        <v>0</v>
      </c>
      <c r="S49" s="558">
        <f t="shared" si="2"/>
        <v>0</v>
      </c>
      <c r="T49" s="559">
        <f t="shared" si="2"/>
        <v>0</v>
      </c>
      <c r="U49" s="520">
        <f t="shared" si="2"/>
        <v>0</v>
      </c>
      <c r="V49" s="521">
        <f t="shared" si="2"/>
        <v>0</v>
      </c>
      <c r="W49" s="558">
        <f t="shared" si="2"/>
        <v>0</v>
      </c>
      <c r="X49" s="559">
        <f t="shared" si="2"/>
        <v>0</v>
      </c>
      <c r="Y49" s="520">
        <f t="shared" si="2"/>
        <v>0</v>
      </c>
      <c r="Z49" s="521">
        <f t="shared" si="2"/>
        <v>0</v>
      </c>
      <c r="AA49" s="522">
        <f t="shared" si="2"/>
        <v>0</v>
      </c>
      <c r="AB49" s="1195" t="s">
        <v>11</v>
      </c>
      <c r="AC49" s="1196"/>
      <c r="AD49" s="560">
        <f t="shared" si="1"/>
        <v>0</v>
      </c>
      <c r="AE49" s="172" t="e">
        <f t="shared" ref="AE49:AE54" si="3">(C49+E49+G49+I49+K49+M49+P49+R49+T49+V49+X49+Z49+C61+E61+G61+I61+K61+M61+P61+R61+T61+V61+X61+Z61)/AD49</f>
        <v>#DIV/0!</v>
      </c>
      <c r="AF49" s="172" t="e">
        <f t="shared" ref="AF49:AF54" si="4">(E49+F49+I49+J49+M49+N49+R49+S49+V49+W49+Z49+AA49+E61+F61+I61+J61+M61+N61+R61+S61+V61+W61+Z61+AA61)/AD49</f>
        <v>#DIV/0!</v>
      </c>
      <c r="AG49" s="172" t="e">
        <f t="shared" ref="AG49:AG54" si="5">(E49+I49+M49+R49+V49+Z49+E61+I61+M61+R61+V61+Z61)/(E49+F49+I49+J49+M49+N49+R49+S49+V49+W49+Z49+AA49+E61+F61+I61+J61+M61+N61+R61+S61+V61+W61+Z61+AA61)</f>
        <v>#DIV/0!</v>
      </c>
      <c r="AH49" s="172" t="e">
        <f t="shared" ref="AH49:AH54" si="6">AI49/AD49</f>
        <v>#DIV/0!</v>
      </c>
      <c r="AI49" s="173">
        <f t="shared" ref="AI49:AI54" si="7">SUM(T49:W49,K61:N61,X61:AA61)</f>
        <v>0</v>
      </c>
      <c r="AJ49" s="561"/>
      <c r="AK49" s="562"/>
    </row>
    <row r="50" spans="1:37" ht="54.95" customHeight="1">
      <c r="A50" s="1047" t="s">
        <v>17</v>
      </c>
      <c r="B50" s="1048"/>
      <c r="C50" s="519">
        <f t="shared" ref="C50:AA50" si="8">SUM(C15:C18)</f>
        <v>0</v>
      </c>
      <c r="D50" s="520">
        <f t="shared" si="8"/>
        <v>0</v>
      </c>
      <c r="E50" s="521">
        <f t="shared" si="8"/>
        <v>0</v>
      </c>
      <c r="F50" s="558">
        <f t="shared" si="8"/>
        <v>0</v>
      </c>
      <c r="G50" s="559">
        <f t="shared" si="8"/>
        <v>0</v>
      </c>
      <c r="H50" s="520">
        <f t="shared" si="8"/>
        <v>0</v>
      </c>
      <c r="I50" s="521">
        <f t="shared" si="8"/>
        <v>0</v>
      </c>
      <c r="J50" s="558">
        <f t="shared" si="8"/>
        <v>0</v>
      </c>
      <c r="K50" s="559">
        <f t="shared" si="8"/>
        <v>0</v>
      </c>
      <c r="L50" s="520">
        <f t="shared" si="8"/>
        <v>0</v>
      </c>
      <c r="M50" s="521">
        <f t="shared" si="8"/>
        <v>0</v>
      </c>
      <c r="N50" s="522">
        <f t="shared" si="8"/>
        <v>0</v>
      </c>
      <c r="O50" s="648"/>
      <c r="P50" s="519">
        <f t="shared" si="8"/>
        <v>0</v>
      </c>
      <c r="Q50" s="520">
        <f t="shared" si="8"/>
        <v>0</v>
      </c>
      <c r="R50" s="521">
        <f t="shared" si="8"/>
        <v>0</v>
      </c>
      <c r="S50" s="558">
        <f t="shared" si="8"/>
        <v>0</v>
      </c>
      <c r="T50" s="559">
        <f t="shared" si="8"/>
        <v>0</v>
      </c>
      <c r="U50" s="520">
        <f t="shared" si="8"/>
        <v>0</v>
      </c>
      <c r="V50" s="521">
        <f t="shared" si="8"/>
        <v>0</v>
      </c>
      <c r="W50" s="558">
        <f t="shared" si="8"/>
        <v>0</v>
      </c>
      <c r="X50" s="559">
        <f t="shared" si="8"/>
        <v>0</v>
      </c>
      <c r="Y50" s="520">
        <f t="shared" si="8"/>
        <v>0</v>
      </c>
      <c r="Z50" s="521">
        <f t="shared" si="8"/>
        <v>0</v>
      </c>
      <c r="AA50" s="522">
        <f t="shared" si="8"/>
        <v>0</v>
      </c>
      <c r="AB50" s="1195" t="s">
        <v>17</v>
      </c>
      <c r="AC50" s="1196"/>
      <c r="AD50" s="560">
        <f t="shared" si="1"/>
        <v>0</v>
      </c>
      <c r="AE50" s="172" t="e">
        <f t="shared" si="3"/>
        <v>#DIV/0!</v>
      </c>
      <c r="AF50" s="172" t="e">
        <f t="shared" si="4"/>
        <v>#DIV/0!</v>
      </c>
      <c r="AG50" s="172" t="e">
        <f t="shared" si="5"/>
        <v>#DIV/0!</v>
      </c>
      <c r="AH50" s="172" t="e">
        <f t="shared" si="6"/>
        <v>#DIV/0!</v>
      </c>
      <c r="AI50" s="173">
        <f t="shared" si="7"/>
        <v>0</v>
      </c>
      <c r="AJ50" s="561"/>
      <c r="AK50" s="562"/>
    </row>
    <row r="51" spans="1:37" ht="54.95" customHeight="1">
      <c r="A51" s="1047" t="s">
        <v>10</v>
      </c>
      <c r="B51" s="1048"/>
      <c r="C51" s="519">
        <f t="shared" ref="C51:AA51" si="9">SUM(C17:C20)</f>
        <v>0</v>
      </c>
      <c r="D51" s="520">
        <f t="shared" si="9"/>
        <v>0</v>
      </c>
      <c r="E51" s="521">
        <f t="shared" si="9"/>
        <v>0</v>
      </c>
      <c r="F51" s="558">
        <f t="shared" si="9"/>
        <v>0</v>
      </c>
      <c r="G51" s="559">
        <f t="shared" si="9"/>
        <v>0</v>
      </c>
      <c r="H51" s="520">
        <f t="shared" si="9"/>
        <v>0</v>
      </c>
      <c r="I51" s="521">
        <f t="shared" si="9"/>
        <v>0</v>
      </c>
      <c r="J51" s="558">
        <f t="shared" si="9"/>
        <v>0</v>
      </c>
      <c r="K51" s="559">
        <f t="shared" si="9"/>
        <v>0</v>
      </c>
      <c r="L51" s="520">
        <f t="shared" si="9"/>
        <v>0</v>
      </c>
      <c r="M51" s="521">
        <f t="shared" si="9"/>
        <v>0</v>
      </c>
      <c r="N51" s="522">
        <f t="shared" si="9"/>
        <v>0</v>
      </c>
      <c r="O51" s="648"/>
      <c r="P51" s="519">
        <f t="shared" si="9"/>
        <v>0</v>
      </c>
      <c r="Q51" s="520">
        <f t="shared" si="9"/>
        <v>0</v>
      </c>
      <c r="R51" s="521">
        <f t="shared" si="9"/>
        <v>0</v>
      </c>
      <c r="S51" s="558">
        <f t="shared" si="9"/>
        <v>0</v>
      </c>
      <c r="T51" s="559">
        <f t="shared" si="9"/>
        <v>0</v>
      </c>
      <c r="U51" s="520">
        <f t="shared" si="9"/>
        <v>0</v>
      </c>
      <c r="V51" s="521">
        <f t="shared" si="9"/>
        <v>0</v>
      </c>
      <c r="W51" s="558">
        <f t="shared" si="9"/>
        <v>0</v>
      </c>
      <c r="X51" s="559">
        <f t="shared" si="9"/>
        <v>0</v>
      </c>
      <c r="Y51" s="520">
        <f t="shared" si="9"/>
        <v>0</v>
      </c>
      <c r="Z51" s="521">
        <f t="shared" si="9"/>
        <v>0</v>
      </c>
      <c r="AA51" s="522">
        <f t="shared" si="9"/>
        <v>0</v>
      </c>
      <c r="AB51" s="1195" t="s">
        <v>10</v>
      </c>
      <c r="AC51" s="1196"/>
      <c r="AD51" s="560">
        <f t="shared" si="1"/>
        <v>0</v>
      </c>
      <c r="AE51" s="172" t="e">
        <f t="shared" si="3"/>
        <v>#DIV/0!</v>
      </c>
      <c r="AF51" s="172" t="e">
        <f t="shared" si="4"/>
        <v>#DIV/0!</v>
      </c>
      <c r="AG51" s="172" t="e">
        <f t="shared" si="5"/>
        <v>#DIV/0!</v>
      </c>
      <c r="AH51" s="172" t="e">
        <f t="shared" si="6"/>
        <v>#DIV/0!</v>
      </c>
      <c r="AI51" s="173">
        <f t="shared" si="7"/>
        <v>0</v>
      </c>
      <c r="AJ51" s="561"/>
      <c r="AK51" s="562"/>
    </row>
    <row r="52" spans="1:37" ht="54.95" customHeight="1">
      <c r="A52" s="1050" t="s">
        <v>29</v>
      </c>
      <c r="B52" s="1051"/>
      <c r="C52" s="525">
        <f t="shared" ref="C52:AA52" si="10">SUM(C19:C22)</f>
        <v>0</v>
      </c>
      <c r="D52" s="526">
        <f t="shared" si="10"/>
        <v>0</v>
      </c>
      <c r="E52" s="527">
        <f t="shared" si="10"/>
        <v>0</v>
      </c>
      <c r="F52" s="563">
        <f t="shared" si="10"/>
        <v>0</v>
      </c>
      <c r="G52" s="564">
        <f t="shared" si="10"/>
        <v>0</v>
      </c>
      <c r="H52" s="526">
        <f t="shared" si="10"/>
        <v>0</v>
      </c>
      <c r="I52" s="527">
        <f t="shared" si="10"/>
        <v>0</v>
      </c>
      <c r="J52" s="563">
        <f t="shared" si="10"/>
        <v>0</v>
      </c>
      <c r="K52" s="564">
        <f t="shared" si="10"/>
        <v>0</v>
      </c>
      <c r="L52" s="526">
        <f t="shared" si="10"/>
        <v>0</v>
      </c>
      <c r="M52" s="527">
        <f t="shared" si="10"/>
        <v>0</v>
      </c>
      <c r="N52" s="528">
        <f t="shared" si="10"/>
        <v>0</v>
      </c>
      <c r="O52" s="649"/>
      <c r="P52" s="525">
        <f t="shared" si="10"/>
        <v>0</v>
      </c>
      <c r="Q52" s="526">
        <f t="shared" si="10"/>
        <v>0</v>
      </c>
      <c r="R52" s="527">
        <f t="shared" si="10"/>
        <v>0</v>
      </c>
      <c r="S52" s="563">
        <f t="shared" si="10"/>
        <v>0</v>
      </c>
      <c r="T52" s="564">
        <f t="shared" si="10"/>
        <v>0</v>
      </c>
      <c r="U52" s="526">
        <f t="shared" si="10"/>
        <v>0</v>
      </c>
      <c r="V52" s="527">
        <f t="shared" si="10"/>
        <v>0</v>
      </c>
      <c r="W52" s="563">
        <f t="shared" si="10"/>
        <v>0</v>
      </c>
      <c r="X52" s="564">
        <f t="shared" si="10"/>
        <v>0</v>
      </c>
      <c r="Y52" s="526">
        <f t="shared" si="10"/>
        <v>0</v>
      </c>
      <c r="Z52" s="527">
        <f t="shared" si="10"/>
        <v>0</v>
      </c>
      <c r="AA52" s="528">
        <f t="shared" si="10"/>
        <v>0</v>
      </c>
      <c r="AB52" s="1193" t="s">
        <v>29</v>
      </c>
      <c r="AC52" s="1194"/>
      <c r="AD52" s="565">
        <f t="shared" si="1"/>
        <v>0</v>
      </c>
      <c r="AE52" s="174" t="e">
        <f t="shared" si="3"/>
        <v>#DIV/0!</v>
      </c>
      <c r="AF52" s="174" t="e">
        <f t="shared" si="4"/>
        <v>#DIV/0!</v>
      </c>
      <c r="AG52" s="174" t="e">
        <f t="shared" si="5"/>
        <v>#DIV/0!</v>
      </c>
      <c r="AH52" s="174" t="e">
        <f t="shared" si="6"/>
        <v>#DIV/0!</v>
      </c>
      <c r="AI52" s="175">
        <f t="shared" si="7"/>
        <v>0</v>
      </c>
      <c r="AJ52" s="566"/>
      <c r="AK52" s="567"/>
    </row>
    <row r="53" spans="1:37" ht="54.95" customHeight="1">
      <c r="A53" s="1043" t="s">
        <v>12</v>
      </c>
      <c r="B53" s="1044"/>
      <c r="C53" s="374">
        <f t="shared" ref="C53:AA53" si="11">SUM(C11:C22)</f>
        <v>0</v>
      </c>
      <c r="D53" s="379">
        <f t="shared" si="11"/>
        <v>0</v>
      </c>
      <c r="E53" s="376">
        <f t="shared" si="11"/>
        <v>0</v>
      </c>
      <c r="F53" s="377">
        <f t="shared" si="11"/>
        <v>0</v>
      </c>
      <c r="G53" s="378">
        <f t="shared" si="11"/>
        <v>0</v>
      </c>
      <c r="H53" s="379">
        <f t="shared" si="11"/>
        <v>0</v>
      </c>
      <c r="I53" s="376">
        <f t="shared" si="11"/>
        <v>0</v>
      </c>
      <c r="J53" s="377">
        <f t="shared" si="11"/>
        <v>0</v>
      </c>
      <c r="K53" s="378">
        <f t="shared" si="11"/>
        <v>0</v>
      </c>
      <c r="L53" s="379">
        <f t="shared" si="11"/>
        <v>0</v>
      </c>
      <c r="M53" s="376">
        <f t="shared" si="11"/>
        <v>0</v>
      </c>
      <c r="N53" s="551">
        <f t="shared" si="11"/>
        <v>0</v>
      </c>
      <c r="O53" s="626"/>
      <c r="P53" s="374">
        <f t="shared" si="11"/>
        <v>0</v>
      </c>
      <c r="Q53" s="379">
        <f t="shared" si="11"/>
        <v>0</v>
      </c>
      <c r="R53" s="376">
        <f t="shared" si="11"/>
        <v>0</v>
      </c>
      <c r="S53" s="377">
        <f t="shared" si="11"/>
        <v>0</v>
      </c>
      <c r="T53" s="378">
        <f t="shared" si="11"/>
        <v>0</v>
      </c>
      <c r="U53" s="379">
        <f t="shared" si="11"/>
        <v>0</v>
      </c>
      <c r="V53" s="376">
        <f t="shared" si="11"/>
        <v>0</v>
      </c>
      <c r="W53" s="377">
        <f t="shared" si="11"/>
        <v>0</v>
      </c>
      <c r="X53" s="378">
        <f t="shared" si="11"/>
        <v>0</v>
      </c>
      <c r="Y53" s="379">
        <f t="shared" si="11"/>
        <v>0</v>
      </c>
      <c r="Z53" s="376">
        <f t="shared" si="11"/>
        <v>0</v>
      </c>
      <c r="AA53" s="551">
        <f t="shared" si="11"/>
        <v>0</v>
      </c>
      <c r="AB53" s="1142" t="s">
        <v>12</v>
      </c>
      <c r="AC53" s="1143"/>
      <c r="AD53" s="233">
        <f t="shared" si="1"/>
        <v>0</v>
      </c>
      <c r="AE53" s="176">
        <f>IF(AD53=0,0,(C53+E53+G53+I53+K53+M53+P53+R53+T53+V53+X53+Z53+C65+E65+G65+I65+K65+M65+P65+R65+T65+V65+X65+Z65)/AD53)</f>
        <v>0</v>
      </c>
      <c r="AF53" s="176">
        <f>IF(AD53=0,0,(E53+F53+I53+J53+M53+N53+R53+S53+V53+W53+Z53+AA53+E65+F65+I65+J65+M65+N65+R65+S65+V65+W65+Z65+AA65)/AD53)</f>
        <v>0</v>
      </c>
      <c r="AG53" s="176">
        <f>IF((E53+I53+M53+R53+V53+Z53+E65+I65+M65+R65+V65+Z65)=0,0,(E53+I53+M53+R53+V53+Z53+E65+I65+M65+R65+V65+Z65)/(E53+F53+I53+J53+M53+N53+R53+S53+V53+W53+Z53+AA53+E65+F65+I65+J65+M65+N65+R65+S65+V65+W65+Z65+AA65))</f>
        <v>0</v>
      </c>
      <c r="AH53" s="176">
        <f>IF(AD53=0,0,AI53/AD53)</f>
        <v>0</v>
      </c>
      <c r="AI53" s="177">
        <f t="shared" si="7"/>
        <v>0</v>
      </c>
      <c r="AJ53" s="568"/>
      <c r="AK53" s="569"/>
    </row>
    <row r="54" spans="1:37" ht="54.95" customHeight="1" thickBot="1">
      <c r="A54" s="1045" t="str">
        <f>IF($AD$48=MAX($AD$48:$AD$52),A48,IF($AD$49=MAX($AD$48:$AD$52),A49,IF($AD$50=MAX($AD$48:$AD$52),A50,IF($AD$51=MAX($AD$48:$AD$52),A51,A52))))</f>
        <v>de 6:30 à 7:30</v>
      </c>
      <c r="B54" s="1046"/>
      <c r="C54" s="380">
        <f>IF($AD$48=MAX($AD$48:$AD$52),C48,IF($AD$49=MAX($AD$48:$AD$52),C49,IF($AD$50=MAX($AD$48:$AD$52),C50,IF($AD$51=MAX($AD$48:$AD$52),(C51),C52))))</f>
        <v>0</v>
      </c>
      <c r="D54" s="385">
        <f t="shared" ref="D54:AA54" si="12">IF($AD$48=MAX($AD$48:$AD$52),D48,IF($AD$49=MAX($AD$48:$AD$52),D49,IF($AD$50=MAX($AD$48:$AD$52),D50,IF($AD$51=MAX($AD$48:$AD$52),(D51),D52))))</f>
        <v>0</v>
      </c>
      <c r="E54" s="382">
        <f t="shared" si="12"/>
        <v>0</v>
      </c>
      <c r="F54" s="383">
        <f t="shared" si="12"/>
        <v>0</v>
      </c>
      <c r="G54" s="384">
        <f t="shared" si="12"/>
        <v>0</v>
      </c>
      <c r="H54" s="385">
        <f t="shared" si="12"/>
        <v>0</v>
      </c>
      <c r="I54" s="382">
        <f t="shared" si="12"/>
        <v>0</v>
      </c>
      <c r="J54" s="383">
        <f t="shared" si="12"/>
        <v>0</v>
      </c>
      <c r="K54" s="384">
        <f t="shared" si="12"/>
        <v>0</v>
      </c>
      <c r="L54" s="385">
        <f t="shared" si="12"/>
        <v>0</v>
      </c>
      <c r="M54" s="382">
        <f t="shared" si="12"/>
        <v>0</v>
      </c>
      <c r="N54" s="552">
        <f t="shared" si="12"/>
        <v>0</v>
      </c>
      <c r="O54" s="629"/>
      <c r="P54" s="380">
        <f t="shared" si="12"/>
        <v>0</v>
      </c>
      <c r="Q54" s="385">
        <f t="shared" si="12"/>
        <v>0</v>
      </c>
      <c r="R54" s="382">
        <f t="shared" si="12"/>
        <v>0</v>
      </c>
      <c r="S54" s="383">
        <f t="shared" si="12"/>
        <v>0</v>
      </c>
      <c r="T54" s="384">
        <f t="shared" si="12"/>
        <v>0</v>
      </c>
      <c r="U54" s="385">
        <f t="shared" si="12"/>
        <v>0</v>
      </c>
      <c r="V54" s="382">
        <f t="shared" si="12"/>
        <v>0</v>
      </c>
      <c r="W54" s="383">
        <f t="shared" si="12"/>
        <v>0</v>
      </c>
      <c r="X54" s="384">
        <f t="shared" si="12"/>
        <v>0</v>
      </c>
      <c r="Y54" s="385">
        <f t="shared" si="12"/>
        <v>0</v>
      </c>
      <c r="Z54" s="382">
        <f t="shared" si="12"/>
        <v>0</v>
      </c>
      <c r="AA54" s="552">
        <f t="shared" si="12"/>
        <v>0</v>
      </c>
      <c r="AB54" s="1146" t="str">
        <f>IF($AD$48=MAX($AD$48:$AD$52),A48,IF($AD$49=MAX($AD$48:$AD$52),A49,IF($AD$50=MAX($AD$48:$AD$52),A50,IF($AD$51=MAX($AD$48:$AD$52),A51,A52))))</f>
        <v>de 6:30 à 7:30</v>
      </c>
      <c r="AC54" s="1147"/>
      <c r="AD54" s="541">
        <f>IF($AD$48=MAX($AD$48:$AD$52),AD48,IF($AD$49=MAX($AD$48:$AD$52),AD49,IF($AD$50=MAX($AD$48:$AD$52),AD50,IF($AD$51=MAX($AD$48:$AD$52),(AD51),AD52))))</f>
        <v>0</v>
      </c>
      <c r="AE54" s="178" t="e">
        <f t="shared" si="3"/>
        <v>#DIV/0!</v>
      </c>
      <c r="AF54" s="178" t="e">
        <f t="shared" si="4"/>
        <v>#DIV/0!</v>
      </c>
      <c r="AG54" s="178" t="e">
        <f t="shared" si="5"/>
        <v>#DIV/0!</v>
      </c>
      <c r="AH54" s="178" t="e">
        <f t="shared" si="6"/>
        <v>#DIV/0!</v>
      </c>
      <c r="AI54" s="179">
        <f t="shared" si="7"/>
        <v>0</v>
      </c>
      <c r="AJ54" s="570"/>
      <c r="AK54" s="571"/>
    </row>
    <row r="55" spans="1:37" ht="12.75" customHeight="1" thickTop="1" thickBot="1">
      <c r="A55" s="572"/>
      <c r="B55" s="573"/>
      <c r="C55" s="573"/>
      <c r="D55" s="573"/>
      <c r="E55" s="573"/>
      <c r="F55" s="573"/>
      <c r="G55" s="573"/>
      <c r="H55" s="573"/>
      <c r="I55" s="573"/>
      <c r="J55" s="573"/>
      <c r="K55" s="573"/>
      <c r="L55" s="573"/>
      <c r="M55" s="573"/>
      <c r="N55" s="573"/>
      <c r="O55" s="573"/>
      <c r="P55" s="573"/>
      <c r="Q55" s="573"/>
      <c r="R55" s="573"/>
      <c r="S55" s="573"/>
      <c r="T55" s="573"/>
      <c r="U55" s="573"/>
      <c r="V55" s="573"/>
      <c r="W55" s="573"/>
      <c r="X55" s="573"/>
      <c r="Y55" s="573"/>
      <c r="Z55" s="573"/>
      <c r="AA55" s="574"/>
      <c r="AB55" s="1192"/>
      <c r="AC55" s="1192"/>
      <c r="AD55" s="575"/>
      <c r="AE55" s="576"/>
      <c r="AF55" s="576"/>
      <c r="AG55" s="576"/>
      <c r="AH55" s="576"/>
      <c r="AI55" s="577"/>
      <c r="AJ55" s="577"/>
      <c r="AK55" s="577"/>
    </row>
    <row r="56" spans="1:37" ht="32.25" customHeight="1" thickTop="1">
      <c r="A56" s="227"/>
      <c r="B56" s="228"/>
      <c r="C56" s="875" t="str">
        <f>C26</f>
        <v>Depuis 'Reignier'</v>
      </c>
      <c r="D56" s="1049"/>
      <c r="E56" s="876"/>
      <c r="F56" s="876"/>
      <c r="G56" s="876"/>
      <c r="H56" s="876"/>
      <c r="I56" s="876"/>
      <c r="J56" s="876"/>
      <c r="K56" s="876"/>
      <c r="L56" s="876"/>
      <c r="M56" s="876"/>
      <c r="N56" s="877"/>
      <c r="O56" s="589"/>
      <c r="P56" s="875" t="str">
        <f>P26</f>
        <v>Depuis 'Rossat'</v>
      </c>
      <c r="Q56" s="1049"/>
      <c r="R56" s="876"/>
      <c r="S56" s="876"/>
      <c r="T56" s="876"/>
      <c r="U56" s="876"/>
      <c r="V56" s="876"/>
      <c r="W56" s="876"/>
      <c r="X56" s="876"/>
      <c r="Y56" s="876"/>
      <c r="Z56" s="876"/>
      <c r="AA56" s="877"/>
      <c r="AB56" s="1175"/>
      <c r="AC56" s="1175"/>
      <c r="AD56" s="549"/>
      <c r="AE56" s="550"/>
      <c r="AF56" s="550"/>
      <c r="AG56" s="550">
        <f>IF((E53+I53+M53+R53+V53+Z53+E65+I65+M65+R65+V65+Z65)=0,0,(E53+I53+M53+R53+V53+Z53+E65+I65+M65+R65+V65+Z65)/(E53+F53+I53+J53+M53+N53+R53+S53+V53+W53+Z53+AA53+E65+F65+I65+J65+M65+N65+R65+S65+V65+W65+Z65+AA65))</f>
        <v>0</v>
      </c>
      <c r="AH56" s="550"/>
      <c r="AI56" s="334"/>
      <c r="AJ56" s="334"/>
      <c r="AK56" s="334"/>
    </row>
    <row r="57" spans="1:37" ht="22.7" customHeight="1">
      <c r="A57" s="227"/>
      <c r="B57" s="228"/>
      <c r="C57" s="1041" t="str">
        <f>C27</f>
        <v>vers 'Nangy'</v>
      </c>
      <c r="D57" s="1041"/>
      <c r="E57" s="1041"/>
      <c r="F57" s="1041"/>
      <c r="G57" s="1041" t="str">
        <f>G27</f>
        <v>vers 'Rossat'</v>
      </c>
      <c r="H57" s="1041"/>
      <c r="I57" s="1041"/>
      <c r="J57" s="1041"/>
      <c r="K57" s="1041" t="str">
        <f>K27</f>
        <v>vers 'Annemasse'</v>
      </c>
      <c r="L57" s="1041"/>
      <c r="M57" s="1041"/>
      <c r="N57" s="1041"/>
      <c r="O57" s="586"/>
      <c r="P57" s="1041" t="str">
        <f>P27</f>
        <v>vers 'Reignier'</v>
      </c>
      <c r="Q57" s="1041"/>
      <c r="R57" s="1041"/>
      <c r="S57" s="1041"/>
      <c r="T57" s="1041" t="str">
        <f>T27</f>
        <v>vers 'Nangy'</v>
      </c>
      <c r="U57" s="1041"/>
      <c r="V57" s="1041"/>
      <c r="W57" s="1041"/>
      <c r="X57" s="1041" t="str">
        <f>X27</f>
        <v>vers 'Annemasse'</v>
      </c>
      <c r="Y57" s="1041"/>
      <c r="Z57" s="1041"/>
      <c r="AA57" s="1041"/>
      <c r="AB57" s="1175"/>
      <c r="AC57" s="1175"/>
      <c r="AD57" s="549"/>
      <c r="AE57" s="550"/>
      <c r="AF57" s="550"/>
      <c r="AG57" s="550"/>
      <c r="AH57" s="550"/>
      <c r="AI57" s="334"/>
      <c r="AJ57" s="334"/>
      <c r="AK57" s="334"/>
    </row>
    <row r="58" spans="1:37" ht="18.600000000000001" customHeight="1" thickBot="1">
      <c r="A58" s="227"/>
      <c r="B58" s="228"/>
      <c r="C58" s="908" t="s">
        <v>4</v>
      </c>
      <c r="D58" s="1042"/>
      <c r="E58" s="910" t="s">
        <v>5</v>
      </c>
      <c r="F58" s="911"/>
      <c r="G58" s="911" t="s">
        <v>4</v>
      </c>
      <c r="H58" s="912"/>
      <c r="I58" s="910" t="s">
        <v>5</v>
      </c>
      <c r="J58" s="911"/>
      <c r="K58" s="911" t="s">
        <v>4</v>
      </c>
      <c r="L58" s="912"/>
      <c r="M58" s="1190" t="s">
        <v>5</v>
      </c>
      <c r="N58" s="1191"/>
      <c r="O58" s="624"/>
      <c r="P58" s="908" t="s">
        <v>4</v>
      </c>
      <c r="Q58" s="1042"/>
      <c r="R58" s="910" t="s">
        <v>5</v>
      </c>
      <c r="S58" s="911"/>
      <c r="T58" s="911" t="s">
        <v>4</v>
      </c>
      <c r="U58" s="912"/>
      <c r="V58" s="910" t="s">
        <v>5</v>
      </c>
      <c r="W58" s="911"/>
      <c r="X58" s="911" t="s">
        <v>4</v>
      </c>
      <c r="Y58" s="912"/>
      <c r="Z58" s="1190" t="s">
        <v>5</v>
      </c>
      <c r="AA58" s="1191"/>
      <c r="AB58" s="1175"/>
      <c r="AC58" s="1175"/>
      <c r="AD58" s="549"/>
      <c r="AE58" s="550"/>
      <c r="AF58" s="550"/>
      <c r="AG58" s="550"/>
      <c r="AH58" s="550"/>
      <c r="AI58" s="334"/>
      <c r="AJ58" s="334"/>
      <c r="AK58" s="334"/>
    </row>
    <row r="59" spans="1:37" ht="21.75" customHeight="1" thickTop="1">
      <c r="A59" s="1052" t="s">
        <v>13</v>
      </c>
      <c r="B59" s="1053"/>
      <c r="C59" s="368" t="s">
        <v>8</v>
      </c>
      <c r="D59" s="373" t="s">
        <v>9</v>
      </c>
      <c r="E59" s="370" t="s">
        <v>8</v>
      </c>
      <c r="F59" s="371" t="s">
        <v>9</v>
      </c>
      <c r="G59" s="372" t="s">
        <v>8</v>
      </c>
      <c r="H59" s="373" t="s">
        <v>9</v>
      </c>
      <c r="I59" s="370" t="s">
        <v>8</v>
      </c>
      <c r="J59" s="371" t="s">
        <v>9</v>
      </c>
      <c r="K59" s="372" t="s">
        <v>8</v>
      </c>
      <c r="L59" s="373" t="s">
        <v>9</v>
      </c>
      <c r="M59" s="370" t="s">
        <v>8</v>
      </c>
      <c r="N59" s="512" t="s">
        <v>9</v>
      </c>
      <c r="O59" s="625"/>
      <c r="P59" s="368" t="s">
        <v>8</v>
      </c>
      <c r="Q59" s="373" t="s">
        <v>9</v>
      </c>
      <c r="R59" s="370" t="s">
        <v>8</v>
      </c>
      <c r="S59" s="371" t="s">
        <v>9</v>
      </c>
      <c r="T59" s="372" t="s">
        <v>8</v>
      </c>
      <c r="U59" s="373" t="s">
        <v>9</v>
      </c>
      <c r="V59" s="370" t="s">
        <v>8</v>
      </c>
      <c r="W59" s="371" t="s">
        <v>9</v>
      </c>
      <c r="X59" s="372" t="s">
        <v>8</v>
      </c>
      <c r="Y59" s="373" t="s">
        <v>9</v>
      </c>
      <c r="Z59" s="370" t="s">
        <v>8</v>
      </c>
      <c r="AA59" s="512" t="s">
        <v>9</v>
      </c>
      <c r="AB59" s="1175"/>
      <c r="AC59" s="1175"/>
      <c r="AD59" s="549"/>
      <c r="AE59" s="550"/>
      <c r="AF59" s="550"/>
      <c r="AG59" s="550"/>
      <c r="AH59" s="550"/>
      <c r="AI59" s="334"/>
      <c r="AJ59" s="334"/>
      <c r="AK59" s="334"/>
    </row>
    <row r="60" spans="1:37" ht="54.95" customHeight="1">
      <c r="A60" s="1039" t="s">
        <v>28</v>
      </c>
      <c r="B60" s="1040"/>
      <c r="C60" s="513">
        <f t="shared" ref="C60:AA60" si="13">SUM(C30:C33)</f>
        <v>0</v>
      </c>
      <c r="D60" s="514">
        <f t="shared" si="13"/>
        <v>0</v>
      </c>
      <c r="E60" s="515">
        <f t="shared" si="13"/>
        <v>0</v>
      </c>
      <c r="F60" s="553">
        <f t="shared" si="13"/>
        <v>0</v>
      </c>
      <c r="G60" s="554">
        <f t="shared" si="13"/>
        <v>0</v>
      </c>
      <c r="H60" s="514">
        <f t="shared" si="13"/>
        <v>0</v>
      </c>
      <c r="I60" s="515">
        <f t="shared" si="13"/>
        <v>0</v>
      </c>
      <c r="J60" s="553">
        <f t="shared" si="13"/>
        <v>0</v>
      </c>
      <c r="K60" s="554">
        <f t="shared" si="13"/>
        <v>0</v>
      </c>
      <c r="L60" s="514">
        <f t="shared" si="13"/>
        <v>0</v>
      </c>
      <c r="M60" s="515">
        <f t="shared" si="13"/>
        <v>0</v>
      </c>
      <c r="N60" s="516">
        <f t="shared" si="13"/>
        <v>0</v>
      </c>
      <c r="O60" s="647"/>
      <c r="P60" s="513">
        <f t="shared" si="13"/>
        <v>0</v>
      </c>
      <c r="Q60" s="514">
        <f t="shared" si="13"/>
        <v>0</v>
      </c>
      <c r="R60" s="515">
        <f t="shared" si="13"/>
        <v>0</v>
      </c>
      <c r="S60" s="553">
        <f t="shared" si="13"/>
        <v>0</v>
      </c>
      <c r="T60" s="554">
        <f t="shared" si="13"/>
        <v>0</v>
      </c>
      <c r="U60" s="514">
        <f t="shared" si="13"/>
        <v>0</v>
      </c>
      <c r="V60" s="515">
        <f t="shared" si="13"/>
        <v>0</v>
      </c>
      <c r="W60" s="553">
        <f t="shared" si="13"/>
        <v>0</v>
      </c>
      <c r="X60" s="554">
        <f t="shared" si="13"/>
        <v>0</v>
      </c>
      <c r="Y60" s="514">
        <f t="shared" si="13"/>
        <v>0</v>
      </c>
      <c r="Z60" s="515">
        <f t="shared" si="13"/>
        <v>0</v>
      </c>
      <c r="AA60" s="516">
        <f t="shared" si="13"/>
        <v>0</v>
      </c>
      <c r="AB60" s="1175"/>
      <c r="AC60" s="1175"/>
      <c r="AD60" s="549"/>
      <c r="AE60" s="550"/>
      <c r="AF60" s="550"/>
      <c r="AG60" s="550"/>
      <c r="AH60" s="550"/>
      <c r="AI60" s="334"/>
      <c r="AJ60" s="334"/>
      <c r="AK60" s="334"/>
    </row>
    <row r="61" spans="1:37" ht="54.95" customHeight="1">
      <c r="A61" s="1047" t="s">
        <v>11</v>
      </c>
      <c r="B61" s="1048"/>
      <c r="C61" s="519">
        <f t="shared" ref="C61:AA61" si="14">SUM(C32:C35)</f>
        <v>0</v>
      </c>
      <c r="D61" s="520">
        <f t="shared" si="14"/>
        <v>0</v>
      </c>
      <c r="E61" s="521">
        <f t="shared" si="14"/>
        <v>0</v>
      </c>
      <c r="F61" s="558">
        <f t="shared" si="14"/>
        <v>0</v>
      </c>
      <c r="G61" s="559">
        <f t="shared" si="14"/>
        <v>0</v>
      </c>
      <c r="H61" s="520">
        <f t="shared" si="14"/>
        <v>0</v>
      </c>
      <c r="I61" s="521">
        <f t="shared" si="14"/>
        <v>0</v>
      </c>
      <c r="J61" s="558">
        <f t="shared" si="14"/>
        <v>0</v>
      </c>
      <c r="K61" s="559">
        <f t="shared" si="14"/>
        <v>0</v>
      </c>
      <c r="L61" s="520">
        <f t="shared" si="14"/>
        <v>0</v>
      </c>
      <c r="M61" s="521">
        <f t="shared" si="14"/>
        <v>0</v>
      </c>
      <c r="N61" s="522">
        <f t="shared" si="14"/>
        <v>0</v>
      </c>
      <c r="O61" s="648"/>
      <c r="P61" s="519">
        <f t="shared" si="14"/>
        <v>0</v>
      </c>
      <c r="Q61" s="520">
        <f t="shared" si="14"/>
        <v>0</v>
      </c>
      <c r="R61" s="521">
        <f t="shared" si="14"/>
        <v>0</v>
      </c>
      <c r="S61" s="558">
        <f t="shared" si="14"/>
        <v>0</v>
      </c>
      <c r="T61" s="559">
        <f t="shared" si="14"/>
        <v>0</v>
      </c>
      <c r="U61" s="520">
        <f t="shared" si="14"/>
        <v>0</v>
      </c>
      <c r="V61" s="521">
        <f t="shared" si="14"/>
        <v>0</v>
      </c>
      <c r="W61" s="558">
        <f t="shared" si="14"/>
        <v>0</v>
      </c>
      <c r="X61" s="559">
        <f t="shared" si="14"/>
        <v>0</v>
      </c>
      <c r="Y61" s="520">
        <f t="shared" si="14"/>
        <v>0</v>
      </c>
      <c r="Z61" s="521">
        <f t="shared" si="14"/>
        <v>0</v>
      </c>
      <c r="AA61" s="522">
        <f t="shared" si="14"/>
        <v>0</v>
      </c>
      <c r="AB61" s="1175"/>
      <c r="AC61" s="1175"/>
      <c r="AD61" s="549"/>
      <c r="AE61" s="550"/>
      <c r="AF61" s="550"/>
      <c r="AG61" s="550"/>
      <c r="AH61" s="550"/>
      <c r="AI61" s="334"/>
      <c r="AJ61" s="334"/>
      <c r="AK61" s="334"/>
    </row>
    <row r="62" spans="1:37" ht="54.95" customHeight="1">
      <c r="A62" s="1047" t="s">
        <v>17</v>
      </c>
      <c r="B62" s="1048"/>
      <c r="C62" s="519">
        <f t="shared" ref="C62:AA62" si="15">SUM(C34:C37)</f>
        <v>0</v>
      </c>
      <c r="D62" s="520">
        <f t="shared" si="15"/>
        <v>0</v>
      </c>
      <c r="E62" s="521">
        <f t="shared" si="15"/>
        <v>0</v>
      </c>
      <c r="F62" s="558">
        <f t="shared" si="15"/>
        <v>0</v>
      </c>
      <c r="G62" s="559">
        <f t="shared" si="15"/>
        <v>0</v>
      </c>
      <c r="H62" s="520">
        <f t="shared" si="15"/>
        <v>0</v>
      </c>
      <c r="I62" s="521">
        <f t="shared" si="15"/>
        <v>0</v>
      </c>
      <c r="J62" s="558">
        <f t="shared" si="15"/>
        <v>0</v>
      </c>
      <c r="K62" s="559">
        <f t="shared" si="15"/>
        <v>0</v>
      </c>
      <c r="L62" s="520">
        <f t="shared" si="15"/>
        <v>0</v>
      </c>
      <c r="M62" s="521">
        <f t="shared" si="15"/>
        <v>0</v>
      </c>
      <c r="N62" s="522">
        <f t="shared" si="15"/>
        <v>0</v>
      </c>
      <c r="O62" s="648"/>
      <c r="P62" s="519">
        <f t="shared" si="15"/>
        <v>0</v>
      </c>
      <c r="Q62" s="520">
        <f t="shared" si="15"/>
        <v>0</v>
      </c>
      <c r="R62" s="521">
        <f t="shared" si="15"/>
        <v>0</v>
      </c>
      <c r="S62" s="558">
        <f t="shared" si="15"/>
        <v>0</v>
      </c>
      <c r="T62" s="559">
        <f t="shared" si="15"/>
        <v>0</v>
      </c>
      <c r="U62" s="520">
        <f t="shared" si="15"/>
        <v>0</v>
      </c>
      <c r="V62" s="521">
        <f t="shared" si="15"/>
        <v>0</v>
      </c>
      <c r="W62" s="558">
        <f t="shared" si="15"/>
        <v>0</v>
      </c>
      <c r="X62" s="559">
        <f t="shared" si="15"/>
        <v>0</v>
      </c>
      <c r="Y62" s="520">
        <f t="shared" si="15"/>
        <v>0</v>
      </c>
      <c r="Z62" s="521">
        <f t="shared" si="15"/>
        <v>0</v>
      </c>
      <c r="AA62" s="522">
        <f t="shared" si="15"/>
        <v>0</v>
      </c>
      <c r="AB62" s="1175"/>
      <c r="AC62" s="1175"/>
      <c r="AD62" s="549"/>
      <c r="AE62" s="550"/>
      <c r="AF62" s="550"/>
      <c r="AG62" s="550"/>
      <c r="AH62" s="550"/>
      <c r="AI62" s="334"/>
      <c r="AJ62" s="334"/>
      <c r="AK62" s="334"/>
    </row>
    <row r="63" spans="1:37" ht="54.95" customHeight="1">
      <c r="A63" s="1047" t="s">
        <v>10</v>
      </c>
      <c r="B63" s="1048"/>
      <c r="C63" s="519">
        <f t="shared" ref="C63:AA63" si="16">SUM(C36:C39)</f>
        <v>0</v>
      </c>
      <c r="D63" s="520">
        <f t="shared" si="16"/>
        <v>0</v>
      </c>
      <c r="E63" s="521">
        <f t="shared" si="16"/>
        <v>0</v>
      </c>
      <c r="F63" s="558">
        <f t="shared" si="16"/>
        <v>0</v>
      </c>
      <c r="G63" s="559">
        <f t="shared" si="16"/>
        <v>0</v>
      </c>
      <c r="H63" s="520">
        <f t="shared" si="16"/>
        <v>0</v>
      </c>
      <c r="I63" s="521">
        <f t="shared" si="16"/>
        <v>0</v>
      </c>
      <c r="J63" s="558">
        <f t="shared" si="16"/>
        <v>0</v>
      </c>
      <c r="K63" s="559">
        <f t="shared" si="16"/>
        <v>0</v>
      </c>
      <c r="L63" s="520">
        <f t="shared" si="16"/>
        <v>0</v>
      </c>
      <c r="M63" s="521">
        <f t="shared" si="16"/>
        <v>0</v>
      </c>
      <c r="N63" s="522">
        <f t="shared" si="16"/>
        <v>0</v>
      </c>
      <c r="O63" s="648"/>
      <c r="P63" s="519">
        <f t="shared" si="16"/>
        <v>0</v>
      </c>
      <c r="Q63" s="520">
        <f t="shared" si="16"/>
        <v>0</v>
      </c>
      <c r="R63" s="521">
        <f t="shared" si="16"/>
        <v>0</v>
      </c>
      <c r="S63" s="558">
        <f t="shared" si="16"/>
        <v>0</v>
      </c>
      <c r="T63" s="559">
        <f t="shared" si="16"/>
        <v>0</v>
      </c>
      <c r="U63" s="520">
        <f t="shared" si="16"/>
        <v>0</v>
      </c>
      <c r="V63" s="521">
        <f t="shared" si="16"/>
        <v>0</v>
      </c>
      <c r="W63" s="558">
        <f t="shared" si="16"/>
        <v>0</v>
      </c>
      <c r="X63" s="559">
        <f t="shared" si="16"/>
        <v>0</v>
      </c>
      <c r="Y63" s="520">
        <f t="shared" si="16"/>
        <v>0</v>
      </c>
      <c r="Z63" s="521">
        <f t="shared" si="16"/>
        <v>0</v>
      </c>
      <c r="AA63" s="522">
        <f t="shared" si="16"/>
        <v>0</v>
      </c>
      <c r="AB63" s="1175"/>
      <c r="AC63" s="1175"/>
      <c r="AD63" s="549"/>
      <c r="AE63" s="550"/>
      <c r="AF63" s="550"/>
      <c r="AG63" s="550"/>
      <c r="AH63" s="550"/>
      <c r="AI63" s="334"/>
      <c r="AJ63" s="334"/>
      <c r="AK63" s="334"/>
    </row>
    <row r="64" spans="1:37" ht="54.95" customHeight="1">
      <c r="A64" s="1050" t="s">
        <v>29</v>
      </c>
      <c r="B64" s="1051"/>
      <c r="C64" s="525">
        <f t="shared" ref="C64:AA64" si="17">SUM(C38:C41)</f>
        <v>0</v>
      </c>
      <c r="D64" s="526">
        <f t="shared" si="17"/>
        <v>0</v>
      </c>
      <c r="E64" s="527">
        <f t="shared" si="17"/>
        <v>0</v>
      </c>
      <c r="F64" s="563">
        <f t="shared" si="17"/>
        <v>0</v>
      </c>
      <c r="G64" s="564">
        <f t="shared" si="17"/>
        <v>0</v>
      </c>
      <c r="H64" s="526">
        <f t="shared" si="17"/>
        <v>0</v>
      </c>
      <c r="I64" s="527">
        <f t="shared" si="17"/>
        <v>0</v>
      </c>
      <c r="J64" s="563">
        <f t="shared" si="17"/>
        <v>0</v>
      </c>
      <c r="K64" s="564">
        <f t="shared" si="17"/>
        <v>0</v>
      </c>
      <c r="L64" s="526">
        <f t="shared" si="17"/>
        <v>0</v>
      </c>
      <c r="M64" s="527">
        <f t="shared" si="17"/>
        <v>0</v>
      </c>
      <c r="N64" s="528">
        <f t="shared" si="17"/>
        <v>0</v>
      </c>
      <c r="O64" s="649"/>
      <c r="P64" s="525">
        <f t="shared" si="17"/>
        <v>0</v>
      </c>
      <c r="Q64" s="526">
        <f t="shared" si="17"/>
        <v>0</v>
      </c>
      <c r="R64" s="527">
        <f t="shared" si="17"/>
        <v>0</v>
      </c>
      <c r="S64" s="563">
        <f t="shared" si="17"/>
        <v>0</v>
      </c>
      <c r="T64" s="564">
        <f t="shared" si="17"/>
        <v>0</v>
      </c>
      <c r="U64" s="526">
        <f t="shared" si="17"/>
        <v>0</v>
      </c>
      <c r="V64" s="527">
        <f t="shared" si="17"/>
        <v>0</v>
      </c>
      <c r="W64" s="563">
        <f t="shared" si="17"/>
        <v>0</v>
      </c>
      <c r="X64" s="564">
        <f t="shared" si="17"/>
        <v>0</v>
      </c>
      <c r="Y64" s="526">
        <f t="shared" si="17"/>
        <v>0</v>
      </c>
      <c r="Z64" s="527">
        <f t="shared" si="17"/>
        <v>0</v>
      </c>
      <c r="AA64" s="528">
        <f t="shared" si="17"/>
        <v>0</v>
      </c>
      <c r="AB64" s="1175"/>
      <c r="AC64" s="1175"/>
      <c r="AD64" s="549"/>
      <c r="AE64" s="550"/>
      <c r="AF64" s="550"/>
      <c r="AG64" s="550"/>
      <c r="AH64" s="550"/>
      <c r="AI64" s="334"/>
      <c r="AJ64" s="334"/>
      <c r="AK64" s="334"/>
    </row>
    <row r="65" spans="1:44" ht="54.95" customHeight="1">
      <c r="A65" s="1043" t="s">
        <v>12</v>
      </c>
      <c r="B65" s="1044"/>
      <c r="C65" s="374">
        <f t="shared" ref="C65:AA65" si="18">SUM(C30:C41)</f>
        <v>0</v>
      </c>
      <c r="D65" s="379">
        <f t="shared" si="18"/>
        <v>0</v>
      </c>
      <c r="E65" s="376">
        <f t="shared" si="18"/>
        <v>0</v>
      </c>
      <c r="F65" s="377">
        <f t="shared" si="18"/>
        <v>0</v>
      </c>
      <c r="G65" s="378">
        <f t="shared" si="18"/>
        <v>0</v>
      </c>
      <c r="H65" s="379">
        <f t="shared" si="18"/>
        <v>0</v>
      </c>
      <c r="I65" s="376">
        <f t="shared" si="18"/>
        <v>0</v>
      </c>
      <c r="J65" s="377">
        <f t="shared" si="18"/>
        <v>0</v>
      </c>
      <c r="K65" s="378">
        <f t="shared" si="18"/>
        <v>0</v>
      </c>
      <c r="L65" s="379">
        <f t="shared" si="18"/>
        <v>0</v>
      </c>
      <c r="M65" s="376">
        <f t="shared" si="18"/>
        <v>0</v>
      </c>
      <c r="N65" s="551">
        <f t="shared" si="18"/>
        <v>0</v>
      </c>
      <c r="O65" s="626"/>
      <c r="P65" s="374">
        <f t="shared" si="18"/>
        <v>0</v>
      </c>
      <c r="Q65" s="379">
        <f t="shared" si="18"/>
        <v>0</v>
      </c>
      <c r="R65" s="376">
        <f t="shared" si="18"/>
        <v>0</v>
      </c>
      <c r="S65" s="377">
        <f t="shared" si="18"/>
        <v>0</v>
      </c>
      <c r="T65" s="378">
        <f t="shared" si="18"/>
        <v>0</v>
      </c>
      <c r="U65" s="379">
        <f t="shared" si="18"/>
        <v>0</v>
      </c>
      <c r="V65" s="376">
        <f t="shared" si="18"/>
        <v>0</v>
      </c>
      <c r="W65" s="377">
        <f t="shared" si="18"/>
        <v>0</v>
      </c>
      <c r="X65" s="378">
        <f t="shared" si="18"/>
        <v>0</v>
      </c>
      <c r="Y65" s="379">
        <f t="shared" si="18"/>
        <v>0</v>
      </c>
      <c r="Z65" s="376">
        <f t="shared" si="18"/>
        <v>0</v>
      </c>
      <c r="AA65" s="551">
        <f t="shared" si="18"/>
        <v>0</v>
      </c>
      <c r="AB65" s="322"/>
      <c r="AC65" s="322"/>
      <c r="AD65" s="322"/>
      <c r="AE65" s="322"/>
      <c r="AF65" s="322"/>
      <c r="AG65" s="322"/>
      <c r="AH65" s="322"/>
      <c r="AI65" s="322"/>
      <c r="AJ65" s="322"/>
      <c r="AK65" s="322"/>
    </row>
    <row r="66" spans="1:44" ht="54.95" customHeight="1" thickBot="1">
      <c r="A66" s="1045" t="str">
        <f>IF($AD$48=MAX($AD$48:$AD$52),A60,IF($AD$49=MAX($AD$48:$AD$52),A61,IF($AD$50=MAX($AD$48:$AD$52),A62,IF($AD$51=MAX($AD$48:$AD$52),A63,A64))))</f>
        <v>de 6:30 à 7:30</v>
      </c>
      <c r="B66" s="1046"/>
      <c r="C66" s="380">
        <f>IF($AD$48=MAX($AD$48:$AD$52),C60,IF($AD$49=MAX($AD$48:$AD$52),C61,IF($AD$50=MAX($AD$48:$AD$52),C62,IF($AD$51=MAX($AD$48:$AD$52),C63,C64))))</f>
        <v>0</v>
      </c>
      <c r="D66" s="385">
        <f t="shared" ref="D66:AA66" si="19">IF($AD$48=MAX($AD$48:$AD$52),D60,IF($AD$49=MAX($AD$48:$AD$52),D61,IF($AD$50=MAX($AD$48:$AD$52),D62,IF($AD$51=MAX($AD$48:$AD$52),D63,D64))))</f>
        <v>0</v>
      </c>
      <c r="E66" s="382">
        <f t="shared" si="19"/>
        <v>0</v>
      </c>
      <c r="F66" s="383">
        <f t="shared" si="19"/>
        <v>0</v>
      </c>
      <c r="G66" s="384">
        <f t="shared" si="19"/>
        <v>0</v>
      </c>
      <c r="H66" s="385">
        <f t="shared" si="19"/>
        <v>0</v>
      </c>
      <c r="I66" s="382">
        <f t="shared" si="19"/>
        <v>0</v>
      </c>
      <c r="J66" s="383">
        <f t="shared" si="19"/>
        <v>0</v>
      </c>
      <c r="K66" s="384">
        <f t="shared" si="19"/>
        <v>0</v>
      </c>
      <c r="L66" s="385">
        <f t="shared" si="19"/>
        <v>0</v>
      </c>
      <c r="M66" s="382">
        <f t="shared" si="19"/>
        <v>0</v>
      </c>
      <c r="N66" s="552">
        <f t="shared" si="19"/>
        <v>0</v>
      </c>
      <c r="O66" s="629"/>
      <c r="P66" s="380">
        <f t="shared" si="19"/>
        <v>0</v>
      </c>
      <c r="Q66" s="385">
        <f t="shared" si="19"/>
        <v>0</v>
      </c>
      <c r="R66" s="382">
        <f t="shared" si="19"/>
        <v>0</v>
      </c>
      <c r="S66" s="383">
        <f t="shared" si="19"/>
        <v>0</v>
      </c>
      <c r="T66" s="384">
        <f t="shared" si="19"/>
        <v>0</v>
      </c>
      <c r="U66" s="385">
        <f t="shared" si="19"/>
        <v>0</v>
      </c>
      <c r="V66" s="382">
        <f t="shared" si="19"/>
        <v>0</v>
      </c>
      <c r="W66" s="383">
        <f t="shared" si="19"/>
        <v>0</v>
      </c>
      <c r="X66" s="384">
        <f t="shared" si="19"/>
        <v>0</v>
      </c>
      <c r="Y66" s="385">
        <f t="shared" si="19"/>
        <v>0</v>
      </c>
      <c r="Z66" s="382">
        <f t="shared" si="19"/>
        <v>0</v>
      </c>
      <c r="AA66" s="552">
        <f t="shared" si="19"/>
        <v>0</v>
      </c>
      <c r="AB66" s="322"/>
      <c r="AC66" s="322"/>
      <c r="AD66" s="322"/>
      <c r="AE66" s="322"/>
      <c r="AF66" s="322"/>
      <c r="AG66" s="322"/>
      <c r="AH66" s="322"/>
      <c r="AI66" s="322"/>
      <c r="AJ66" s="322"/>
      <c r="AK66" s="322"/>
    </row>
    <row r="67" spans="1:44" ht="9" customHeight="1" thickTop="1">
      <c r="A67" s="319"/>
      <c r="B67" s="320"/>
      <c r="C67" s="320"/>
      <c r="D67" s="320"/>
      <c r="E67" s="320"/>
      <c r="F67" s="320"/>
      <c r="G67" s="320"/>
      <c r="H67" s="320"/>
      <c r="I67" s="320"/>
      <c r="J67" s="320"/>
      <c r="K67" s="320"/>
      <c r="L67" s="320"/>
      <c r="M67" s="320"/>
      <c r="N67" s="320"/>
      <c r="O67" s="320"/>
      <c r="P67" s="320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3"/>
      <c r="AC67" s="321"/>
      <c r="AD67" s="321"/>
      <c r="AE67" s="321"/>
      <c r="AF67" s="321"/>
      <c r="AG67" s="321"/>
      <c r="AH67" s="321"/>
      <c r="AI67" s="321"/>
      <c r="AJ67" s="321"/>
      <c r="AK67" s="321"/>
      <c r="AL67" s="337"/>
      <c r="AM67" s="336"/>
      <c r="AN67" s="337"/>
      <c r="AO67" s="337"/>
      <c r="AP67" s="337"/>
      <c r="AQ67" s="337"/>
      <c r="AR67" s="337"/>
    </row>
  </sheetData>
  <mergeCells count="125">
    <mergeCell ref="C3:W3"/>
    <mergeCell ref="C26:N26"/>
    <mergeCell ref="P26:AA26"/>
    <mergeCell ref="K27:N27"/>
    <mergeCell ref="M9:N9"/>
    <mergeCell ref="C27:F27"/>
    <mergeCell ref="C7:N7"/>
    <mergeCell ref="P7:AA7"/>
    <mergeCell ref="C8:F8"/>
    <mergeCell ref="G8:J8"/>
    <mergeCell ref="K8:N8"/>
    <mergeCell ref="P8:S8"/>
    <mergeCell ref="T8:W8"/>
    <mergeCell ref="X8:AA8"/>
    <mergeCell ref="P9:Q9"/>
    <mergeCell ref="R9:S9"/>
    <mergeCell ref="T9:U9"/>
    <mergeCell ref="V9:W9"/>
    <mergeCell ref="X9:Y9"/>
    <mergeCell ref="Z9:AA9"/>
    <mergeCell ref="C5:N5"/>
    <mergeCell ref="C24:N24"/>
    <mergeCell ref="R5:AA5"/>
    <mergeCell ref="AF44:AF47"/>
    <mergeCell ref="AG44:AG47"/>
    <mergeCell ref="AH44:AH47"/>
    <mergeCell ref="AI44:AI47"/>
    <mergeCell ref="AJ44:AK47"/>
    <mergeCell ref="K45:N45"/>
    <mergeCell ref="C44:N44"/>
    <mergeCell ref="P44:AA44"/>
    <mergeCell ref="AD44:AD47"/>
    <mergeCell ref="AE44:AE47"/>
    <mergeCell ref="K46:L46"/>
    <mergeCell ref="M46:N46"/>
    <mergeCell ref="G46:H46"/>
    <mergeCell ref="A49:B49"/>
    <mergeCell ref="AB49:AC49"/>
    <mergeCell ref="A50:B50"/>
    <mergeCell ref="AB50:AC50"/>
    <mergeCell ref="A51:B51"/>
    <mergeCell ref="AB51:AC51"/>
    <mergeCell ref="A47:B47"/>
    <mergeCell ref="AB47:AC47"/>
    <mergeCell ref="A48:B48"/>
    <mergeCell ref="AB48:AC48"/>
    <mergeCell ref="AB55:AC55"/>
    <mergeCell ref="C56:N56"/>
    <mergeCell ref="P56:AA56"/>
    <mergeCell ref="AB56:AC56"/>
    <mergeCell ref="K57:N57"/>
    <mergeCell ref="AB57:AC57"/>
    <mergeCell ref="A52:B52"/>
    <mergeCell ref="AB52:AC52"/>
    <mergeCell ref="A53:B53"/>
    <mergeCell ref="AB53:AC53"/>
    <mergeCell ref="A54:B54"/>
    <mergeCell ref="AB54:AC54"/>
    <mergeCell ref="A64:B64"/>
    <mergeCell ref="AB64:AC64"/>
    <mergeCell ref="A65:B65"/>
    <mergeCell ref="A66:B66"/>
    <mergeCell ref="C9:D9"/>
    <mergeCell ref="E9:F9"/>
    <mergeCell ref="G9:H9"/>
    <mergeCell ref="I9:J9"/>
    <mergeCell ref="K9:L9"/>
    <mergeCell ref="A61:B61"/>
    <mergeCell ref="AB61:AC61"/>
    <mergeCell ref="A62:B62"/>
    <mergeCell ref="AB62:AC62"/>
    <mergeCell ref="A63:B63"/>
    <mergeCell ref="AB63:AC63"/>
    <mergeCell ref="AB58:AC58"/>
    <mergeCell ref="A59:B59"/>
    <mergeCell ref="AB59:AC59"/>
    <mergeCell ref="A60:B60"/>
    <mergeCell ref="AB60:AC60"/>
    <mergeCell ref="C58:D58"/>
    <mergeCell ref="E58:F58"/>
    <mergeCell ref="G58:H58"/>
    <mergeCell ref="K58:L58"/>
    <mergeCell ref="X28:Y28"/>
    <mergeCell ref="Z28:AA28"/>
    <mergeCell ref="C45:F45"/>
    <mergeCell ref="G45:J45"/>
    <mergeCell ref="P45:S45"/>
    <mergeCell ref="T45:W45"/>
    <mergeCell ref="X45:AA45"/>
    <mergeCell ref="G27:J27"/>
    <mergeCell ref="P27:S27"/>
    <mergeCell ref="T27:W27"/>
    <mergeCell ref="X27:AA27"/>
    <mergeCell ref="C28:D28"/>
    <mergeCell ref="E28:F28"/>
    <mergeCell ref="G28:H28"/>
    <mergeCell ref="I28:J28"/>
    <mergeCell ref="P28:Q28"/>
    <mergeCell ref="R28:S28"/>
    <mergeCell ref="K28:L28"/>
    <mergeCell ref="M28:N28"/>
    <mergeCell ref="T28:U28"/>
    <mergeCell ref="V28:W28"/>
    <mergeCell ref="V58:W58"/>
    <mergeCell ref="X58:Y58"/>
    <mergeCell ref="Z58:AA58"/>
    <mergeCell ref="Z46:AA46"/>
    <mergeCell ref="C57:F57"/>
    <mergeCell ref="G57:J57"/>
    <mergeCell ref="P57:S57"/>
    <mergeCell ref="T57:W57"/>
    <mergeCell ref="X57:AA57"/>
    <mergeCell ref="I46:J46"/>
    <mergeCell ref="P46:Q46"/>
    <mergeCell ref="R46:S46"/>
    <mergeCell ref="T46:U46"/>
    <mergeCell ref="V46:W46"/>
    <mergeCell ref="X46:Y46"/>
    <mergeCell ref="M58:N58"/>
    <mergeCell ref="I58:J58"/>
    <mergeCell ref="P58:Q58"/>
    <mergeCell ref="R58:S58"/>
    <mergeCell ref="T58:U58"/>
    <mergeCell ref="C46:D46"/>
    <mergeCell ref="E46:F46"/>
  </mergeCells>
  <pageMargins left="0.39370078740157483" right="0.39370078740157483" top="0.39370078740157483" bottom="0.39370078740157483" header="0.59055118110236227" footer="0.59055118110236227"/>
  <pageSetup paperSize="9" scale="38" fitToHeight="0" pageOrder="overThenDown" orientation="landscape" useFirstPageNumber="1" r:id="rId1"/>
  <headerFooter alignWithMargins="0"/>
  <rowBreaks count="2" manualBreakCount="2">
    <brk id="39" max="25" man="1"/>
    <brk id="67" max="27" man="1"/>
  </rowBreaks>
  <ignoredErrors>
    <ignoredError sqref="E50:F53 C51 P48:AA53 P64:V64 P59:AA63 C59:N64 G48:N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PJ_Casino</vt:lpstr>
      <vt:lpstr>RE_Gare</vt:lpstr>
      <vt:lpstr>RE_Eglise</vt:lpstr>
      <vt:lpstr>RE_Foron</vt:lpstr>
      <vt:lpstr>RE_La Forge (gir.)</vt:lpstr>
      <vt:lpstr>ETR_D2 (ex-PN93)</vt:lpstr>
      <vt:lpstr>ETR_Château</vt:lpstr>
      <vt:lpstr>SCI_Bellecombe</vt:lpstr>
      <vt:lpstr>AM_Coriandre</vt:lpstr>
      <vt:lpstr>SYNTHESE</vt:lpstr>
      <vt:lpstr>Analyse sommaire</vt:lpstr>
      <vt:lpstr>RE_Fil Saisons</vt:lpstr>
      <vt:lpstr>RE_ex-gendarmerie</vt:lpstr>
      <vt:lpstr>ART_Lavage auto</vt:lpstr>
      <vt:lpstr>AM_Coriandre!Zone_d_impression</vt:lpstr>
      <vt:lpstr>'Analyse sommaire'!Zone_d_impression</vt:lpstr>
      <vt:lpstr>'ART_Lavage auto'!Zone_d_impression</vt:lpstr>
      <vt:lpstr>ETR_Château!Zone_d_impression</vt:lpstr>
      <vt:lpstr>'ETR_D2 (ex-PN93)'!Zone_d_impression</vt:lpstr>
      <vt:lpstr>PJ_Casino!Zone_d_impression</vt:lpstr>
      <vt:lpstr>RE_Eglise!Zone_d_impression</vt:lpstr>
      <vt:lpstr>'RE_ex-gendarmerie'!Zone_d_impression</vt:lpstr>
      <vt:lpstr>'RE_Fil Saisons'!Zone_d_impression</vt:lpstr>
      <vt:lpstr>RE_Foron!Zone_d_impression</vt:lpstr>
      <vt:lpstr>RE_Gare!Zone_d_impression</vt:lpstr>
      <vt:lpstr>'RE_La Forge (gir.)'!Zone_d_impression</vt:lpstr>
      <vt:lpstr>SCI_Bellecombe!Zone_d_impression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Yannick ROGUET</cp:lastModifiedBy>
  <cp:revision>31</cp:revision>
  <cp:lastPrinted>2024-06-02T15:52:09Z</cp:lastPrinted>
  <dcterms:created xsi:type="dcterms:W3CDTF">2013-06-07T11:50:48Z</dcterms:created>
  <dcterms:modified xsi:type="dcterms:W3CDTF">2024-06-02T15:52:21Z</dcterms:modified>
</cp:coreProperties>
</file>