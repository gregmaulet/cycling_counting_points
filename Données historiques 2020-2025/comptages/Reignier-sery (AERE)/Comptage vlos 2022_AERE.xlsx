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180" yWindow="-15" windowWidth="11805" windowHeight="10140" tabRatio="901" firstSheet="6" activeTab="12"/>
  </bookViews>
  <sheets>
    <sheet name="PJ_Casino" sheetId="13" r:id="rId1"/>
    <sheet name="RE_Gare" sheetId="18" state="hidden" r:id="rId2"/>
    <sheet name="RE_ex-gendarmerie" sheetId="17" state="hidden" r:id="rId3"/>
    <sheet name="RE_Eglise" sheetId="8" r:id="rId4"/>
    <sheet name="RE_Foron" sheetId="9" r:id="rId5"/>
    <sheet name="RE_La Forge (gir.)" sheetId="15" state="hidden" r:id="rId6"/>
    <sheet name="RE_Fil Saisons" sheetId="12" r:id="rId7"/>
    <sheet name="ART_Lavage auto" sheetId="6" r:id="rId8"/>
    <sheet name="ETR_D2 (ex-PN93)" sheetId="1" r:id="rId9"/>
    <sheet name="ETR_Château" sheetId="4" r:id="rId10"/>
    <sheet name="SCI_Bellecombe" sheetId="11" state="hidden" r:id="rId11"/>
    <sheet name="AM_Coriandre" sheetId="10" state="hidden" r:id="rId12"/>
    <sheet name="SYNTHESE" sheetId="16" r:id="rId13"/>
  </sheets>
  <externalReferences>
    <externalReference r:id="rId14"/>
  </externalReferences>
  <definedNames>
    <definedName name="_xlnm._FilterDatabase" localSheetId="12" hidden="1">SYNTHESE!$A$2:$O$27</definedName>
    <definedName name="_xlnm.Print_Area" localSheetId="11">AM_Coriandre!$A$1:$Z$23,AM_Coriandre!$A$25:$AL$54</definedName>
    <definedName name="_xlnm.Print_Area" localSheetId="7">'ART_Lavage auto'!$A$1:$Z$47,'ART_Lavage auto'!$A$49:$AJ$79</definedName>
    <definedName name="_xlnm.Print_Area" localSheetId="9">ETR_Château!$A$1:$Z$23,ETR_Château!$A$25:$AL$54</definedName>
    <definedName name="_xlnm.Print_Area" localSheetId="8">'ETR_D2 (ex-PN93)'!$A$1:$R$47,'ETR_D2 (ex-PN93)'!$A$49:$AB$79</definedName>
    <definedName name="_xlnm.Print_Area" localSheetId="0">PJ_Casino!$A$1:$Z$47,PJ_Casino!$A$49:$AM$79</definedName>
    <definedName name="_xlnm.Print_Area" localSheetId="3">RE_Eglise!$A$1:$Z$47,RE_Eglise!$A$49:$AJ$79</definedName>
    <definedName name="_xlnm.Print_Area" localSheetId="2">'RE_ex-gendarmerie'!$A$1:$Z$23,'RE_ex-gendarmerie'!$A$25:$Z$47,'RE_ex-gendarmerie'!$A$49:$AJ$79</definedName>
    <definedName name="_xlnm.Print_Area" localSheetId="6">'RE_Fil Saisons'!$A$1:$Z$23,'RE_Fil Saisons'!$A$25:$AM$54</definedName>
    <definedName name="_xlnm.Print_Area" localSheetId="4">RE_Foron!$A$1:$Z$23,RE_Foron!$A$25:$AL$54</definedName>
    <definedName name="_xlnm.Print_Area" localSheetId="1">RE_Gare!$A$1:$Z$23,RE_Gare!$A$25:$AM$54</definedName>
    <definedName name="_xlnm.Print_Area" localSheetId="5">'RE_La Forge (gir.)'!$A$1:$Z$23,'RE_La Forge (gir.)'!$A$25:$AM$54</definedName>
    <definedName name="_xlnm.Print_Area" localSheetId="10">SCI_Bellecombe!$A$1:$Z$23,SCI_Bellecombe!$A$25:$AL$54</definedName>
  </definedNames>
  <calcPr calcId="145621"/>
</workbook>
</file>

<file path=xl/calcChain.xml><?xml version="1.0" encoding="utf-8"?>
<calcChain xmlns="http://schemas.openxmlformats.org/spreadsheetml/2006/main">
  <c r="N14" i="16" l="1"/>
  <c r="L14" i="16"/>
  <c r="J14" i="16"/>
  <c r="O15" i="16"/>
  <c r="O10" i="16"/>
  <c r="O7" i="16"/>
  <c r="M10" i="16"/>
  <c r="AG65" i="6"/>
  <c r="AF65" i="6"/>
  <c r="AF68" i="6"/>
  <c r="AE65" i="6"/>
  <c r="AD65" i="6"/>
  <c r="AC65" i="6"/>
  <c r="E15" i="16" s="1"/>
  <c r="K10" i="16"/>
  <c r="F15" i="16"/>
  <c r="F14" i="16"/>
  <c r="F13" i="16"/>
  <c r="F12" i="16"/>
  <c r="F11" i="16"/>
  <c r="F10" i="16"/>
  <c r="F9" i="16"/>
  <c r="F8" i="16"/>
  <c r="F7" i="16"/>
  <c r="F6" i="16"/>
  <c r="F5" i="16"/>
  <c r="E14" i="16"/>
  <c r="O14" i="16" s="1"/>
  <c r="E13" i="16"/>
  <c r="K13" i="16" s="1"/>
  <c r="E12" i="16"/>
  <c r="E11" i="16"/>
  <c r="E10" i="16"/>
  <c r="E9" i="16"/>
  <c r="E8" i="16"/>
  <c r="E7" i="16"/>
  <c r="E6" i="16"/>
  <c r="E5" i="16"/>
  <c r="M13" i="16" l="1"/>
  <c r="K7" i="16"/>
  <c r="K12" i="16"/>
  <c r="K14" i="16"/>
  <c r="F16" i="16"/>
  <c r="I10" i="16"/>
  <c r="O12" i="16"/>
  <c r="I13" i="16"/>
  <c r="E16" i="16"/>
  <c r="O13" i="16"/>
  <c r="M14" i="16"/>
  <c r="I12" i="16"/>
  <c r="I7" i="16"/>
  <c r="N49" i="1"/>
  <c r="N25" i="1"/>
  <c r="M12" i="16" l="1"/>
  <c r="M7" i="16"/>
  <c r="F32" i="16"/>
  <c r="F17" i="16"/>
  <c r="G17" i="16"/>
  <c r="H17" i="16"/>
  <c r="I17" i="16"/>
  <c r="J17" i="16"/>
  <c r="K17" i="16"/>
  <c r="L17" i="16"/>
  <c r="M17" i="16"/>
  <c r="N17" i="16"/>
  <c r="O17" i="16"/>
  <c r="E17" i="16"/>
  <c r="H12" i="16" l="1"/>
  <c r="H13" i="16"/>
  <c r="G13" i="16"/>
  <c r="G12" i="16"/>
  <c r="B13" i="16"/>
  <c r="B12" i="16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AG53" i="18" s="1"/>
  <c r="F41" i="18"/>
  <c r="E41" i="18"/>
  <c r="D41" i="18"/>
  <c r="C41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AG52" i="18" s="1"/>
  <c r="F40" i="18"/>
  <c r="E40" i="18"/>
  <c r="D40" i="18"/>
  <c r="C40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AH51" i="18" s="1"/>
  <c r="L39" i="18"/>
  <c r="K39" i="18"/>
  <c r="J39" i="18"/>
  <c r="I39" i="18"/>
  <c r="H39" i="18"/>
  <c r="G39" i="18"/>
  <c r="AG51" i="18" s="1"/>
  <c r="F39" i="18"/>
  <c r="E39" i="18"/>
  <c r="D39" i="18"/>
  <c r="C39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AG50" i="18" s="1"/>
  <c r="F38" i="18"/>
  <c r="E38" i="18"/>
  <c r="AE50" i="18" s="1"/>
  <c r="AF38" i="18" s="1"/>
  <c r="D38" i="18"/>
  <c r="C38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AG49" i="18" s="1"/>
  <c r="F37" i="18"/>
  <c r="E37" i="18"/>
  <c r="D37" i="18"/>
  <c r="C37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AG48" i="18" s="1"/>
  <c r="F36" i="18"/>
  <c r="E36" i="18"/>
  <c r="AE48" i="18" s="1"/>
  <c r="AF36" i="18" s="1"/>
  <c r="D36" i="18"/>
  <c r="C36" i="18"/>
  <c r="W33" i="18"/>
  <c r="S33" i="18"/>
  <c r="O33" i="18"/>
  <c r="K33" i="18"/>
  <c r="G33" i="18"/>
  <c r="C33" i="18"/>
  <c r="S32" i="18"/>
  <c r="K32" i="18"/>
  <c r="C32" i="18"/>
  <c r="C28" i="18"/>
  <c r="AC28" i="18" s="1"/>
  <c r="C27" i="18"/>
  <c r="AC27" i="18" s="1"/>
  <c r="G26" i="18"/>
  <c r="AE26" i="18" s="1"/>
  <c r="N25" i="18"/>
  <c r="AH25" i="18" s="1"/>
  <c r="B25" i="18"/>
  <c r="AB25" i="18" s="1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W69" i="17"/>
  <c r="S69" i="17"/>
  <c r="O69" i="17"/>
  <c r="K69" i="17"/>
  <c r="G69" i="17"/>
  <c r="C69" i="17"/>
  <c r="O68" i="17"/>
  <c r="C68" i="17"/>
  <c r="Z65" i="17"/>
  <c r="Y65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Z64" i="17"/>
  <c r="Y64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Z63" i="17"/>
  <c r="Y63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AF74" i="17" s="1"/>
  <c r="D62" i="17"/>
  <c r="C62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AF73" i="17" s="1"/>
  <c r="D61" i="17"/>
  <c r="C61" i="17"/>
  <c r="Z60" i="17"/>
  <c r="Y60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W57" i="17"/>
  <c r="S57" i="17"/>
  <c r="O57" i="17"/>
  <c r="K57" i="17"/>
  <c r="G57" i="17"/>
  <c r="C57" i="17"/>
  <c r="O56" i="17"/>
  <c r="C56" i="17"/>
  <c r="C52" i="17"/>
  <c r="AC52" i="17" s="1"/>
  <c r="C51" i="17"/>
  <c r="AC51" i="17" s="1"/>
  <c r="N49" i="17"/>
  <c r="AH49" i="17" s="1"/>
  <c r="B49" i="17"/>
  <c r="AB49" i="17" s="1"/>
  <c r="C30" i="17"/>
  <c r="C29" i="17"/>
  <c r="A29" i="17"/>
  <c r="C28" i="17"/>
  <c r="C27" i="17"/>
  <c r="G26" i="17"/>
  <c r="G50" i="17" s="1"/>
  <c r="AE50" i="17" s="1"/>
  <c r="N25" i="17"/>
  <c r="B25" i="17"/>
  <c r="AF51" i="18" l="1"/>
  <c r="AE52" i="18"/>
  <c r="AF40" i="18" s="1"/>
  <c r="AH52" i="18"/>
  <c r="AF49" i="18"/>
  <c r="AF52" i="18"/>
  <c r="AF53" i="18"/>
  <c r="AH48" i="18"/>
  <c r="AD48" i="18"/>
  <c r="AC37" i="18"/>
  <c r="AE37" i="18" s="1"/>
  <c r="AH49" i="18"/>
  <c r="AC38" i="18"/>
  <c r="AG38" i="18" s="1"/>
  <c r="AD51" i="18"/>
  <c r="AC40" i="18"/>
  <c r="AC41" i="18"/>
  <c r="AD41" i="18" s="1"/>
  <c r="AH53" i="18"/>
  <c r="AD50" i="18"/>
  <c r="AI50" i="18"/>
  <c r="AH50" i="18"/>
  <c r="AI38" i="18"/>
  <c r="AH38" i="18"/>
  <c r="AE38" i="18"/>
  <c r="AD38" i="18"/>
  <c r="AH40" i="18"/>
  <c r="AI40" i="18"/>
  <c r="AE40" i="18"/>
  <c r="AD40" i="18"/>
  <c r="AG40" i="18"/>
  <c r="AH41" i="18"/>
  <c r="AI41" i="18"/>
  <c r="AG41" i="18"/>
  <c r="AC36" i="18"/>
  <c r="AI48" i="18"/>
  <c r="AD49" i="18"/>
  <c r="AC39" i="18"/>
  <c r="AF48" i="18"/>
  <c r="AI49" i="18"/>
  <c r="AE51" i="18"/>
  <c r="AF39" i="18" s="1"/>
  <c r="AI53" i="18"/>
  <c r="AF50" i="18"/>
  <c r="AE49" i="18"/>
  <c r="AF37" i="18" s="1"/>
  <c r="AI51" i="18"/>
  <c r="AE53" i="18"/>
  <c r="AF41" i="18" s="1"/>
  <c r="AD52" i="18"/>
  <c r="AI52" i="18"/>
  <c r="AD53" i="18"/>
  <c r="AG73" i="17"/>
  <c r="AG77" i="17"/>
  <c r="AC60" i="17"/>
  <c r="AD73" i="17"/>
  <c r="AC62" i="17"/>
  <c r="AE62" i="17" s="1"/>
  <c r="AD75" i="17"/>
  <c r="AD76" i="17"/>
  <c r="AD77" i="17"/>
  <c r="AF75" i="17"/>
  <c r="AE76" i="17"/>
  <c r="AF64" i="17" s="1"/>
  <c r="AF77" i="17"/>
  <c r="AE77" i="17"/>
  <c r="AF65" i="17" s="1"/>
  <c r="AD72" i="17"/>
  <c r="AG72" i="17"/>
  <c r="AG74" i="17"/>
  <c r="AG76" i="17"/>
  <c r="AG75" i="17"/>
  <c r="AF72" i="17"/>
  <c r="AD60" i="17"/>
  <c r="AG60" i="17"/>
  <c r="N66" i="17"/>
  <c r="AE60" i="17"/>
  <c r="AC64" i="17"/>
  <c r="AC61" i="17"/>
  <c r="AD74" i="17"/>
  <c r="AC65" i="17"/>
  <c r="AE73" i="17"/>
  <c r="AF61" i="17" s="1"/>
  <c r="AE75" i="17"/>
  <c r="AF63" i="17" s="1"/>
  <c r="AE72" i="17"/>
  <c r="AF60" i="17" s="1"/>
  <c r="AE74" i="17"/>
  <c r="AF62" i="17" s="1"/>
  <c r="AC63" i="17"/>
  <c r="AF76" i="17"/>
  <c r="AD37" i="18" l="1"/>
  <c r="AH37" i="18"/>
  <c r="AE41" i="18"/>
  <c r="AI37" i="18"/>
  <c r="AG37" i="18"/>
  <c r="T42" i="18"/>
  <c r="L42" i="18"/>
  <c r="D42" i="18"/>
  <c r="AD36" i="18"/>
  <c r="H42" i="18"/>
  <c r="G42" i="18"/>
  <c r="S42" i="18"/>
  <c r="K42" i="18"/>
  <c r="C42" i="18"/>
  <c r="I42" i="18"/>
  <c r="Z42" i="18"/>
  <c r="R42" i="18"/>
  <c r="J42" i="18"/>
  <c r="A42" i="18"/>
  <c r="AA42" i="18" s="1"/>
  <c r="AE36" i="18"/>
  <c r="V42" i="18"/>
  <c r="N42" i="18"/>
  <c r="F42" i="18"/>
  <c r="AI36" i="18"/>
  <c r="U42" i="18"/>
  <c r="M42" i="18"/>
  <c r="E42" i="18"/>
  <c r="AH36" i="18"/>
  <c r="AG36" i="18"/>
  <c r="Y42" i="18"/>
  <c r="Q42" i="18"/>
  <c r="X42" i="18"/>
  <c r="P42" i="18"/>
  <c r="W42" i="18"/>
  <c r="O42" i="18"/>
  <c r="AI39" i="18"/>
  <c r="AH39" i="18"/>
  <c r="AD39" i="18"/>
  <c r="AG39" i="18"/>
  <c r="AE39" i="18"/>
  <c r="AD62" i="17"/>
  <c r="AG62" i="17"/>
  <c r="N78" i="17"/>
  <c r="H78" i="17"/>
  <c r="K78" i="17"/>
  <c r="P66" i="17"/>
  <c r="E78" i="17"/>
  <c r="Z78" i="17"/>
  <c r="S78" i="17"/>
  <c r="A66" i="17"/>
  <c r="M78" i="17"/>
  <c r="E66" i="17"/>
  <c r="S66" i="17"/>
  <c r="C78" i="17"/>
  <c r="X66" i="17"/>
  <c r="M66" i="17"/>
  <c r="W78" i="17"/>
  <c r="AA66" i="17"/>
  <c r="D66" i="17"/>
  <c r="I78" i="17"/>
  <c r="V78" i="17"/>
  <c r="G66" i="17"/>
  <c r="L66" i="17"/>
  <c r="H66" i="17"/>
  <c r="O66" i="17"/>
  <c r="A78" i="17"/>
  <c r="L78" i="17"/>
  <c r="T66" i="17"/>
  <c r="R78" i="17"/>
  <c r="P78" i="17"/>
  <c r="C66" i="17"/>
  <c r="Q66" i="17"/>
  <c r="Z66" i="17"/>
  <c r="K66" i="17"/>
  <c r="F78" i="17"/>
  <c r="U66" i="17"/>
  <c r="Y66" i="17"/>
  <c r="D78" i="17"/>
  <c r="I66" i="17"/>
  <c r="AG65" i="17"/>
  <c r="AE65" i="17"/>
  <c r="AD65" i="17"/>
  <c r="Q78" i="17"/>
  <c r="F66" i="17"/>
  <c r="W66" i="17"/>
  <c r="R66" i="17"/>
  <c r="T78" i="17"/>
  <c r="AC66" i="17"/>
  <c r="J66" i="17"/>
  <c r="V66" i="17"/>
  <c r="AD63" i="17"/>
  <c r="AG63" i="17"/>
  <c r="AE63" i="17"/>
  <c r="G78" i="17"/>
  <c r="J78" i="17"/>
  <c r="O78" i="17"/>
  <c r="AD61" i="17"/>
  <c r="AE61" i="17"/>
  <c r="AG61" i="17"/>
  <c r="AG64" i="17"/>
  <c r="AE64" i="17"/>
  <c r="AD64" i="17"/>
  <c r="X78" i="17"/>
  <c r="U78" i="17"/>
  <c r="Y78" i="17"/>
  <c r="N26" i="16"/>
  <c r="B26" i="16"/>
  <c r="B7" i="16"/>
  <c r="B15" i="16"/>
  <c r="B11" i="16"/>
  <c r="B10" i="16"/>
  <c r="B14" i="16"/>
  <c r="B22" i="16" s="1"/>
  <c r="B9" i="16"/>
  <c r="B8" i="16"/>
  <c r="B6" i="16"/>
  <c r="B5" i="16"/>
  <c r="AF54" i="18" l="1"/>
  <c r="AE54" i="18"/>
  <c r="AF42" i="18" s="1"/>
  <c r="AG54" i="18"/>
  <c r="AI54" i="18"/>
  <c r="AC42" i="18"/>
  <c r="AD54" i="18"/>
  <c r="AH54" i="18"/>
  <c r="AG66" i="17"/>
  <c r="AE66" i="17"/>
  <c r="AD66" i="17"/>
  <c r="AD78" i="17"/>
  <c r="AG78" i="17"/>
  <c r="AF78" i="17"/>
  <c r="AE78" i="17"/>
  <c r="AF66" i="17" s="1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W33" i="15"/>
  <c r="S33" i="15"/>
  <c r="O33" i="15"/>
  <c r="K33" i="15"/>
  <c r="G33" i="15"/>
  <c r="C33" i="15"/>
  <c r="S32" i="15"/>
  <c r="K32" i="15"/>
  <c r="C32" i="15"/>
  <c r="C28" i="15"/>
  <c r="AC28" i="15" s="1"/>
  <c r="C27" i="15"/>
  <c r="AC27" i="15" s="1"/>
  <c r="G26" i="15"/>
  <c r="AE26" i="15" s="1"/>
  <c r="N25" i="15"/>
  <c r="AI25" i="15" s="1"/>
  <c r="B25" i="15"/>
  <c r="AB25" i="15" s="1"/>
  <c r="AI42" i="18" l="1"/>
  <c r="AE42" i="18"/>
  <c r="AD42" i="18"/>
  <c r="AH42" i="18"/>
  <c r="AG42" i="18"/>
  <c r="AH48" i="15"/>
  <c r="AH52" i="15"/>
  <c r="AE51" i="15"/>
  <c r="AF39" i="15" s="1"/>
  <c r="AF51" i="15"/>
  <c r="AD51" i="15"/>
  <c r="AI51" i="15"/>
  <c r="AD52" i="15"/>
  <c r="AI52" i="15"/>
  <c r="AF48" i="15"/>
  <c r="AE48" i="15"/>
  <c r="AF36" i="15" s="1"/>
  <c r="AF52" i="15"/>
  <c r="AE52" i="15"/>
  <c r="AF40" i="15" s="1"/>
  <c r="AI48" i="15"/>
  <c r="AD48" i="15"/>
  <c r="AH51" i="15"/>
  <c r="AG52" i="15"/>
  <c r="AG48" i="15"/>
  <c r="AG51" i="15"/>
  <c r="AI49" i="15"/>
  <c r="AD49" i="15"/>
  <c r="AH49" i="15"/>
  <c r="AI50" i="15"/>
  <c r="AD50" i="15"/>
  <c r="AH50" i="15"/>
  <c r="AH53" i="15"/>
  <c r="AE49" i="15"/>
  <c r="AF49" i="15"/>
  <c r="AE50" i="15"/>
  <c r="AF50" i="15"/>
  <c r="AF53" i="15"/>
  <c r="AE53" i="15"/>
  <c r="AF41" i="15" s="1"/>
  <c r="L10" i="16" s="1"/>
  <c r="AG49" i="15"/>
  <c r="AG50" i="15"/>
  <c r="AG53" i="15"/>
  <c r="AI53" i="15"/>
  <c r="AD53" i="15"/>
  <c r="AC38" i="15"/>
  <c r="AC36" i="15"/>
  <c r="AD36" i="15" s="1"/>
  <c r="AC37" i="15"/>
  <c r="AC39" i="15"/>
  <c r="AC40" i="15"/>
  <c r="AC41" i="15"/>
  <c r="AI39" i="15" l="1"/>
  <c r="AH39" i="15"/>
  <c r="AD39" i="15"/>
  <c r="AG39" i="15"/>
  <c r="AE39" i="15"/>
  <c r="AI36" i="15"/>
  <c r="AH36" i="15"/>
  <c r="AG36" i="15"/>
  <c r="AE36" i="15"/>
  <c r="AE40" i="15"/>
  <c r="AD40" i="15"/>
  <c r="AH40" i="15"/>
  <c r="AG40" i="15"/>
  <c r="AI40" i="15"/>
  <c r="AE37" i="15"/>
  <c r="AD37" i="15"/>
  <c r="AI37" i="15"/>
  <c r="AH37" i="15"/>
  <c r="AG37" i="15"/>
  <c r="AG38" i="15"/>
  <c r="AE38" i="15"/>
  <c r="AI38" i="15"/>
  <c r="AH38" i="15"/>
  <c r="AD38" i="15"/>
  <c r="AF38" i="15"/>
  <c r="AE41" i="15"/>
  <c r="J10" i="16" s="1"/>
  <c r="AD41" i="15"/>
  <c r="H10" i="16" s="1"/>
  <c r="AI41" i="15"/>
  <c r="AH41" i="15"/>
  <c r="AG41" i="15"/>
  <c r="N10" i="16" s="1"/>
  <c r="AF37" i="15"/>
  <c r="S42" i="15"/>
  <c r="K42" i="15"/>
  <c r="C42" i="15"/>
  <c r="W42" i="15"/>
  <c r="Y42" i="15"/>
  <c r="Q42" i="15"/>
  <c r="I42" i="15"/>
  <c r="X42" i="15"/>
  <c r="P42" i="15"/>
  <c r="H42" i="15"/>
  <c r="G42" i="15"/>
  <c r="V42" i="15"/>
  <c r="N42" i="15"/>
  <c r="F42" i="15"/>
  <c r="U42" i="15"/>
  <c r="M42" i="15"/>
  <c r="E42" i="15"/>
  <c r="T42" i="15"/>
  <c r="L42" i="15"/>
  <c r="Z42" i="15"/>
  <c r="R42" i="15"/>
  <c r="J42" i="15"/>
  <c r="A42" i="15"/>
  <c r="AA42" i="15" s="1"/>
  <c r="G10" i="16" s="1"/>
  <c r="O42" i="15"/>
  <c r="D42" i="15"/>
  <c r="G50" i="6"/>
  <c r="AE50" i="6" s="1"/>
  <c r="G26" i="10"/>
  <c r="AE26" i="10" s="1"/>
  <c r="AB25" i="10"/>
  <c r="N25" i="10"/>
  <c r="AH25" i="10" s="1"/>
  <c r="C28" i="11"/>
  <c r="AC28" i="11" s="1"/>
  <c r="C27" i="11"/>
  <c r="AC27" i="11" s="1"/>
  <c r="G26" i="11"/>
  <c r="AE26" i="11" s="1"/>
  <c r="N25" i="11"/>
  <c r="AH25" i="11" s="1"/>
  <c r="B25" i="11"/>
  <c r="G26" i="6"/>
  <c r="C28" i="4"/>
  <c r="AC28" i="4" s="1"/>
  <c r="C27" i="4"/>
  <c r="AC27" i="4" s="1"/>
  <c r="G26" i="4"/>
  <c r="AE26" i="4" s="1"/>
  <c r="N25" i="4"/>
  <c r="AH25" i="4" s="1"/>
  <c r="B25" i="4"/>
  <c r="AB25" i="4" s="1"/>
  <c r="G26" i="12"/>
  <c r="AE26" i="12" s="1"/>
  <c r="G26" i="9"/>
  <c r="AE26" i="9" s="1"/>
  <c r="G26" i="13"/>
  <c r="G50" i="13" s="1"/>
  <c r="AE50" i="13" s="1"/>
  <c r="N25" i="12"/>
  <c r="AH25" i="12" s="1"/>
  <c r="N25" i="9"/>
  <c r="AH25" i="9" s="1"/>
  <c r="G26" i="8"/>
  <c r="G50" i="8" s="1"/>
  <c r="AE50" i="8" s="1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W69" i="13"/>
  <c r="S69" i="13"/>
  <c r="O69" i="13"/>
  <c r="K69" i="13"/>
  <c r="G69" i="13"/>
  <c r="C69" i="13"/>
  <c r="O68" i="13"/>
  <c r="C68" i="13"/>
  <c r="Z65" i="13"/>
  <c r="Y65" i="13"/>
  <c r="X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Z64" i="13"/>
  <c r="Y64" i="13"/>
  <c r="X64" i="13"/>
  <c r="W64" i="13"/>
  <c r="V64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Z63" i="13"/>
  <c r="Y63" i="13"/>
  <c r="X63" i="13"/>
  <c r="W63" i="13"/>
  <c r="V63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G63" i="13"/>
  <c r="F63" i="13"/>
  <c r="E63" i="13"/>
  <c r="D63" i="13"/>
  <c r="C63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Z61" i="13"/>
  <c r="Y61" i="13"/>
  <c r="X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W57" i="13"/>
  <c r="S57" i="13"/>
  <c r="O57" i="13"/>
  <c r="K57" i="13"/>
  <c r="G57" i="13"/>
  <c r="C57" i="13"/>
  <c r="O56" i="13"/>
  <c r="C56" i="13"/>
  <c r="C52" i="13"/>
  <c r="AC52" i="13" s="1"/>
  <c r="C51" i="13"/>
  <c r="AC51" i="13" s="1"/>
  <c r="N49" i="13"/>
  <c r="AI49" i="13" s="1"/>
  <c r="B49" i="13"/>
  <c r="AB49" i="13" s="1"/>
  <c r="C30" i="13"/>
  <c r="C29" i="13"/>
  <c r="A29" i="13"/>
  <c r="C28" i="13"/>
  <c r="C27" i="13"/>
  <c r="N25" i="13"/>
  <c r="B25" i="13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W33" i="12"/>
  <c r="S33" i="12"/>
  <c r="O33" i="12"/>
  <c r="K33" i="12"/>
  <c r="G33" i="12"/>
  <c r="C33" i="12"/>
  <c r="S32" i="12"/>
  <c r="K32" i="12"/>
  <c r="C32" i="12"/>
  <c r="C28" i="12"/>
  <c r="AC28" i="12" s="1"/>
  <c r="C27" i="12"/>
  <c r="AC27" i="12" s="1"/>
  <c r="B25" i="12"/>
  <c r="AB25" i="12" s="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W33" i="11"/>
  <c r="S33" i="11"/>
  <c r="O33" i="11"/>
  <c r="K33" i="11"/>
  <c r="G33" i="11"/>
  <c r="C33" i="11"/>
  <c r="S32" i="11"/>
  <c r="K32" i="11"/>
  <c r="C32" i="11"/>
  <c r="AB25" i="11"/>
  <c r="C30" i="6"/>
  <c r="C29" i="6"/>
  <c r="A29" i="6"/>
  <c r="C30" i="1"/>
  <c r="C29" i="1"/>
  <c r="A29" i="1"/>
  <c r="C30" i="8"/>
  <c r="C29" i="8"/>
  <c r="A29" i="8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W33" i="10"/>
  <c r="S33" i="10"/>
  <c r="O33" i="10"/>
  <c r="K33" i="10"/>
  <c r="G33" i="10"/>
  <c r="C33" i="10"/>
  <c r="C28" i="10"/>
  <c r="AC28" i="10" s="1"/>
  <c r="C27" i="10"/>
  <c r="AC27" i="10" s="1"/>
  <c r="B25" i="10"/>
  <c r="AD49" i="11" l="1"/>
  <c r="AD50" i="11"/>
  <c r="AD53" i="11"/>
  <c r="AC36" i="10"/>
  <c r="AC40" i="10"/>
  <c r="AF52" i="10"/>
  <c r="AE52" i="10"/>
  <c r="AF40" i="10" s="1"/>
  <c r="AC39" i="10"/>
  <c r="AE48" i="10"/>
  <c r="AF36" i="10" s="1"/>
  <c r="AF48" i="10"/>
  <c r="AD48" i="10"/>
  <c r="AD51" i="10"/>
  <c r="AD52" i="10"/>
  <c r="AE51" i="10"/>
  <c r="AF39" i="10" s="1"/>
  <c r="AF51" i="10"/>
  <c r="AI51" i="11"/>
  <c r="AD51" i="11"/>
  <c r="AD52" i="11"/>
  <c r="AI52" i="11"/>
  <c r="AE48" i="11"/>
  <c r="AF48" i="11"/>
  <c r="AF51" i="11"/>
  <c r="AE51" i="11"/>
  <c r="AF39" i="11" s="1"/>
  <c r="AF52" i="11"/>
  <c r="AE52" i="11"/>
  <c r="AF40" i="11" s="1"/>
  <c r="AD48" i="11"/>
  <c r="AI48" i="11"/>
  <c r="AH52" i="11"/>
  <c r="AH48" i="11"/>
  <c r="AG48" i="11"/>
  <c r="AG52" i="11"/>
  <c r="AI76" i="13"/>
  <c r="AD76" i="13"/>
  <c r="AG76" i="13"/>
  <c r="AG72" i="13"/>
  <c r="AF72" i="13"/>
  <c r="AE72" i="13"/>
  <c r="AF60" i="13" s="1"/>
  <c r="AF75" i="13"/>
  <c r="AE75" i="13"/>
  <c r="AF63" i="13" s="1"/>
  <c r="AF76" i="13"/>
  <c r="AE76" i="13"/>
  <c r="AF64" i="13" s="1"/>
  <c r="AH72" i="13"/>
  <c r="AH75" i="13"/>
  <c r="AH76" i="13"/>
  <c r="AD72" i="13"/>
  <c r="AI72" i="13"/>
  <c r="AI75" i="13"/>
  <c r="AD75" i="13"/>
  <c r="AG75" i="13"/>
  <c r="AD48" i="12"/>
  <c r="AI48" i="12"/>
  <c r="AH48" i="12"/>
  <c r="AD51" i="12"/>
  <c r="AI51" i="12"/>
  <c r="AH51" i="12"/>
  <c r="AD52" i="12"/>
  <c r="AI52" i="12"/>
  <c r="AH52" i="12"/>
  <c r="AE48" i="12"/>
  <c r="AF36" i="12" s="1"/>
  <c r="AF48" i="12"/>
  <c r="AF52" i="12"/>
  <c r="AE52" i="12"/>
  <c r="AF40" i="12" s="1"/>
  <c r="AE51" i="12"/>
  <c r="AF39" i="12" s="1"/>
  <c r="AF51" i="12"/>
  <c r="AG48" i="12"/>
  <c r="AG49" i="12"/>
  <c r="AG50" i="12"/>
  <c r="AG51" i="12"/>
  <c r="AG52" i="12"/>
  <c r="AG53" i="12"/>
  <c r="AH49" i="12"/>
  <c r="AH50" i="12"/>
  <c r="AH53" i="12"/>
  <c r="AD53" i="10"/>
  <c r="AG54" i="15"/>
  <c r="AI54" i="15"/>
  <c r="AD54" i="15"/>
  <c r="AF49" i="12"/>
  <c r="AE49" i="12"/>
  <c r="AF50" i="12"/>
  <c r="AE50" i="12"/>
  <c r="AF53" i="12"/>
  <c r="AE53" i="12"/>
  <c r="AF41" i="12" s="1"/>
  <c r="AH54" i="15"/>
  <c r="AD49" i="12"/>
  <c r="AI49" i="12"/>
  <c r="AI50" i="12"/>
  <c r="AD50" i="12"/>
  <c r="AI53" i="12"/>
  <c r="AD53" i="12"/>
  <c r="AD49" i="10"/>
  <c r="AD50" i="10"/>
  <c r="AF49" i="10"/>
  <c r="AE49" i="10"/>
  <c r="AF37" i="10" s="1"/>
  <c r="AF50" i="10"/>
  <c r="AE50" i="10"/>
  <c r="AF38" i="10" s="1"/>
  <c r="AF53" i="10"/>
  <c r="AE53" i="10"/>
  <c r="AF41" i="10" s="1"/>
  <c r="L26" i="16" s="1"/>
  <c r="AI73" i="13"/>
  <c r="AD73" i="13"/>
  <c r="AG74" i="13"/>
  <c r="AI74" i="13"/>
  <c r="AD74" i="13"/>
  <c r="AI77" i="13"/>
  <c r="AD77" i="13"/>
  <c r="AE54" i="15"/>
  <c r="AF54" i="15"/>
  <c r="AC38" i="10"/>
  <c r="AH49" i="11"/>
  <c r="AE73" i="13"/>
  <c r="AF73" i="13"/>
  <c r="AF74" i="13"/>
  <c r="AE74" i="13"/>
  <c r="AE77" i="13"/>
  <c r="AF77" i="13"/>
  <c r="AF49" i="11"/>
  <c r="AE49" i="11"/>
  <c r="AF37" i="11" s="1"/>
  <c r="AE50" i="11"/>
  <c r="AF38" i="11" s="1"/>
  <c r="AF50" i="11"/>
  <c r="AE53" i="11"/>
  <c r="AF41" i="11" s="1"/>
  <c r="L7" i="16" s="1"/>
  <c r="AF53" i="11"/>
  <c r="AC37" i="10"/>
  <c r="AH50" i="11"/>
  <c r="AH53" i="11"/>
  <c r="AH73" i="13"/>
  <c r="AH74" i="13"/>
  <c r="AH77" i="13"/>
  <c r="AG51" i="11"/>
  <c r="AH51" i="11"/>
  <c r="AG53" i="11"/>
  <c r="AI53" i="11"/>
  <c r="AG49" i="11"/>
  <c r="AI49" i="11"/>
  <c r="AG50" i="11"/>
  <c r="AI50" i="11"/>
  <c r="AG73" i="13"/>
  <c r="AG77" i="13"/>
  <c r="AC40" i="12"/>
  <c r="AC42" i="15"/>
  <c r="AC60" i="13"/>
  <c r="AC62" i="13"/>
  <c r="AC63" i="13"/>
  <c r="AC64" i="13"/>
  <c r="L22" i="16"/>
  <c r="AC38" i="12"/>
  <c r="AC39" i="12"/>
  <c r="AC61" i="13"/>
  <c r="AC65" i="13"/>
  <c r="AC37" i="12"/>
  <c r="AC41" i="12"/>
  <c r="AC36" i="12"/>
  <c r="AC41" i="11"/>
  <c r="AC36" i="11"/>
  <c r="AC37" i="11"/>
  <c r="AC38" i="11"/>
  <c r="AC39" i="11"/>
  <c r="AC40" i="11"/>
  <c r="AC41" i="10"/>
  <c r="AF37" i="12" l="1"/>
  <c r="AF38" i="12"/>
  <c r="AF36" i="11"/>
  <c r="AF42" i="15"/>
  <c r="AF65" i="13"/>
  <c r="L11" i="16" s="1"/>
  <c r="AF62" i="13"/>
  <c r="AF61" i="13"/>
  <c r="AI65" i="13"/>
  <c r="AD39" i="10"/>
  <c r="AE39" i="10"/>
  <c r="AE40" i="10"/>
  <c r="AD40" i="10"/>
  <c r="AE36" i="10"/>
  <c r="AD36" i="10"/>
  <c r="AI40" i="11"/>
  <c r="AE40" i="11"/>
  <c r="AH40" i="11"/>
  <c r="AG40" i="11"/>
  <c r="AD40" i="11"/>
  <c r="AD60" i="13"/>
  <c r="AI60" i="13"/>
  <c r="AE60" i="13"/>
  <c r="AG60" i="13"/>
  <c r="AH60" i="13"/>
  <c r="AH62" i="13"/>
  <c r="AI62" i="13"/>
  <c r="AI61" i="13"/>
  <c r="AH64" i="13"/>
  <c r="AD64" i="13"/>
  <c r="AI64" i="13"/>
  <c r="AE64" i="13"/>
  <c r="AG64" i="13"/>
  <c r="AI63" i="13"/>
  <c r="AE63" i="13"/>
  <c r="AH63" i="13"/>
  <c r="AG63" i="13"/>
  <c r="AD63" i="13"/>
  <c r="AH36" i="12"/>
  <c r="AD36" i="12"/>
  <c r="AI36" i="12"/>
  <c r="AE36" i="12"/>
  <c r="AG36" i="12"/>
  <c r="AI39" i="12"/>
  <c r="AG39" i="12"/>
  <c r="AE39" i="12"/>
  <c r="AD39" i="12"/>
  <c r="AH39" i="12"/>
  <c r="AE40" i="12"/>
  <c r="AI40" i="12"/>
  <c r="AD40" i="12"/>
  <c r="AG40" i="12"/>
  <c r="AH40" i="12"/>
  <c r="AE38" i="10"/>
  <c r="AD38" i="10"/>
  <c r="AE37" i="10"/>
  <c r="AD37" i="10"/>
  <c r="AE41" i="10"/>
  <c r="J26" i="16" s="1"/>
  <c r="AD41" i="10"/>
  <c r="H26" i="16" s="1"/>
  <c r="AH41" i="12"/>
  <c r="AE41" i="12"/>
  <c r="J22" i="16" s="1"/>
  <c r="AD41" i="12"/>
  <c r="AI41" i="12"/>
  <c r="AG41" i="12"/>
  <c r="N22" i="16" s="1"/>
  <c r="AD61" i="13"/>
  <c r="AG61" i="13"/>
  <c r="AH61" i="13"/>
  <c r="AE61" i="13"/>
  <c r="AG42" i="15"/>
  <c r="AE42" i="15"/>
  <c r="AI42" i="15"/>
  <c r="AH42" i="15"/>
  <c r="AD42" i="15"/>
  <c r="AE38" i="12"/>
  <c r="AH38" i="12"/>
  <c r="AD38" i="12"/>
  <c r="AG38" i="12"/>
  <c r="AI38" i="12"/>
  <c r="AH37" i="12"/>
  <c r="AG37" i="12"/>
  <c r="AE37" i="12"/>
  <c r="AD37" i="12"/>
  <c r="AI37" i="12"/>
  <c r="AE62" i="13"/>
  <c r="AD62" i="13"/>
  <c r="AG62" i="13"/>
  <c r="AD65" i="13"/>
  <c r="H11" i="16" s="1"/>
  <c r="I11" i="16" s="1"/>
  <c r="AH65" i="13"/>
  <c r="AG65" i="13"/>
  <c r="N11" i="16" s="1"/>
  <c r="O11" i="16" s="1"/>
  <c r="AE65" i="13"/>
  <c r="J11" i="16" s="1"/>
  <c r="K11" i="16" s="1"/>
  <c r="AI39" i="11"/>
  <c r="AH39" i="11"/>
  <c r="AG39" i="11"/>
  <c r="AE39" i="11"/>
  <c r="AD39" i="11"/>
  <c r="AI38" i="11"/>
  <c r="AH38" i="11"/>
  <c r="AG38" i="11"/>
  <c r="AE38" i="11"/>
  <c r="AD38" i="11"/>
  <c r="AI37" i="11"/>
  <c r="AG37" i="11"/>
  <c r="AH37" i="11"/>
  <c r="AE37" i="11"/>
  <c r="AD37" i="11"/>
  <c r="AI41" i="11"/>
  <c r="AH41" i="11"/>
  <c r="AG41" i="11"/>
  <c r="N7" i="16" s="1"/>
  <c r="AD41" i="11"/>
  <c r="H7" i="16" s="1"/>
  <c r="AE41" i="11"/>
  <c r="J7" i="16" s="1"/>
  <c r="AH36" i="11"/>
  <c r="AE36" i="11"/>
  <c r="AG36" i="11"/>
  <c r="AD36" i="11"/>
  <c r="AI36" i="11"/>
  <c r="N78" i="13"/>
  <c r="S66" i="13"/>
  <c r="V78" i="13"/>
  <c r="E22" i="16"/>
  <c r="E26" i="16"/>
  <c r="D78" i="13"/>
  <c r="H66" i="13"/>
  <c r="E78" i="13"/>
  <c r="P66" i="13"/>
  <c r="M78" i="13"/>
  <c r="Y66" i="13"/>
  <c r="C66" i="13"/>
  <c r="U78" i="13"/>
  <c r="A78" i="13"/>
  <c r="J78" i="13"/>
  <c r="K66" i="13"/>
  <c r="T66" i="13"/>
  <c r="AC66" i="13"/>
  <c r="W78" i="13"/>
  <c r="AA66" i="13"/>
  <c r="G11" i="16" s="1"/>
  <c r="L78" i="13"/>
  <c r="K78" i="13"/>
  <c r="G66" i="13"/>
  <c r="X66" i="13"/>
  <c r="Q78" i="13"/>
  <c r="R78" i="13"/>
  <c r="C78" i="13"/>
  <c r="T78" i="13"/>
  <c r="F66" i="13"/>
  <c r="O66" i="13"/>
  <c r="H78" i="13"/>
  <c r="Y78" i="13"/>
  <c r="Z78" i="13"/>
  <c r="S78" i="13"/>
  <c r="E66" i="13"/>
  <c r="N66" i="13"/>
  <c r="W66" i="13"/>
  <c r="P78" i="13"/>
  <c r="A66" i="13"/>
  <c r="D66" i="13"/>
  <c r="M66" i="13"/>
  <c r="V66" i="13"/>
  <c r="G78" i="13"/>
  <c r="X78" i="13"/>
  <c r="J66" i="13"/>
  <c r="L66" i="13"/>
  <c r="U66" i="13"/>
  <c r="F78" i="13"/>
  <c r="O78" i="13"/>
  <c r="I66" i="13"/>
  <c r="R66" i="13"/>
  <c r="Q66" i="13"/>
  <c r="Z66" i="13"/>
  <c r="I78" i="13"/>
  <c r="Y42" i="12"/>
  <c r="Q42" i="12"/>
  <c r="I42" i="12"/>
  <c r="N42" i="12"/>
  <c r="R42" i="12"/>
  <c r="X42" i="12"/>
  <c r="P42" i="12"/>
  <c r="H42" i="12"/>
  <c r="F42" i="12"/>
  <c r="J42" i="12"/>
  <c r="A42" i="12"/>
  <c r="AA42" i="12" s="1"/>
  <c r="W42" i="12"/>
  <c r="O42" i="12"/>
  <c r="G42" i="12"/>
  <c r="V42" i="12"/>
  <c r="S42" i="12"/>
  <c r="C42" i="12"/>
  <c r="U42" i="12"/>
  <c r="M42" i="12"/>
  <c r="E42" i="12"/>
  <c r="T42" i="12"/>
  <c r="L42" i="12"/>
  <c r="D42" i="12"/>
  <c r="K42" i="12"/>
  <c r="Z42" i="12"/>
  <c r="T42" i="11"/>
  <c r="C42" i="11"/>
  <c r="U42" i="11"/>
  <c r="G42" i="11"/>
  <c r="K42" i="11"/>
  <c r="O42" i="11"/>
  <c r="S42" i="11"/>
  <c r="F42" i="11"/>
  <c r="W42" i="11"/>
  <c r="D42" i="11"/>
  <c r="N42" i="11"/>
  <c r="P42" i="11"/>
  <c r="L42" i="11"/>
  <c r="V42" i="11"/>
  <c r="H42" i="11"/>
  <c r="X42" i="11"/>
  <c r="I42" i="11"/>
  <c r="J42" i="11"/>
  <c r="E42" i="11"/>
  <c r="R42" i="11"/>
  <c r="A42" i="11"/>
  <c r="AA42" i="11" s="1"/>
  <c r="G7" i="16" s="1"/>
  <c r="M42" i="11"/>
  <c r="Z42" i="11"/>
  <c r="Q42" i="11"/>
  <c r="Y42" i="11"/>
  <c r="Y42" i="10"/>
  <c r="Q42" i="10"/>
  <c r="I42" i="10"/>
  <c r="S42" i="10"/>
  <c r="Z42" i="10"/>
  <c r="A42" i="10"/>
  <c r="AA42" i="10" s="1"/>
  <c r="G26" i="16" s="1"/>
  <c r="G27" i="16" s="1"/>
  <c r="X42" i="10"/>
  <c r="P42" i="10"/>
  <c r="H42" i="10"/>
  <c r="W42" i="10"/>
  <c r="V42" i="10"/>
  <c r="F42" i="10"/>
  <c r="C42" i="10"/>
  <c r="J42" i="10"/>
  <c r="O42" i="10"/>
  <c r="G42" i="10"/>
  <c r="N42" i="10"/>
  <c r="K42" i="10"/>
  <c r="R42" i="10"/>
  <c r="U42" i="10"/>
  <c r="M42" i="10"/>
  <c r="E42" i="10"/>
  <c r="T42" i="10"/>
  <c r="L42" i="10"/>
  <c r="D42" i="10"/>
  <c r="O22" i="16" l="1"/>
  <c r="M11" i="16"/>
  <c r="G22" i="16"/>
  <c r="G14" i="16"/>
  <c r="H22" i="16"/>
  <c r="I22" i="16" s="1"/>
  <c r="H14" i="16"/>
  <c r="I14" i="16" s="1"/>
  <c r="AE78" i="13"/>
  <c r="AF78" i="13"/>
  <c r="AD78" i="13"/>
  <c r="AD66" i="13" s="1"/>
  <c r="AI78" i="13"/>
  <c r="AI66" i="13" s="1"/>
  <c r="AI54" i="12"/>
  <c r="AD54" i="12"/>
  <c r="AF54" i="10"/>
  <c r="AE54" i="10"/>
  <c r="AF42" i="10" s="1"/>
  <c r="AH54" i="12"/>
  <c r="AH78" i="13"/>
  <c r="AH66" i="13" s="1"/>
  <c r="AD54" i="10"/>
  <c r="AG54" i="12"/>
  <c r="AE54" i="12"/>
  <c r="AF42" i="12" s="1"/>
  <c r="AF54" i="12"/>
  <c r="AF54" i="11"/>
  <c r="AE54" i="11"/>
  <c r="AD54" i="11"/>
  <c r="AI54" i="11"/>
  <c r="AH54" i="11"/>
  <c r="AG54" i="11"/>
  <c r="AG78" i="13"/>
  <c r="AG66" i="13" s="1"/>
  <c r="K26" i="16"/>
  <c r="M26" i="16" s="1"/>
  <c r="I26" i="16"/>
  <c r="K22" i="16"/>
  <c r="M22" i="16"/>
  <c r="AC42" i="12"/>
  <c r="AC42" i="11"/>
  <c r="AC42" i="10"/>
  <c r="AF42" i="11" l="1"/>
  <c r="AF66" i="13"/>
  <c r="AE42" i="10"/>
  <c r="AD42" i="10"/>
  <c r="F26" i="16"/>
  <c r="AE42" i="12"/>
  <c r="AD42" i="12"/>
  <c r="F22" i="16"/>
  <c r="AH42" i="12"/>
  <c r="AG42" i="12"/>
  <c r="AI42" i="12"/>
  <c r="AE66" i="13"/>
  <c r="AD42" i="11"/>
  <c r="AI42" i="11"/>
  <c r="AH42" i="11"/>
  <c r="AG42" i="11"/>
  <c r="AE42" i="11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W33" i="9"/>
  <c r="S33" i="9"/>
  <c r="O33" i="9"/>
  <c r="K33" i="9"/>
  <c r="G33" i="9"/>
  <c r="C33" i="9"/>
  <c r="S32" i="9"/>
  <c r="K32" i="9"/>
  <c r="C32" i="9"/>
  <c r="C28" i="9"/>
  <c r="AC28" i="9" s="1"/>
  <c r="C27" i="9"/>
  <c r="AC27" i="9" s="1"/>
  <c r="B25" i="9"/>
  <c r="AB25" i="9" s="1"/>
  <c r="AG51" i="9" l="1"/>
  <c r="AG52" i="9"/>
  <c r="AG48" i="9"/>
  <c r="AE51" i="9"/>
  <c r="AF51" i="9"/>
  <c r="AE48" i="9"/>
  <c r="AF48" i="9"/>
  <c r="AD48" i="9"/>
  <c r="AD49" i="9"/>
  <c r="AD51" i="9"/>
  <c r="AD52" i="9"/>
  <c r="AD53" i="9"/>
  <c r="AF52" i="9"/>
  <c r="AE52" i="9"/>
  <c r="AF40" i="9" s="1"/>
  <c r="AD50" i="9"/>
  <c r="AG49" i="9"/>
  <c r="AG50" i="9"/>
  <c r="AG53" i="9"/>
  <c r="AF49" i="9"/>
  <c r="AE49" i="9"/>
  <c r="AF37" i="9" s="1"/>
  <c r="AF50" i="9"/>
  <c r="AE50" i="9"/>
  <c r="AF53" i="9"/>
  <c r="AE53" i="9"/>
  <c r="AH36" i="9"/>
  <c r="AH37" i="9"/>
  <c r="AH38" i="9"/>
  <c r="AH39" i="9"/>
  <c r="AH40" i="9"/>
  <c r="AH41" i="9"/>
  <c r="AC36" i="9"/>
  <c r="AC37" i="9"/>
  <c r="AC38" i="9"/>
  <c r="AC39" i="9"/>
  <c r="AC40" i="9"/>
  <c r="AC41" i="9"/>
  <c r="G69" i="8"/>
  <c r="K69" i="8"/>
  <c r="O69" i="8"/>
  <c r="S69" i="8"/>
  <c r="W69" i="8"/>
  <c r="O68" i="8"/>
  <c r="C69" i="8"/>
  <c r="C68" i="8"/>
  <c r="G57" i="8"/>
  <c r="K57" i="8"/>
  <c r="O57" i="8"/>
  <c r="S57" i="8"/>
  <c r="W57" i="8"/>
  <c r="O56" i="8"/>
  <c r="C57" i="8"/>
  <c r="C56" i="8"/>
  <c r="G69" i="6"/>
  <c r="K69" i="6"/>
  <c r="O69" i="6"/>
  <c r="S69" i="6"/>
  <c r="W69" i="6"/>
  <c r="O68" i="6"/>
  <c r="C69" i="6"/>
  <c r="C68" i="6"/>
  <c r="G57" i="6"/>
  <c r="K57" i="6"/>
  <c r="O57" i="6"/>
  <c r="S57" i="6"/>
  <c r="W57" i="6"/>
  <c r="O56" i="6"/>
  <c r="C57" i="6"/>
  <c r="C56" i="6"/>
  <c r="G33" i="4"/>
  <c r="K33" i="4"/>
  <c r="O33" i="4"/>
  <c r="S33" i="4"/>
  <c r="W33" i="4"/>
  <c r="C33" i="4"/>
  <c r="S32" i="4"/>
  <c r="K32" i="4"/>
  <c r="C32" i="4"/>
  <c r="AF38" i="9" l="1"/>
  <c r="AF39" i="9"/>
  <c r="AF36" i="9"/>
  <c r="AD36" i="9"/>
  <c r="AG36" i="9"/>
  <c r="AE36" i="9"/>
  <c r="AD40" i="9"/>
  <c r="AE40" i="9"/>
  <c r="AG40" i="9"/>
  <c r="AG39" i="9"/>
  <c r="AD39" i="9"/>
  <c r="AE39" i="9"/>
  <c r="AE41" i="9"/>
  <c r="J9" i="16" s="1"/>
  <c r="K9" i="16" s="1"/>
  <c r="AD41" i="9"/>
  <c r="H9" i="16" s="1"/>
  <c r="I9" i="16" s="1"/>
  <c r="AG41" i="9"/>
  <c r="N9" i="16" s="1"/>
  <c r="O9" i="16" s="1"/>
  <c r="AE38" i="9"/>
  <c r="AD38" i="9"/>
  <c r="AG38" i="9"/>
  <c r="AG37" i="9"/>
  <c r="AE37" i="9"/>
  <c r="AD37" i="9"/>
  <c r="AF41" i="9"/>
  <c r="L9" i="16" s="1"/>
  <c r="S42" i="9"/>
  <c r="K42" i="9"/>
  <c r="C42" i="9"/>
  <c r="Y42" i="9"/>
  <c r="Z42" i="9"/>
  <c r="R42" i="9"/>
  <c r="J42" i="9"/>
  <c r="A42" i="9"/>
  <c r="AA42" i="9" s="1"/>
  <c r="G9" i="16" s="1"/>
  <c r="X42" i="9"/>
  <c r="P42" i="9"/>
  <c r="H42" i="9"/>
  <c r="W42" i="9"/>
  <c r="O42" i="9"/>
  <c r="G42" i="9"/>
  <c r="V42" i="9"/>
  <c r="N42" i="9"/>
  <c r="F42" i="9"/>
  <c r="U42" i="9"/>
  <c r="M42" i="9"/>
  <c r="E42" i="9"/>
  <c r="T42" i="9"/>
  <c r="L42" i="9"/>
  <c r="D42" i="9"/>
  <c r="Q42" i="9"/>
  <c r="I42" i="9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C77" i="8"/>
  <c r="C76" i="8"/>
  <c r="C75" i="8"/>
  <c r="C74" i="8"/>
  <c r="C73" i="8"/>
  <c r="C72" i="8"/>
  <c r="C65" i="8"/>
  <c r="C64" i="8"/>
  <c r="C63" i="8"/>
  <c r="C62" i="8"/>
  <c r="C61" i="8"/>
  <c r="C60" i="8"/>
  <c r="C52" i="8"/>
  <c r="AC52" i="8" s="1"/>
  <c r="C51" i="8"/>
  <c r="AC51" i="8" s="1"/>
  <c r="N49" i="8"/>
  <c r="AH49" i="8" s="1"/>
  <c r="B49" i="8"/>
  <c r="AB49" i="8" s="1"/>
  <c r="C28" i="8"/>
  <c r="C27" i="8"/>
  <c r="N25" i="8"/>
  <c r="B25" i="8"/>
  <c r="M9" i="16" l="1"/>
  <c r="AD76" i="8"/>
  <c r="AD77" i="8"/>
  <c r="AE75" i="8"/>
  <c r="AF75" i="8"/>
  <c r="AE72" i="8"/>
  <c r="AF72" i="8"/>
  <c r="AD72" i="8"/>
  <c r="AC60" i="8"/>
  <c r="AE76" i="8"/>
  <c r="AF76" i="8"/>
  <c r="AD75" i="8"/>
  <c r="AF77" i="8"/>
  <c r="AE77" i="8"/>
  <c r="AF73" i="8"/>
  <c r="AE73" i="8"/>
  <c r="AF54" i="9"/>
  <c r="AE54" i="9"/>
  <c r="AE74" i="8"/>
  <c r="AF74" i="8"/>
  <c r="AD54" i="9"/>
  <c r="AD73" i="8"/>
  <c r="AD74" i="8"/>
  <c r="AG54" i="9"/>
  <c r="AC63" i="8"/>
  <c r="AG77" i="8"/>
  <c r="AI41" i="9" s="1"/>
  <c r="AJ41" i="9" s="1"/>
  <c r="AG72" i="8"/>
  <c r="AI36" i="9" s="1"/>
  <c r="AJ36" i="9" s="1"/>
  <c r="AG73" i="8"/>
  <c r="AG74" i="8"/>
  <c r="AG75" i="8"/>
  <c r="AC62" i="8"/>
  <c r="AG76" i="8"/>
  <c r="AC64" i="8"/>
  <c r="AC65" i="8"/>
  <c r="AC61" i="8"/>
  <c r="AH42" i="9"/>
  <c r="AC42" i="9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C77" i="6"/>
  <c r="C76" i="6"/>
  <c r="C75" i="6"/>
  <c r="C74" i="6"/>
  <c r="C73" i="6"/>
  <c r="C72" i="6"/>
  <c r="C65" i="6"/>
  <c r="C64" i="6"/>
  <c r="C63" i="6"/>
  <c r="C62" i="6"/>
  <c r="C61" i="6"/>
  <c r="C60" i="6"/>
  <c r="C52" i="6"/>
  <c r="AC52" i="6" s="1"/>
  <c r="C51" i="6"/>
  <c r="AC51" i="6" s="1"/>
  <c r="N49" i="6"/>
  <c r="AH49" i="6" s="1"/>
  <c r="B49" i="6"/>
  <c r="AB49" i="6" s="1"/>
  <c r="C28" i="6"/>
  <c r="C27" i="6"/>
  <c r="N25" i="6"/>
  <c r="B25" i="6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C77" i="1"/>
  <c r="C65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C76" i="1"/>
  <c r="C75" i="1"/>
  <c r="C74" i="1"/>
  <c r="C73" i="1"/>
  <c r="C72" i="1"/>
  <c r="O69" i="1"/>
  <c r="K69" i="1"/>
  <c r="K68" i="1"/>
  <c r="G69" i="1"/>
  <c r="C69" i="1"/>
  <c r="C68" i="1"/>
  <c r="O57" i="1"/>
  <c r="K57" i="1"/>
  <c r="K56" i="1"/>
  <c r="G57" i="1"/>
  <c r="C57" i="1"/>
  <c r="C60" i="1"/>
  <c r="F26" i="1"/>
  <c r="C28" i="1"/>
  <c r="C27" i="1"/>
  <c r="B25" i="1"/>
  <c r="R64" i="1"/>
  <c r="Q64" i="1"/>
  <c r="P64" i="1"/>
  <c r="O64" i="1"/>
  <c r="N64" i="1"/>
  <c r="M64" i="1"/>
  <c r="L64" i="1"/>
  <c r="K64" i="1"/>
  <c r="R63" i="1"/>
  <c r="Q63" i="1"/>
  <c r="P63" i="1"/>
  <c r="O63" i="1"/>
  <c r="N63" i="1"/>
  <c r="M63" i="1"/>
  <c r="L63" i="1"/>
  <c r="K63" i="1"/>
  <c r="R62" i="1"/>
  <c r="Q62" i="1"/>
  <c r="P62" i="1"/>
  <c r="O62" i="1"/>
  <c r="N62" i="1"/>
  <c r="M62" i="1"/>
  <c r="L62" i="1"/>
  <c r="K62" i="1"/>
  <c r="R61" i="1"/>
  <c r="Q61" i="1"/>
  <c r="P61" i="1"/>
  <c r="O61" i="1"/>
  <c r="N61" i="1"/>
  <c r="M61" i="1"/>
  <c r="L61" i="1"/>
  <c r="K61" i="1"/>
  <c r="R60" i="1"/>
  <c r="Q60" i="1"/>
  <c r="P60" i="1"/>
  <c r="O60" i="1"/>
  <c r="N60" i="1"/>
  <c r="M60" i="1"/>
  <c r="L60" i="1"/>
  <c r="K60" i="1"/>
  <c r="C56" i="1"/>
  <c r="F50" i="1"/>
  <c r="W50" i="1" s="1"/>
  <c r="F64" i="1"/>
  <c r="F63" i="1"/>
  <c r="F62" i="1"/>
  <c r="F61" i="1"/>
  <c r="AF65" i="8" l="1"/>
  <c r="L8" i="16" s="1"/>
  <c r="AF61" i="8"/>
  <c r="AF60" i="8"/>
  <c r="AF42" i="9"/>
  <c r="AF63" i="6"/>
  <c r="AD60" i="8"/>
  <c r="AE60" i="8"/>
  <c r="AG60" i="8"/>
  <c r="AF64" i="8"/>
  <c r="AD64" i="8"/>
  <c r="AG64" i="8"/>
  <c r="AE64" i="8"/>
  <c r="AG63" i="8"/>
  <c r="AE63" i="8"/>
  <c r="AD63" i="8"/>
  <c r="AF63" i="8"/>
  <c r="V77" i="1"/>
  <c r="AF62" i="8"/>
  <c r="W77" i="1"/>
  <c r="X77" i="1"/>
  <c r="AE62" i="8"/>
  <c r="AD62" i="8"/>
  <c r="AG62" i="8"/>
  <c r="AG61" i="8"/>
  <c r="AE61" i="8"/>
  <c r="AD61" i="8"/>
  <c r="AE42" i="9"/>
  <c r="AD42" i="9"/>
  <c r="AG42" i="9"/>
  <c r="AE65" i="8"/>
  <c r="J8" i="16" s="1"/>
  <c r="K8" i="16" s="1"/>
  <c r="AG65" i="8"/>
  <c r="N8" i="16" s="1"/>
  <c r="O8" i="16" s="1"/>
  <c r="AD65" i="8"/>
  <c r="H8" i="16" s="1"/>
  <c r="I8" i="16" s="1"/>
  <c r="AF62" i="6"/>
  <c r="Y72" i="1"/>
  <c r="Y77" i="1"/>
  <c r="Y74" i="1"/>
  <c r="Y73" i="1"/>
  <c r="Y75" i="1"/>
  <c r="Y76" i="1"/>
  <c r="U65" i="1"/>
  <c r="L15" i="16"/>
  <c r="AH62" i="6"/>
  <c r="AF61" i="6"/>
  <c r="AH63" i="6"/>
  <c r="AF64" i="6"/>
  <c r="AH64" i="6"/>
  <c r="AH65" i="6"/>
  <c r="AH60" i="6"/>
  <c r="AF60" i="6"/>
  <c r="AH61" i="6"/>
  <c r="AI40" i="9"/>
  <c r="AJ40" i="9" s="1"/>
  <c r="AI39" i="9"/>
  <c r="AJ39" i="9" s="1"/>
  <c r="AI38" i="9"/>
  <c r="AJ38" i="9" s="1"/>
  <c r="AI37" i="9"/>
  <c r="AJ37" i="9" s="1"/>
  <c r="AC66" i="8"/>
  <c r="E78" i="8"/>
  <c r="N78" i="8"/>
  <c r="W78" i="8"/>
  <c r="O78" i="8"/>
  <c r="U78" i="8"/>
  <c r="F78" i="8"/>
  <c r="V78" i="8"/>
  <c r="H78" i="8"/>
  <c r="P78" i="8"/>
  <c r="X78" i="8"/>
  <c r="I78" i="8"/>
  <c r="Q78" i="8"/>
  <c r="Y78" i="8"/>
  <c r="J78" i="8"/>
  <c r="R78" i="8"/>
  <c r="Z78" i="8"/>
  <c r="K78" i="8"/>
  <c r="S78" i="8"/>
  <c r="D78" i="8"/>
  <c r="L78" i="8"/>
  <c r="T78" i="8"/>
  <c r="M78" i="8"/>
  <c r="G78" i="8"/>
  <c r="U66" i="8"/>
  <c r="D66" i="8"/>
  <c r="F66" i="8"/>
  <c r="T66" i="8"/>
  <c r="V66" i="8"/>
  <c r="G66" i="8"/>
  <c r="O66" i="8"/>
  <c r="W66" i="8"/>
  <c r="H66" i="8"/>
  <c r="P66" i="8"/>
  <c r="X66" i="8"/>
  <c r="I66" i="8"/>
  <c r="Q66" i="8"/>
  <c r="Y66" i="8"/>
  <c r="J66" i="8"/>
  <c r="R66" i="8"/>
  <c r="Z66" i="8"/>
  <c r="K66" i="8"/>
  <c r="S66" i="8"/>
  <c r="L66" i="8"/>
  <c r="E66" i="8"/>
  <c r="M66" i="8"/>
  <c r="N66" i="8"/>
  <c r="AA66" i="8"/>
  <c r="G8" i="16" s="1"/>
  <c r="A66" i="8"/>
  <c r="A78" i="8"/>
  <c r="C78" i="8"/>
  <c r="C66" i="8"/>
  <c r="AC61" i="6"/>
  <c r="AE61" i="6" s="1"/>
  <c r="AC63" i="6"/>
  <c r="AD63" i="6" s="1"/>
  <c r="AC62" i="6"/>
  <c r="AC60" i="6"/>
  <c r="AD60" i="6" s="1"/>
  <c r="AC64" i="6"/>
  <c r="AD64" i="6" s="1"/>
  <c r="D60" i="1"/>
  <c r="E60" i="1"/>
  <c r="F60" i="1"/>
  <c r="G60" i="1"/>
  <c r="H60" i="1"/>
  <c r="I60" i="1"/>
  <c r="J60" i="1"/>
  <c r="D61" i="1"/>
  <c r="E61" i="1"/>
  <c r="G61" i="1"/>
  <c r="H61" i="1"/>
  <c r="I61" i="1"/>
  <c r="J61" i="1"/>
  <c r="D62" i="1"/>
  <c r="E62" i="1"/>
  <c r="G62" i="1"/>
  <c r="H62" i="1"/>
  <c r="I62" i="1"/>
  <c r="J62" i="1"/>
  <c r="D63" i="1"/>
  <c r="E63" i="1"/>
  <c r="G63" i="1"/>
  <c r="H63" i="1"/>
  <c r="I63" i="1"/>
  <c r="J63" i="1"/>
  <c r="D64" i="1"/>
  <c r="E64" i="1"/>
  <c r="G64" i="1"/>
  <c r="H64" i="1"/>
  <c r="I64" i="1"/>
  <c r="J64" i="1"/>
  <c r="C52" i="1"/>
  <c r="U52" i="1" s="1"/>
  <c r="C51" i="1"/>
  <c r="U51" i="1" s="1"/>
  <c r="B49" i="1"/>
  <c r="T49" i="1" s="1"/>
  <c r="C64" i="1"/>
  <c r="C63" i="1"/>
  <c r="C62" i="1"/>
  <c r="C61" i="1"/>
  <c r="M8" i="16" l="1"/>
  <c r="V75" i="1"/>
  <c r="V76" i="1"/>
  <c r="X72" i="1"/>
  <c r="W72" i="1"/>
  <c r="X60" i="1" s="1"/>
  <c r="X75" i="1"/>
  <c r="W75" i="1"/>
  <c r="W76" i="1"/>
  <c r="X64" i="1" s="1"/>
  <c r="X76" i="1"/>
  <c r="V72" i="1"/>
  <c r="W73" i="1"/>
  <c r="X73" i="1"/>
  <c r="V73" i="1"/>
  <c r="X74" i="1"/>
  <c r="W74" i="1"/>
  <c r="AD66" i="8"/>
  <c r="J15" i="16"/>
  <c r="K15" i="16" s="1"/>
  <c r="AD78" i="8"/>
  <c r="V65" i="1"/>
  <c r="H5" i="16" s="1"/>
  <c r="I5" i="16" s="1"/>
  <c r="Y65" i="1"/>
  <c r="N5" i="16" s="1"/>
  <c r="O5" i="16" s="1"/>
  <c r="W65" i="1"/>
  <c r="J5" i="16" s="1"/>
  <c r="K5" i="16" s="1"/>
  <c r="V74" i="1"/>
  <c r="AE78" i="8"/>
  <c r="AF78" i="8"/>
  <c r="X65" i="1"/>
  <c r="L5" i="16" s="1"/>
  <c r="AE60" i="6"/>
  <c r="AG60" i="6"/>
  <c r="AG61" i="6"/>
  <c r="AE64" i="6"/>
  <c r="AD61" i="6"/>
  <c r="AG62" i="6"/>
  <c r="AG64" i="6"/>
  <c r="N15" i="16"/>
  <c r="AG63" i="6"/>
  <c r="AE63" i="6"/>
  <c r="AD62" i="6"/>
  <c r="AE62" i="6"/>
  <c r="H15" i="16"/>
  <c r="I15" i="16" s="1"/>
  <c r="AG78" i="8"/>
  <c r="AG66" i="8" s="1"/>
  <c r="J78" i="6"/>
  <c r="R78" i="6"/>
  <c r="U78" i="6"/>
  <c r="K78" i="6"/>
  <c r="S78" i="6"/>
  <c r="E78" i="6"/>
  <c r="D78" i="6"/>
  <c r="L78" i="6"/>
  <c r="T78" i="6"/>
  <c r="M78" i="6"/>
  <c r="F78" i="6"/>
  <c r="N78" i="6"/>
  <c r="V78" i="6"/>
  <c r="G78" i="6"/>
  <c r="O78" i="6"/>
  <c r="W78" i="6"/>
  <c r="H78" i="6"/>
  <c r="P78" i="6"/>
  <c r="X78" i="6"/>
  <c r="I78" i="6"/>
  <c r="Q78" i="6"/>
  <c r="Y78" i="6"/>
  <c r="Z78" i="6"/>
  <c r="R66" i="6"/>
  <c r="U66" i="6"/>
  <c r="K66" i="6"/>
  <c r="S66" i="6"/>
  <c r="D66" i="6"/>
  <c r="L66" i="6"/>
  <c r="T66" i="6"/>
  <c r="M66" i="6"/>
  <c r="F66" i="6"/>
  <c r="N66" i="6"/>
  <c r="V66" i="6"/>
  <c r="G66" i="6"/>
  <c r="O66" i="6"/>
  <c r="W66" i="6"/>
  <c r="H66" i="6"/>
  <c r="P66" i="6"/>
  <c r="X66" i="6"/>
  <c r="I66" i="6"/>
  <c r="Q66" i="6"/>
  <c r="Y66" i="6"/>
  <c r="J66" i="6"/>
  <c r="Z66" i="6"/>
  <c r="E66" i="6"/>
  <c r="C66" i="6"/>
  <c r="A78" i="6"/>
  <c r="C78" i="6"/>
  <c r="AC66" i="6"/>
  <c r="AA66" i="6"/>
  <c r="G15" i="16" s="1"/>
  <c r="A66" i="6"/>
  <c r="U62" i="1"/>
  <c r="U64" i="1"/>
  <c r="U63" i="1"/>
  <c r="U61" i="1"/>
  <c r="U60" i="1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C37" i="4"/>
  <c r="C38" i="4"/>
  <c r="C39" i="4"/>
  <c r="C40" i="4"/>
  <c r="C41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C36" i="4"/>
  <c r="M15" i="16" l="1"/>
  <c r="M5" i="16"/>
  <c r="X63" i="1"/>
  <c r="AF66" i="8"/>
  <c r="AD51" i="4"/>
  <c r="AG48" i="4"/>
  <c r="AG49" i="4"/>
  <c r="AD49" i="4"/>
  <c r="AE48" i="4"/>
  <c r="AF48" i="4"/>
  <c r="AG51" i="4"/>
  <c r="AG52" i="4"/>
  <c r="AD48" i="4"/>
  <c r="AF51" i="4"/>
  <c r="AE51" i="4"/>
  <c r="AF39" i="4" s="1"/>
  <c r="AD52" i="4"/>
  <c r="AE52" i="4"/>
  <c r="AF40" i="4" s="1"/>
  <c r="AF52" i="4"/>
  <c r="Y60" i="1"/>
  <c r="W60" i="1"/>
  <c r="V60" i="1"/>
  <c r="Y64" i="1"/>
  <c r="W64" i="1"/>
  <c r="V64" i="1"/>
  <c r="W63" i="1"/>
  <c r="V63" i="1"/>
  <c r="Y63" i="1"/>
  <c r="AG50" i="4"/>
  <c r="AE49" i="4"/>
  <c r="AF49" i="4"/>
  <c r="AE66" i="8"/>
  <c r="AF50" i="4"/>
  <c r="AE50" i="4"/>
  <c r="AF38" i="4" s="1"/>
  <c r="AD53" i="4"/>
  <c r="AG53" i="4"/>
  <c r="X62" i="1"/>
  <c r="W62" i="1"/>
  <c r="Y62" i="1"/>
  <c r="V62" i="1"/>
  <c r="V61" i="1"/>
  <c r="Y61" i="1"/>
  <c r="W61" i="1"/>
  <c r="AE53" i="4"/>
  <c r="AF53" i="4"/>
  <c r="AD50" i="4"/>
  <c r="X61" i="1"/>
  <c r="AH37" i="4"/>
  <c r="AH39" i="4"/>
  <c r="AH40" i="4"/>
  <c r="AH36" i="4"/>
  <c r="AH38" i="4"/>
  <c r="AH41" i="4"/>
  <c r="AH66" i="6"/>
  <c r="AG66" i="6" s="1"/>
  <c r="AF66" i="6"/>
  <c r="AE66" i="6"/>
  <c r="AD66" i="6"/>
  <c r="AI42" i="9"/>
  <c r="AJ42" i="9" s="1"/>
  <c r="U66" i="1"/>
  <c r="S66" i="1"/>
  <c r="G5" i="16" s="1"/>
  <c r="G16" i="16" s="1"/>
  <c r="C66" i="1"/>
  <c r="E78" i="1"/>
  <c r="L66" i="1"/>
  <c r="R66" i="1"/>
  <c r="J78" i="1"/>
  <c r="K78" i="1"/>
  <c r="L78" i="1"/>
  <c r="R78" i="1"/>
  <c r="D66" i="1"/>
  <c r="Q66" i="1"/>
  <c r="H78" i="1"/>
  <c r="N78" i="1"/>
  <c r="I66" i="1"/>
  <c r="O66" i="1"/>
  <c r="F78" i="1"/>
  <c r="K66" i="1"/>
  <c r="Q78" i="1"/>
  <c r="G66" i="1"/>
  <c r="M66" i="1"/>
  <c r="C78" i="1"/>
  <c r="P78" i="1"/>
  <c r="F66" i="1"/>
  <c r="D78" i="1"/>
  <c r="I78" i="1"/>
  <c r="O78" i="1"/>
  <c r="E66" i="1"/>
  <c r="G78" i="1"/>
  <c r="M78" i="1"/>
  <c r="J66" i="1"/>
  <c r="P66" i="1"/>
  <c r="A66" i="1"/>
  <c r="H66" i="1"/>
  <c r="N66" i="1"/>
  <c r="A78" i="1"/>
  <c r="AC40" i="4"/>
  <c r="AC39" i="4"/>
  <c r="AF36" i="4" l="1"/>
  <c r="AF37" i="4"/>
  <c r="AE39" i="4"/>
  <c r="AD39" i="4"/>
  <c r="AG39" i="4"/>
  <c r="AG40" i="4"/>
  <c r="AE40" i="4"/>
  <c r="AD40" i="4"/>
  <c r="X78" i="1"/>
  <c r="W78" i="1"/>
  <c r="V78" i="1"/>
  <c r="V66" i="1" s="1"/>
  <c r="AF41" i="4"/>
  <c r="Y78" i="1"/>
  <c r="Y66" i="1" s="1"/>
  <c r="AI37" i="4"/>
  <c r="AJ37" i="4" s="1"/>
  <c r="AI38" i="4"/>
  <c r="AI36" i="4"/>
  <c r="AJ36" i="4" s="1"/>
  <c r="AC38" i="4"/>
  <c r="AC37" i="4"/>
  <c r="AC36" i="4"/>
  <c r="X66" i="1" l="1"/>
  <c r="W66" i="1"/>
  <c r="AG36" i="4"/>
  <c r="AE36" i="4"/>
  <c r="AD36" i="4"/>
  <c r="AE38" i="4"/>
  <c r="AG38" i="4"/>
  <c r="AD38" i="4"/>
  <c r="AD37" i="4"/>
  <c r="AG37" i="4"/>
  <c r="AE37" i="4"/>
  <c r="AI42" i="4"/>
  <c r="AI40" i="4"/>
  <c r="AJ40" i="4" s="1"/>
  <c r="G42" i="4"/>
  <c r="O42" i="4"/>
  <c r="W42" i="4"/>
  <c r="H42" i="4"/>
  <c r="P42" i="4"/>
  <c r="X42" i="4"/>
  <c r="I42" i="4"/>
  <c r="Q42" i="4"/>
  <c r="Y42" i="4"/>
  <c r="J42" i="4"/>
  <c r="R42" i="4"/>
  <c r="Z42" i="4"/>
  <c r="A42" i="4"/>
  <c r="AA42" i="4" s="1"/>
  <c r="G6" i="16" s="1"/>
  <c r="K42" i="4"/>
  <c r="S42" i="4"/>
  <c r="D42" i="4"/>
  <c r="L42" i="4"/>
  <c r="T42" i="4"/>
  <c r="E42" i="4"/>
  <c r="M42" i="4"/>
  <c r="U42" i="4"/>
  <c r="F42" i="4"/>
  <c r="N42" i="4"/>
  <c r="V42" i="4"/>
  <c r="C42" i="4"/>
  <c r="AJ38" i="4"/>
  <c r="L6" i="16"/>
  <c r="AC41" i="4"/>
  <c r="AG54" i="4" l="1"/>
  <c r="AD54" i="4"/>
  <c r="AE54" i="4"/>
  <c r="AF54" i="4"/>
  <c r="AD41" i="4"/>
  <c r="H6" i="16" s="1"/>
  <c r="I6" i="16" s="1"/>
  <c r="AG41" i="4"/>
  <c r="N6" i="16" s="1"/>
  <c r="O6" i="16" s="1"/>
  <c r="O16" i="16" s="1"/>
  <c r="AE41" i="4"/>
  <c r="J6" i="16" s="1"/>
  <c r="K6" i="16" s="1"/>
  <c r="AH42" i="4"/>
  <c r="AJ42" i="4" s="1"/>
  <c r="AI41" i="4"/>
  <c r="AJ41" i="4" s="1"/>
  <c r="AI39" i="4"/>
  <c r="AJ39" i="4" s="1"/>
  <c r="AC42" i="4"/>
  <c r="M6" i="16" l="1"/>
  <c r="K16" i="16"/>
  <c r="K19" i="16" s="1"/>
  <c r="I16" i="16"/>
  <c r="I19" i="16" s="1"/>
  <c r="E18" i="16"/>
  <c r="E19" i="16"/>
  <c r="AF42" i="4"/>
  <c r="AE42" i="4"/>
  <c r="AG42" i="4"/>
  <c r="AD42" i="4"/>
  <c r="M16" i="16" l="1"/>
  <c r="E27" i="16"/>
  <c r="J16" i="16"/>
  <c r="J18" i="16" s="1"/>
  <c r="K18" i="16"/>
  <c r="H16" i="16"/>
  <c r="H18" i="16" s="1"/>
  <c r="I18" i="16"/>
  <c r="F19" i="16"/>
  <c r="N16" i="16" l="1"/>
  <c r="N18" i="16" s="1"/>
  <c r="O18" i="16"/>
  <c r="O27" i="16" s="1"/>
  <c r="N27" i="16" s="1"/>
  <c r="F18" i="16"/>
  <c r="F27" i="16" s="1"/>
  <c r="K20" i="16"/>
  <c r="K27" i="16" s="1"/>
  <c r="J27" i="16" s="1"/>
  <c r="M18" i="16" l="1"/>
  <c r="M19" i="16"/>
  <c r="L16" i="16"/>
  <c r="L18" i="16" s="1"/>
  <c r="I20" i="16"/>
  <c r="I27" i="16" s="1"/>
  <c r="H27" i="16" s="1"/>
  <c r="M20" i="16" l="1"/>
  <c r="M27" i="16" s="1"/>
  <c r="L27" i="16" s="1"/>
</calcChain>
</file>

<file path=xl/comments1.xml><?xml version="1.0" encoding="utf-8"?>
<comments xmlns="http://schemas.openxmlformats.org/spreadsheetml/2006/main">
  <authors>
    <author>Yannick ROGUET</author>
  </authors>
  <commentList>
    <comment ref="G16" authorId="0">
      <text>
        <r>
          <rPr>
            <b/>
            <sz val="9"/>
            <color indexed="81"/>
            <rFont val="Tahoma"/>
            <family val="2"/>
          </rPr>
          <t>Yannick ROGUET:</t>
        </r>
        <r>
          <rPr>
            <sz val="9"/>
            <color indexed="81"/>
            <rFont val="Tahoma"/>
            <family val="2"/>
          </rPr>
          <t xml:space="preserve">
formule à remplir manuellement en fonction de la majorité de la colonne</t>
        </r>
      </text>
    </comment>
    <comment ref="N24" authorId="0">
      <text>
        <r>
          <rPr>
            <b/>
            <sz val="9"/>
            <color indexed="81"/>
            <rFont val="Tahoma"/>
            <family val="2"/>
          </rPr>
          <t>Yannick ROGUET:</t>
        </r>
        <r>
          <rPr>
            <sz val="9"/>
            <color indexed="81"/>
            <rFont val="Tahoma"/>
            <family val="2"/>
          </rPr>
          <t xml:space="preserve">
pas franchement pertinent !</t>
        </r>
      </text>
    </comment>
    <comment ref="O26" authorId="0">
      <text>
        <r>
          <rPr>
            <b/>
            <sz val="9"/>
            <color indexed="81"/>
            <rFont val="Tahoma"/>
            <family val="2"/>
          </rPr>
          <t>Yannick ROGUET:</t>
        </r>
        <r>
          <rPr>
            <sz val="9"/>
            <color indexed="81"/>
            <rFont val="Tahoma"/>
            <family val="2"/>
          </rPr>
          <t xml:space="preserve">
Remettre la formule en fonction des chiffres</t>
        </r>
      </text>
    </comment>
    <comment ref="G27" authorId="0">
      <text>
        <r>
          <rPr>
            <b/>
            <sz val="9"/>
            <color indexed="81"/>
            <rFont val="Tahoma"/>
            <family val="2"/>
          </rPr>
          <t>Yannick ROGUET:</t>
        </r>
        <r>
          <rPr>
            <sz val="9"/>
            <color indexed="81"/>
            <rFont val="Tahoma"/>
            <family val="2"/>
          </rPr>
          <t xml:space="preserve">
formule à remplir manuelement en fonction de la majorité de la colonne</t>
        </r>
      </text>
    </comment>
  </commentList>
</comments>
</file>

<file path=xl/sharedStrings.xml><?xml version="1.0" encoding="utf-8"?>
<sst xmlns="http://schemas.openxmlformats.org/spreadsheetml/2006/main" count="2262" uniqueCount="147">
  <si>
    <t>Lieu :</t>
  </si>
  <si>
    <t>Date :</t>
  </si>
  <si>
    <t>Nom des personnes participant au comptage :</t>
  </si>
  <si>
    <t>Météo :</t>
  </si>
  <si>
    <t>H</t>
  </si>
  <si>
    <t>F</t>
  </si>
  <si>
    <t>Heure</t>
  </si>
  <si>
    <t>Minute</t>
  </si>
  <si>
    <t>VAE</t>
  </si>
  <si>
    <t>vélo</t>
  </si>
  <si>
    <t>de 8:00 à 9:00</t>
  </si>
  <si>
    <t>de 7:00 à 8:00</t>
  </si>
  <si>
    <t>TOTAL</t>
  </si>
  <si>
    <t>Période</t>
  </si>
  <si>
    <t>Part des VAE dans le total</t>
  </si>
  <si>
    <t>Part des femmes dans le total</t>
  </si>
  <si>
    <t>Part en direction d'Annemasse-Genève</t>
  </si>
  <si>
    <t>de 7:30 à 8:30</t>
  </si>
  <si>
    <t>Part des VAE chez les femmes</t>
  </si>
  <si>
    <t>Cycles en direction d'Annemasse-Genève</t>
  </si>
  <si>
    <t>Cycles en provenance de Reignier</t>
  </si>
  <si>
    <t>Cycles comptés au carrefour amont (PN93)</t>
  </si>
  <si>
    <t>Différence de cycles entre ces deux carrefour :
&gt;&gt; descendus au chemin raide sous le cimetière,
&gt;&gt; parti en vélo depuis le parking du cimetière ?</t>
  </si>
  <si>
    <t>00 – 14'59</t>
  </si>
  <si>
    <t>15 – 29'59</t>
  </si>
  <si>
    <t>30 – 44'59</t>
  </si>
  <si>
    <t>45 – 59'59</t>
  </si>
  <si>
    <t>Remarques :</t>
  </si>
  <si>
    <t>de 6:30 à 7:30</t>
  </si>
  <si>
    <t>de 8:30 à 9:30</t>
  </si>
  <si>
    <t>Date :</t>
  </si>
  <si>
    <t>Remarques</t>
  </si>
  <si>
    <t>ETREMBIERES_D2 route de la Libération / D906a (ex-PN93)</t>
  </si>
  <si>
    <t>ETREMBIERES_Rte de St-Julien / Rte du Salève (sous château)</t>
  </si>
  <si>
    <t>ARTHAZ_Route de Reignier D202 / Route Nationale D1205</t>
  </si>
  <si>
    <t>REIGNIER_Giratoire des Jonquilles (devant l'église)</t>
  </si>
  <si>
    <t>Depuis 'Etrembières - Autoroute'</t>
  </si>
  <si>
    <t>vers 'Reignier'</t>
  </si>
  <si>
    <t>vers 'Monnetier - La Muraz'</t>
  </si>
  <si>
    <t>Depuis 'Reignier'</t>
  </si>
  <si>
    <t>vers 'Château d'Etrembières'</t>
  </si>
  <si>
    <t>Depuis 'Château d'Etrembières'</t>
  </si>
  <si>
    <t>vers 'Etrembières - Autoroute'</t>
  </si>
  <si>
    <t>Depuis 'Monnetier - La Muraz'</t>
  </si>
  <si>
    <t>Depuis 'Pas-de-l'Echelle'</t>
  </si>
  <si>
    <t>vers 'Annemasse'</t>
  </si>
  <si>
    <t>Depuis 'Annemasse'</t>
  </si>
  <si>
    <t>vers 'Pas-de-l'Echelle'</t>
  </si>
  <si>
    <t>vers 'Nangy'</t>
  </si>
  <si>
    <t>vers 'Rossat'</t>
  </si>
  <si>
    <t>Depuis 'Nangy'</t>
  </si>
  <si>
    <t>Depuis 'Rossat'</t>
  </si>
  <si>
    <t>Depuis 'Annemasse - Genève'</t>
  </si>
  <si>
    <t>vers 'Reignier-centre'</t>
  </si>
  <si>
    <t>vers 'L'Eculaz'</t>
  </si>
  <si>
    <t>vers 'Annemasse - Genève'</t>
  </si>
  <si>
    <t>vers 'Rue des Ecoles'</t>
  </si>
  <si>
    <t>Depuis 'Reignier - Rue des Ecoles'</t>
  </si>
  <si>
    <t>Depuis 'L'Eculaz'</t>
  </si>
  <si>
    <t>Depuis 'Reignier-centre'</t>
  </si>
  <si>
    <t>REIGNIER BAS_Giratoire D2 / D202 (vers le Foron)</t>
  </si>
  <si>
    <t>Depuis 'Arthaz'</t>
  </si>
  <si>
    <t>vers 'Arthaz'</t>
  </si>
  <si>
    <t>Cycles venant du giratoire des Jonquilles</t>
  </si>
  <si>
    <t>D'Intermarché</t>
  </si>
  <si>
    <t>de ZA</t>
  </si>
  <si>
    <t>de Bigaille</t>
  </si>
  <si>
    <t>d'Annecy</t>
  </si>
  <si>
    <t>de Véto</t>
  </si>
  <si>
    <t>de Collège</t>
  </si>
  <si>
    <t>AMANCY_Giratoire de la Coriandre</t>
  </si>
  <si>
    <t xml:space="preserve">Méthodologie : </t>
  </si>
  <si>
    <t>Pour chaque intervalle de temps, marquer une seule croix par personne comptée</t>
  </si>
  <si>
    <t>Indiquer aussi la lettre correspondant à la sortie : A-ANNECY / B-BIGAILLE / C-COLLEGE / I-INTERMARCHE / V-VETO / Z-ZA</t>
  </si>
  <si>
    <t>Depuis 'La Roche'</t>
  </si>
  <si>
    <t>vers 'Findrol'</t>
  </si>
  <si>
    <t>Depuis 'Findrol'</t>
  </si>
  <si>
    <t>vers 'La Roche'</t>
  </si>
  <si>
    <t>Cycles en provenance de La Roche</t>
  </si>
  <si>
    <t>Part en provenance de Reignier</t>
  </si>
  <si>
    <t>SCIENTRIER_Carrefour vers la Tour de Bellecombe</t>
  </si>
  <si>
    <t>Depuis 'Esery'</t>
  </si>
  <si>
    <t>vers 'Esery'</t>
  </si>
  <si>
    <t>Cycles en provenance d'Esery</t>
  </si>
  <si>
    <t>PERS-JUSSY_Giratoire de Casino</t>
  </si>
  <si>
    <t>Depuis 'Pers-Jussy'</t>
  </si>
  <si>
    <t>vers 'Pers-Jussy'</t>
  </si>
  <si>
    <t>vers 'Casino'</t>
  </si>
  <si>
    <t>Depuis 'Casino'</t>
  </si>
  <si>
    <t>Lieu :</t>
  </si>
  <si>
    <t>Yannick ROGUET</t>
  </si>
  <si>
    <t>Si c'est enfant, remplacer la croix par E, une trottinette T, un piéton P, etc.</t>
  </si>
  <si>
    <t>COMMUNE_Nom du carrefour</t>
  </si>
  <si>
    <t>REIGNIER_Giratoire de la Forge (en-dessous du Fil des Saisons)</t>
  </si>
  <si>
    <t>REIGNIER_Carrefour Marsinge / Viaison (au-dessus du Fil des Saisons)</t>
  </si>
  <si>
    <t>Période comptée</t>
  </si>
  <si>
    <t>Début</t>
  </si>
  <si>
    <t>Fin</t>
  </si>
  <si>
    <t>8h30</t>
  </si>
  <si>
    <t>9h00</t>
  </si>
  <si>
    <t>8h00</t>
  </si>
  <si>
    <t>7h45</t>
  </si>
  <si>
    <t>6h30</t>
  </si>
  <si>
    <t>6h40</t>
  </si>
  <si>
    <t>NB total de vélos</t>
  </si>
  <si>
    <t>Heure de pointe</t>
  </si>
  <si>
    <t>Nombre</t>
  </si>
  <si>
    <t>%</t>
  </si>
  <si>
    <t>VAE / total</t>
  </si>
  <si>
    <t>Femmes / total</t>
  </si>
  <si>
    <t>VAE chez les femmes</t>
  </si>
  <si>
    <t>dir. Annemasse-Genève</t>
  </si>
  <si>
    <t>SYNTHESE DES COMPTAGES DU 16 JUIN 2020</t>
  </si>
  <si>
    <t>SECTEUR D903 "LA ROCHE - FINDROL"</t>
  </si>
  <si>
    <t>SECTEUR "ARVE &amp; SALEVE"</t>
  </si>
  <si>
    <t>Nombre de VAE dans le total</t>
  </si>
  <si>
    <t>Nombre de femmes dans le total</t>
  </si>
  <si>
    <t>Nombre de VAE chez les femmes</t>
  </si>
  <si>
    <t>Part en provenance d'Esery</t>
  </si>
  <si>
    <t>Cycles en provenance de Pers-Jussy</t>
  </si>
  <si>
    <t>Cycles en direction de Reignier</t>
  </si>
  <si>
    <t>Part en direction de Reignier</t>
  </si>
  <si>
    <t>Cycles en direction de Findrol</t>
  </si>
  <si>
    <t>Part en direction de Findrol</t>
  </si>
  <si>
    <t>Part en provenance de La Roche</t>
  </si>
  <si>
    <t>Trop peu de cyclistes pour en tirer des conslusions, mais le giratoire est trop "routier" pour attirer les cyclistes qui doivent préférer l'éviter</t>
  </si>
  <si>
    <t>Hommes</t>
  </si>
  <si>
    <t>VAE Hom.</t>
  </si>
  <si>
    <t>Depuis 'Carrefour - Bersat'</t>
  </si>
  <si>
    <t>Depuis 'Esery - Méran'</t>
  </si>
  <si>
    <t>vers 'Carrefour - Bersat'</t>
  </si>
  <si>
    <t>vers 'Esery - Méran'</t>
  </si>
  <si>
    <t>REIGNIER_Giratoire de l'ancienne gendarmerie</t>
  </si>
  <si>
    <t>REIGNIER_Carrefour Rue de la Gare / Rte de Bellecombe (vers Tour d'Ivoire)</t>
  </si>
  <si>
    <t>Depuis 'Gare'</t>
  </si>
  <si>
    <t>vers 'Gare'</t>
  </si>
  <si>
    <t>Sylvain BEAUD</t>
  </si>
  <si>
    <t>Francis AMACHER</t>
  </si>
  <si>
    <t>Philippe LEMOINE</t>
  </si>
  <si>
    <t>TOTAL 2020</t>
  </si>
  <si>
    <t>Différence 2020 - 2021</t>
  </si>
  <si>
    <t>mardi 31 mai 2022</t>
  </si>
  <si>
    <t>=N49</t>
  </si>
  <si>
    <t>Florence PELTIER</t>
  </si>
  <si>
    <t>Joël MIGNON</t>
  </si>
  <si>
    <t>Aucun vélo n'est allé en direction du nouveau chemin du pied du Salève (qui rejoint Le Pas-de-L'Echelle)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</si>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</sst>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 &quot;[$€-40C];[Red]&quot;-&quot;#,##0.00&quot; &quot;[$€-40C]"/>
  </numFmts>
  <fonts count="32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6"/>
      <color theme="1"/>
      <name val="Ubuntu"/>
    </font>
    <font>
      <sz val="16"/>
      <color theme="1"/>
      <name val="Ubuntu"/>
    </font>
    <font>
      <b/>
      <sz val="14"/>
      <color theme="1"/>
      <name val="Ubuntu"/>
    </font>
    <font>
      <b/>
      <sz val="24"/>
      <color theme="1"/>
      <name val="Ubuntu"/>
    </font>
    <font>
      <b/>
      <sz val="18"/>
      <color theme="1"/>
      <name val="Ubuntu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8"/>
      <color theme="1"/>
      <name val="Ubuntu"/>
    </font>
    <font>
      <b/>
      <sz val="16"/>
      <color rgb="FFFF0000"/>
      <name val="Ubuntu"/>
    </font>
    <font>
      <sz val="16"/>
      <color rgb="FFFF0000"/>
      <name val="Ubuntu"/>
    </font>
    <font>
      <sz val="11"/>
      <color rgb="FFFF0000"/>
      <name val="Arial"/>
      <family val="2"/>
    </font>
    <font>
      <b/>
      <sz val="14"/>
      <color rgb="FFFF0000"/>
      <name val="Ubuntu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0"/>
      <name val="Arial"/>
      <family val="2"/>
    </font>
    <font>
      <b/>
      <sz val="16"/>
      <name val="Arial"/>
      <family val="2"/>
    </font>
    <font>
      <sz val="18"/>
      <name val="Ubuntu"/>
    </font>
    <font>
      <b/>
      <sz val="18"/>
      <name val="Ubuntu"/>
    </font>
    <font>
      <b/>
      <sz val="16"/>
      <name val="Ubuntu"/>
    </font>
    <font>
      <sz val="16"/>
      <name val="Ubuntu"/>
    </font>
    <font>
      <sz val="11"/>
      <name val="Arial"/>
      <family val="2"/>
    </font>
    <font>
      <b/>
      <sz val="14"/>
      <name val="Ubuntu"/>
    </font>
    <font>
      <b/>
      <sz val="24"/>
      <name val="Ubuntu"/>
    </font>
    <font>
      <b/>
      <sz val="11"/>
      <color rgb="FFFF0000"/>
      <name val="Arial"/>
      <family val="2"/>
    </font>
    <font>
      <b/>
      <sz val="24"/>
      <color rgb="FFFF0000"/>
      <name val="Ubuntu"/>
    </font>
    <font>
      <b/>
      <sz val="18"/>
      <color rgb="FFFF0000"/>
      <name val="Ubuntu"/>
    </font>
    <font>
      <b/>
      <sz val="16"/>
      <color rgb="FFFF0000"/>
      <name val="Arial"/>
      <family val="2"/>
    </font>
    <font>
      <sz val="18"/>
      <color rgb="FFFF0000"/>
      <name val="Ubuntu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6795556505021"/>
        <bgColor indexed="64"/>
      </patternFill>
    </fill>
  </fills>
  <borders count="309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tted">
        <color auto="1"/>
      </right>
      <top/>
      <bottom style="thin">
        <color rgb="FF000000"/>
      </bottom>
      <diagonal/>
    </border>
    <border>
      <left style="dotted">
        <color auto="1"/>
      </left>
      <right style="thin">
        <color auto="1"/>
      </right>
      <top/>
      <bottom style="thin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dotted">
        <color auto="1"/>
      </right>
      <top/>
      <bottom style="thin">
        <color rgb="FF000000"/>
      </bottom>
      <diagonal/>
    </border>
    <border>
      <left style="dotted">
        <color auto="1"/>
      </left>
      <right style="double">
        <color auto="1"/>
      </right>
      <top/>
      <bottom style="thin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uble">
        <color auto="1"/>
      </right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auto="1"/>
      </right>
      <top style="double">
        <color rgb="FF000000"/>
      </top>
      <bottom/>
      <diagonal/>
    </border>
    <border>
      <left style="double">
        <color auto="1"/>
      </left>
      <right style="double">
        <color auto="1"/>
      </right>
      <top style="double">
        <color rgb="FF000000"/>
      </top>
      <bottom/>
      <diagonal/>
    </border>
    <border>
      <left style="double">
        <color auto="1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auto="1"/>
      </right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 style="dotted">
        <color auto="1"/>
      </right>
      <top/>
      <bottom/>
      <diagonal/>
    </border>
    <border>
      <left style="dotted">
        <color auto="1"/>
      </left>
      <right style="double">
        <color rgb="FF000000"/>
      </right>
      <top/>
      <bottom/>
      <diagonal/>
    </border>
    <border>
      <left style="double">
        <color rgb="FF000000"/>
      </left>
      <right style="dotted">
        <color auto="1"/>
      </right>
      <top/>
      <bottom style="thin">
        <color rgb="FF000000"/>
      </bottom>
      <diagonal/>
    </border>
    <border>
      <left style="dotted">
        <color auto="1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double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/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uble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 style="double">
        <color auto="1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thin">
        <color auto="1"/>
      </right>
      <top style="thin">
        <color rgb="FF000000"/>
      </top>
      <bottom style="dotted">
        <color rgb="FF000000"/>
      </bottom>
      <diagonal/>
    </border>
    <border>
      <left style="thin">
        <color auto="1"/>
      </left>
      <right style="dotted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auto="1"/>
      </right>
      <top style="thin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thin">
        <color auto="1"/>
      </right>
      <top style="dotted">
        <color rgb="FF000000"/>
      </top>
      <bottom style="dotted">
        <color rgb="FF000000"/>
      </bottom>
      <diagonal/>
    </border>
    <border>
      <left style="thin">
        <color auto="1"/>
      </left>
      <right style="dotted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auto="1"/>
      </right>
      <top style="dotted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auto="1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auto="1"/>
      </left>
      <right style="thin">
        <color auto="1"/>
      </right>
      <top style="dotted">
        <color rgb="FF000000"/>
      </top>
      <bottom style="thin">
        <color rgb="FF000000"/>
      </bottom>
      <diagonal/>
    </border>
    <border>
      <left style="thin">
        <color auto="1"/>
      </left>
      <right style="dotted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auto="1"/>
      </right>
      <top style="dotted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auto="1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 style="double">
        <color rgb="FF000000"/>
      </right>
      <top style="thin">
        <color rgb="FF000000"/>
      </top>
      <bottom style="dotted">
        <color auto="1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auto="1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auto="1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auto="1"/>
      </bottom>
      <diagonal/>
    </border>
    <border>
      <left style="dotted">
        <color rgb="FF000000"/>
      </left>
      <right/>
      <top style="thin">
        <color rgb="FF000000"/>
      </top>
      <bottom style="dotted">
        <color auto="1"/>
      </bottom>
      <diagonal/>
    </border>
    <border>
      <left/>
      <right/>
      <top style="thin">
        <color rgb="FF000000"/>
      </top>
      <bottom style="dotted">
        <color auto="1"/>
      </bottom>
      <diagonal/>
    </border>
    <border>
      <left/>
      <right style="double">
        <color rgb="FF000000"/>
      </right>
      <top style="dotted">
        <color auto="1"/>
      </top>
      <bottom style="dotted">
        <color auto="1"/>
      </bottom>
      <diagonal/>
    </border>
    <border>
      <left style="double">
        <color rgb="FF000000"/>
      </left>
      <right style="thin">
        <color rgb="FF000000"/>
      </right>
      <top style="dotted">
        <color auto="1"/>
      </top>
      <bottom style="dotted">
        <color auto="1"/>
      </bottom>
      <diagonal/>
    </border>
    <border>
      <left style="thin">
        <color rgb="FF000000"/>
      </left>
      <right style="thin">
        <color rgb="FF000000"/>
      </right>
      <top style="dotted">
        <color auto="1"/>
      </top>
      <bottom style="dotted">
        <color auto="1"/>
      </bottom>
      <diagonal/>
    </border>
    <border>
      <left style="thin">
        <color rgb="FF000000"/>
      </left>
      <right style="dotted">
        <color rgb="FF000000"/>
      </right>
      <top style="dotted">
        <color auto="1"/>
      </top>
      <bottom style="dotted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auto="1"/>
      </top>
      <bottom style="dotted">
        <color auto="1"/>
      </bottom>
      <diagonal/>
    </border>
    <border>
      <left style="dotted">
        <color rgb="FF000000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uble">
        <color rgb="FF000000"/>
      </right>
      <top style="dotted">
        <color auto="1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tted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auto="1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auto="1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auto="1"/>
      </top>
      <bottom style="thin">
        <color rgb="FF000000"/>
      </bottom>
      <diagonal/>
    </border>
    <border>
      <left style="dotted">
        <color rgb="FF000000"/>
      </left>
      <right/>
      <top style="dotted">
        <color auto="1"/>
      </top>
      <bottom style="thin">
        <color rgb="FF000000"/>
      </bottom>
      <diagonal/>
    </border>
    <border>
      <left/>
      <right/>
      <top style="dotted">
        <color auto="1"/>
      </top>
      <bottom style="thin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auto="1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auto="1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auto="1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auto="1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uble">
        <color auto="1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tted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 style="dotted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dotted">
        <color auto="1"/>
      </top>
      <bottom style="thin">
        <color auto="1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auto="1"/>
      </bottom>
      <diagonal/>
    </border>
    <border>
      <left style="thin">
        <color rgb="FF000000"/>
      </left>
      <right/>
      <top style="dotted">
        <color auto="1"/>
      </top>
      <bottom style="dotted">
        <color auto="1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medium">
        <color theme="0" tint="-0.14993743705557422"/>
      </top>
      <bottom/>
      <diagonal/>
    </border>
    <border>
      <left/>
      <right/>
      <top style="medium">
        <color theme="0" tint="-0.1498764000366222"/>
      </top>
      <bottom style="medium">
        <color theme="0" tint="-0.14993743705557422"/>
      </bottom>
      <diagonal/>
    </border>
    <border>
      <left/>
      <right/>
      <top style="medium">
        <color theme="0" tint="-0.1498764000366222"/>
      </top>
      <bottom/>
      <diagonal/>
    </border>
    <border>
      <left style="medium">
        <color theme="0" tint="-0.14990691854609822"/>
      </left>
      <right/>
      <top style="medium">
        <color theme="0" tint="-0.1498764000366222"/>
      </top>
      <bottom style="medium">
        <color theme="0" tint="-0.14990691854609822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uble">
        <color auto="1"/>
      </right>
      <top/>
      <bottom style="thin">
        <color rgb="FF000000"/>
      </bottom>
      <diagonal/>
    </border>
    <border>
      <left style="double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double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dotted">
        <color auto="1"/>
      </top>
      <bottom style="thin">
        <color auto="1"/>
      </bottom>
      <diagonal/>
    </border>
    <border>
      <left style="double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rgb="FF000000"/>
      </right>
      <top/>
      <bottom/>
      <diagonal/>
    </border>
    <border>
      <left/>
      <right style="medium">
        <color theme="0" tint="-0.14990691854609822"/>
      </right>
      <top style="medium">
        <color theme="0" tint="-0.14993743705557422"/>
      </top>
      <bottom style="medium">
        <color theme="0" tint="-0.14990691854609822"/>
      </bottom>
      <diagonal/>
    </border>
    <border>
      <left/>
      <right style="double">
        <color auto="1"/>
      </right>
      <top style="double">
        <color rgb="FF000000"/>
      </top>
      <bottom/>
      <diagonal/>
    </border>
    <border>
      <left style="double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double">
        <color auto="1"/>
      </right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auto="1"/>
      </left>
      <right style="dotted">
        <color rgb="FF000000"/>
      </right>
      <top/>
      <bottom style="thin">
        <color rgb="FF000000"/>
      </bottom>
      <diagonal/>
    </border>
    <border>
      <left style="double">
        <color auto="1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auto="1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 style="double">
        <color auto="1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uble">
        <color auto="1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theme="0" tint="-0.14990691854609822"/>
      </right>
      <top style="medium">
        <color theme="0" tint="-0.1498764000366222"/>
      </top>
      <bottom style="medium">
        <color theme="0" tint="-0.14990691854609822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medium">
        <color theme="0" tint="-0.14990691854609822"/>
      </right>
      <top style="medium">
        <color theme="0" tint="-0.14993743705557422"/>
      </top>
      <bottom style="medium">
        <color theme="0" tint="-0.14996795556505021"/>
      </bottom>
      <diagonal/>
    </border>
    <border>
      <left style="double">
        <color rgb="FF000000"/>
      </left>
      <right style="double">
        <color auto="1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tted">
        <color auto="1"/>
      </bottom>
      <diagonal/>
    </border>
    <border>
      <left style="double">
        <color rgb="FF000000"/>
      </left>
      <right/>
      <top style="dotted">
        <color auto="1"/>
      </top>
      <bottom style="dotted">
        <color auto="1"/>
      </bottom>
      <diagonal/>
    </border>
    <border>
      <left style="double">
        <color rgb="FF000000"/>
      </left>
      <right/>
      <top style="dotted">
        <color auto="1"/>
      </top>
      <bottom style="thin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dotted">
        <color auto="1"/>
      </bottom>
      <diagonal/>
    </border>
    <border>
      <left style="double">
        <color auto="1"/>
      </left>
      <right style="double">
        <color rgb="FF000000"/>
      </right>
      <top style="thin">
        <color rgb="FF000000"/>
      </top>
      <bottom style="dotted">
        <color auto="1"/>
      </bottom>
      <diagonal/>
    </border>
    <border>
      <left style="double">
        <color rgb="FF000000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double">
        <color rgb="FF000000"/>
      </right>
      <top style="dotted">
        <color auto="1"/>
      </top>
      <bottom style="dotted">
        <color auto="1"/>
      </bottom>
      <diagonal/>
    </border>
    <border>
      <left style="double">
        <color rgb="FF000000"/>
      </left>
      <right style="double">
        <color auto="1"/>
      </right>
      <top style="dotted">
        <color auto="1"/>
      </top>
      <bottom style="thin">
        <color auto="1"/>
      </bottom>
      <diagonal/>
    </border>
    <border>
      <left style="double">
        <color auto="1"/>
      </left>
      <right style="double">
        <color rgb="FF000000"/>
      </right>
      <top style="dotted">
        <color auto="1"/>
      </top>
      <bottom style="thin">
        <color auto="1"/>
      </bottom>
      <diagonal/>
    </border>
    <border>
      <left style="double">
        <color rgb="FF000000"/>
      </left>
      <right/>
      <top style="thin">
        <color auto="1"/>
      </top>
      <bottom style="thin">
        <color auto="1"/>
      </bottom>
      <diagonal/>
    </border>
    <border>
      <left style="double">
        <color rgb="FF000000"/>
      </left>
      <right/>
      <top style="thin">
        <color auto="1"/>
      </top>
      <bottom style="double">
        <color rgb="FF000000"/>
      </bottom>
      <diagonal/>
    </border>
    <border>
      <left/>
      <right style="double">
        <color rgb="FF000000"/>
      </right>
      <top style="thin">
        <color auto="1"/>
      </top>
      <bottom style="double">
        <color rgb="FF000000"/>
      </bottom>
      <diagonal/>
    </border>
    <border>
      <left style="double">
        <color rgb="FF000000"/>
      </left>
      <right style="dotted">
        <color rgb="FF000000"/>
      </right>
      <top style="thin">
        <color auto="1"/>
      </top>
      <bottom style="double">
        <color rgb="FF000000"/>
      </bottom>
      <diagonal/>
    </border>
    <border>
      <left style="thin">
        <color rgb="FF000000"/>
      </left>
      <right/>
      <top style="thin">
        <color auto="1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double">
        <color rgb="FF000000"/>
      </bottom>
      <diagonal/>
    </border>
    <border>
      <left style="double">
        <color rgb="FF000000"/>
      </left>
      <right style="double">
        <color auto="1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auto="1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auto="1"/>
      </right>
      <top style="dotted">
        <color rgb="FF000000"/>
      </top>
      <bottom style="thin">
        <color rgb="FF000000"/>
      </bottom>
      <diagonal/>
    </border>
    <border>
      <left/>
      <right/>
      <top/>
      <bottom style="medium">
        <color theme="0" tint="-0.14993743705557422"/>
      </bottom>
      <diagonal/>
    </border>
    <border>
      <left/>
      <right style="medium">
        <color theme="0" tint="-0.14990691854609822"/>
      </right>
      <top/>
      <bottom/>
      <diagonal/>
    </border>
    <border>
      <left/>
      <right style="medium">
        <color theme="0" tint="-0.149906918546098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0691854609822"/>
      </right>
      <top/>
      <bottom style="double">
        <color rgb="FF000000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/>
    </border>
    <border>
      <left/>
      <right style="medium">
        <color theme="0" tint="-0.14993743705557422"/>
      </right>
      <top/>
      <bottom/>
      <diagonal/>
    </border>
    <border>
      <left/>
      <right style="medium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8458815271462"/>
      </left>
      <right/>
      <top style="medium">
        <color theme="0" tint="-0.1498764000366222"/>
      </top>
      <bottom style="medium">
        <color theme="0" tint="-0.14993743705557422"/>
      </bottom>
      <diagonal/>
    </border>
    <border>
      <left style="medium">
        <color theme="0" tint="-0.1498458815271462"/>
      </left>
      <right/>
      <top/>
      <bottom/>
      <diagonal/>
    </border>
    <border>
      <left style="medium">
        <color theme="0" tint="-0.149845881527146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3743705557422"/>
      </top>
      <bottom style="medium">
        <color theme="0" tint="-0.14990691854609822"/>
      </bottom>
      <diagonal/>
    </border>
    <border>
      <left/>
      <right/>
      <top style="medium">
        <color theme="0" tint="-0.14990691854609822"/>
      </top>
      <bottom style="medium">
        <color theme="0" tint="-0.14990691854609822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auto="1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uble">
        <color rgb="FF000000"/>
      </right>
      <top style="dotted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tted">
        <color auto="1"/>
      </bottom>
      <diagonal/>
    </border>
    <border>
      <left style="double">
        <color rgb="FF000000"/>
      </left>
      <right style="double">
        <color rgb="FF000000"/>
      </right>
      <top style="dotted">
        <color auto="1"/>
      </top>
      <bottom style="dotted">
        <color auto="1"/>
      </bottom>
      <diagonal/>
    </border>
    <border>
      <left style="double">
        <color rgb="FF000000"/>
      </left>
      <right style="double">
        <color rgb="FF000000"/>
      </right>
      <top style="dotted">
        <color auto="1"/>
      </top>
      <bottom style="thin">
        <color rgb="FF000000"/>
      </bottom>
      <diagonal/>
    </border>
    <border>
      <left style="medium">
        <color theme="0" tint="-0.14990691854609822"/>
      </left>
      <right/>
      <top style="medium">
        <color theme="0" tint="-0.14990691854609822"/>
      </top>
      <bottom style="medium">
        <color theme="0" tint="-0.14990691854609822"/>
      </bottom>
      <diagonal/>
    </border>
    <border>
      <left/>
      <right style="medium">
        <color theme="0" tint="-0.149906918546098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medium">
        <color theme="0" tint="-0.14990691854609822"/>
      </left>
      <right style="medium">
        <color theme="0" tint="-0.14990691854609822"/>
      </right>
      <top style="medium">
        <color theme="0" tint="-0.14993743705557422"/>
      </top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 tint="-0.14993743705557422"/>
      </bottom>
      <diagonal/>
    </border>
    <border>
      <left/>
      <right/>
      <top style="medium">
        <color theme="0" tint="-0.1498764000366222"/>
      </top>
      <bottom style="medium">
        <color theme="0" tint="-0.14990691854609822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/>
      <diagonal/>
    </border>
    <border>
      <left style="dotted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/>
      <diagonal/>
    </border>
    <border>
      <left style="thin">
        <color auto="1"/>
      </left>
      <right style="dotted">
        <color auto="1"/>
      </right>
      <top/>
      <bottom style="thick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/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0000"/>
      </bottom>
      <diagonal/>
    </border>
    <border>
      <left style="thin">
        <color rgb="FF000000"/>
      </left>
      <right/>
      <top style="dotted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  <xf numFmtId="9" fontId="8" fillId="0" borderId="0" applyFont="0" applyFill="0" applyBorder="0" applyAlignment="0" applyProtection="0"/>
  </cellStyleXfs>
  <cellXfs count="1118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/>
    </xf>
    <xf numFmtId="0" fontId="4" fillId="0" borderId="49" xfId="0" applyFont="1" applyBorder="1" applyAlignment="1">
      <alignment vertical="center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" fontId="10" fillId="0" borderId="63" xfId="5" applyNumberFormat="1" applyFont="1" applyBorder="1" applyAlignment="1">
      <alignment horizontal="center" vertical="center"/>
    </xf>
    <xf numFmtId="1" fontId="10" fillId="0" borderId="64" xfId="5" applyNumberFormat="1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10" fillId="0" borderId="71" xfId="5" applyNumberFormat="1" applyFont="1" applyBorder="1" applyAlignment="1">
      <alignment horizontal="center" vertical="center"/>
    </xf>
    <xf numFmtId="1" fontId="10" fillId="0" borderId="73" xfId="5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4" fillId="3" borderId="75" xfId="0" applyFont="1" applyFill="1" applyBorder="1" applyAlignment="1">
      <alignment vertical="center"/>
    </xf>
    <xf numFmtId="0" fontId="4" fillId="3" borderId="76" xfId="0" applyFont="1" applyFill="1" applyBorder="1" applyAlignment="1">
      <alignment vertical="center"/>
    </xf>
    <xf numFmtId="0" fontId="4" fillId="3" borderId="77" xfId="0" applyFont="1" applyFill="1" applyBorder="1" applyAlignment="1">
      <alignment vertical="center"/>
    </xf>
    <xf numFmtId="49" fontId="4" fillId="3" borderId="75" xfId="0" applyNumberFormat="1" applyFont="1" applyFill="1" applyBorder="1" applyAlignment="1">
      <alignment vertical="center"/>
    </xf>
    <xf numFmtId="0" fontId="0" fillId="3" borderId="76" xfId="0" applyFill="1" applyBorder="1" applyAlignment="1">
      <alignment vertical="center"/>
    </xf>
    <xf numFmtId="0" fontId="0" fillId="3" borderId="77" xfId="0" applyFill="1" applyBorder="1" applyAlignment="1">
      <alignment vertical="center"/>
    </xf>
    <xf numFmtId="0" fontId="4" fillId="0" borderId="84" xfId="0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0" fontId="4" fillId="0" borderId="102" xfId="0" applyFont="1" applyBorder="1" applyAlignment="1">
      <alignment horizontal="center" vertical="center"/>
    </xf>
    <xf numFmtId="0" fontId="4" fillId="0" borderId="103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105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3" borderId="107" xfId="0" applyFont="1" applyFill="1" applyBorder="1" applyAlignment="1">
      <alignment vertical="center"/>
    </xf>
    <xf numFmtId="0" fontId="0" fillId="3" borderId="107" xfId="0" applyFill="1" applyBorder="1" applyAlignment="1">
      <alignment vertical="center"/>
    </xf>
    <xf numFmtId="49" fontId="4" fillId="3" borderId="107" xfId="0" applyNumberFormat="1" applyFont="1" applyFill="1" applyBorder="1" applyAlignment="1">
      <alignment vertical="center"/>
    </xf>
    <xf numFmtId="0" fontId="7" fillId="0" borderId="109" xfId="0" applyFont="1" applyBorder="1" applyAlignment="1">
      <alignment horizontal="center" vertical="center"/>
    </xf>
    <xf numFmtId="1" fontId="10" fillId="0" borderId="112" xfId="5" applyNumberFormat="1" applyFont="1" applyBorder="1" applyAlignment="1">
      <alignment horizontal="center" vertical="center"/>
    </xf>
    <xf numFmtId="1" fontId="10" fillId="0" borderId="113" xfId="5" applyNumberFormat="1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1" fontId="10" fillId="0" borderId="119" xfId="5" applyNumberFormat="1" applyFont="1" applyBorder="1" applyAlignment="1">
      <alignment horizontal="center" vertical="center"/>
    </xf>
    <xf numFmtId="1" fontId="10" fillId="0" borderId="120" xfId="5" applyNumberFormat="1" applyFont="1" applyBorder="1" applyAlignment="1">
      <alignment horizontal="center" vertical="center"/>
    </xf>
    <xf numFmtId="0" fontId="7" fillId="0" borderId="123" xfId="0" applyFont="1" applyBorder="1" applyAlignment="1">
      <alignment horizontal="center" vertical="center"/>
    </xf>
    <xf numFmtId="1" fontId="10" fillId="0" borderId="126" xfId="5" applyNumberFormat="1" applyFont="1" applyBorder="1" applyAlignment="1">
      <alignment horizontal="center" vertical="center"/>
    </xf>
    <xf numFmtId="1" fontId="10" fillId="0" borderId="127" xfId="5" applyNumberFormat="1" applyFont="1" applyBorder="1" applyAlignment="1">
      <alignment horizontal="center" vertical="center"/>
    </xf>
    <xf numFmtId="0" fontId="3" fillId="2" borderId="139" xfId="0" applyFont="1" applyFill="1" applyBorder="1" applyAlignment="1">
      <alignment horizontal="center" vertical="center"/>
    </xf>
    <xf numFmtId="0" fontId="3" fillId="2" borderId="140" xfId="0" applyFont="1" applyFill="1" applyBorder="1" applyAlignment="1">
      <alignment horizontal="center" vertical="center"/>
    </xf>
    <xf numFmtId="0" fontId="4" fillId="2" borderId="107" xfId="0" applyFont="1" applyFill="1" applyBorder="1" applyAlignment="1">
      <alignment vertical="center"/>
    </xf>
    <xf numFmtId="0" fontId="4" fillId="2" borderId="76" xfId="0" applyFont="1" applyFill="1" applyBorder="1" applyAlignment="1">
      <alignment vertical="center"/>
    </xf>
    <xf numFmtId="1" fontId="10" fillId="3" borderId="158" xfId="5" applyNumberFormat="1" applyFont="1" applyFill="1" applyBorder="1" applyAlignment="1">
      <alignment horizontal="center" vertical="center"/>
    </xf>
    <xf numFmtId="1" fontId="10" fillId="3" borderId="108" xfId="5" applyNumberFormat="1" applyFont="1" applyFill="1" applyBorder="1" applyAlignment="1">
      <alignment horizontal="center" vertical="center"/>
    </xf>
    <xf numFmtId="1" fontId="10" fillId="3" borderId="159" xfId="5" applyNumberFormat="1" applyFont="1" applyFill="1" applyBorder="1" applyAlignment="1">
      <alignment horizontal="center" vertical="center"/>
    </xf>
    <xf numFmtId="1" fontId="10" fillId="3" borderId="115" xfId="5" applyNumberFormat="1" applyFont="1" applyFill="1" applyBorder="1" applyAlignment="1">
      <alignment horizontal="center" vertical="center"/>
    </xf>
    <xf numFmtId="0" fontId="4" fillId="3" borderId="129" xfId="0" applyFont="1" applyFill="1" applyBorder="1" applyAlignment="1">
      <alignment horizontal="center" vertical="center"/>
    </xf>
    <xf numFmtId="0" fontId="4" fillId="3" borderId="141" xfId="0" applyFont="1" applyFill="1" applyBorder="1" applyAlignment="1">
      <alignment horizontal="center" vertical="center"/>
    </xf>
    <xf numFmtId="0" fontId="4" fillId="3" borderId="142" xfId="0" applyFont="1" applyFill="1" applyBorder="1" applyAlignment="1">
      <alignment horizontal="center" vertical="center"/>
    </xf>
    <xf numFmtId="0" fontId="4" fillId="3" borderId="130" xfId="0" applyFont="1" applyFill="1" applyBorder="1" applyAlignment="1">
      <alignment horizontal="center" vertical="center"/>
    </xf>
    <xf numFmtId="0" fontId="4" fillId="3" borderId="131" xfId="0" applyFont="1" applyFill="1" applyBorder="1" applyAlignment="1">
      <alignment horizontal="center" vertical="center"/>
    </xf>
    <xf numFmtId="0" fontId="4" fillId="3" borderId="143" xfId="0" applyFont="1" applyFill="1" applyBorder="1" applyAlignment="1">
      <alignment horizontal="center" vertical="center"/>
    </xf>
    <xf numFmtId="0" fontId="4" fillId="3" borderId="144" xfId="0" applyFont="1" applyFill="1" applyBorder="1" applyAlignment="1">
      <alignment horizontal="center" vertical="center"/>
    </xf>
    <xf numFmtId="0" fontId="4" fillId="3" borderId="132" xfId="0" applyFont="1" applyFill="1" applyBorder="1" applyAlignment="1">
      <alignment horizontal="center" vertical="center"/>
    </xf>
    <xf numFmtId="0" fontId="4" fillId="3" borderId="133" xfId="0" applyFont="1" applyFill="1" applyBorder="1" applyAlignment="1">
      <alignment horizontal="center" vertical="center"/>
    </xf>
    <xf numFmtId="0" fontId="4" fillId="3" borderId="145" xfId="0" applyFont="1" applyFill="1" applyBorder="1" applyAlignment="1">
      <alignment horizontal="center" vertical="center"/>
    </xf>
    <xf numFmtId="0" fontId="4" fillId="3" borderId="146" xfId="0" applyFont="1" applyFill="1" applyBorder="1" applyAlignment="1">
      <alignment horizontal="center" vertical="center"/>
    </xf>
    <xf numFmtId="0" fontId="4" fillId="3" borderId="134" xfId="0" applyFont="1" applyFill="1" applyBorder="1" applyAlignment="1">
      <alignment horizontal="center" vertical="center"/>
    </xf>
    <xf numFmtId="0" fontId="3" fillId="3" borderId="135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3" borderId="136" xfId="0" applyFont="1" applyFill="1" applyBorder="1" applyAlignment="1">
      <alignment horizontal="center" vertical="center"/>
    </xf>
    <xf numFmtId="0" fontId="3" fillId="2" borderId="78" xfId="0" applyFont="1" applyFill="1" applyBorder="1" applyAlignment="1">
      <alignment horizontal="left" vertical="center"/>
    </xf>
    <xf numFmtId="0" fontId="3" fillId="2" borderId="78" xfId="0" applyFont="1" applyFill="1" applyBorder="1" applyAlignment="1">
      <alignment horizontal="right" vertical="center"/>
    </xf>
    <xf numFmtId="0" fontId="4" fillId="2" borderId="78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3" fillId="3" borderId="137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13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161" xfId="0" applyFont="1" applyFill="1" applyBorder="1" applyAlignment="1">
      <alignment horizontal="left" vertical="center"/>
    </xf>
    <xf numFmtId="0" fontId="3" fillId="2" borderId="161" xfId="0" applyFont="1" applyFill="1" applyBorder="1" applyAlignment="1">
      <alignment horizontal="right" vertical="center"/>
    </xf>
    <xf numFmtId="0" fontId="4" fillId="2" borderId="161" xfId="0" applyFont="1" applyFill="1" applyBorder="1" applyAlignment="1">
      <alignment vertical="center"/>
    </xf>
    <xf numFmtId="0" fontId="3" fillId="2" borderId="165" xfId="0" applyFont="1" applyFill="1" applyBorder="1" applyAlignment="1">
      <alignment horizontal="left" vertical="center"/>
    </xf>
    <xf numFmtId="0" fontId="3" fillId="3" borderId="49" xfId="0" applyFont="1" applyFill="1" applyBorder="1" applyAlignment="1">
      <alignment horizontal="left" vertical="center"/>
    </xf>
    <xf numFmtId="0" fontId="4" fillId="3" borderId="49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center" vertical="center"/>
    </xf>
    <xf numFmtId="9" fontId="10" fillId="3" borderId="0" xfId="5" applyFont="1" applyFill="1" applyBorder="1" applyAlignment="1">
      <alignment horizontal="center" vertical="center"/>
    </xf>
    <xf numFmtId="1" fontId="10" fillId="3" borderId="0" xfId="5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1" fontId="10" fillId="3" borderId="172" xfId="5" applyNumberFormat="1" applyFont="1" applyFill="1" applyBorder="1" applyAlignment="1">
      <alignment horizontal="center" vertical="center"/>
    </xf>
    <xf numFmtId="1" fontId="10" fillId="3" borderId="152" xfId="5" applyNumberFormat="1" applyFont="1" applyFill="1" applyBorder="1" applyAlignment="1">
      <alignment horizontal="center" vertical="center"/>
    </xf>
    <xf numFmtId="0" fontId="7" fillId="3" borderId="109" xfId="0" applyFont="1" applyFill="1" applyBorder="1" applyAlignment="1">
      <alignment horizontal="center" vertical="center"/>
    </xf>
    <xf numFmtId="0" fontId="7" fillId="3" borderId="116" xfId="0" applyFont="1" applyFill="1" applyBorder="1" applyAlignment="1">
      <alignment horizontal="center" vertical="center"/>
    </xf>
    <xf numFmtId="0" fontId="7" fillId="3" borderId="153" xfId="0" applyFont="1" applyFill="1" applyBorder="1" applyAlignment="1">
      <alignment horizontal="center" vertical="center"/>
    </xf>
    <xf numFmtId="0" fontId="7" fillId="3" borderId="173" xfId="0" applyFont="1" applyFill="1" applyBorder="1" applyAlignment="1">
      <alignment horizontal="center" vertical="center"/>
    </xf>
    <xf numFmtId="1" fontId="7" fillId="3" borderId="171" xfId="5" applyNumberFormat="1" applyFont="1" applyFill="1" applyBorder="1" applyAlignment="1">
      <alignment vertical="center"/>
    </xf>
    <xf numFmtId="0" fontId="0" fillId="2" borderId="161" xfId="0" applyFill="1" applyBorder="1" applyAlignment="1">
      <alignment vertical="center"/>
    </xf>
    <xf numFmtId="0" fontId="3" fillId="2" borderId="166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167" xfId="0" applyFont="1" applyFill="1" applyBorder="1" applyAlignment="1">
      <alignment horizontal="center" vertical="center"/>
    </xf>
    <xf numFmtId="9" fontId="10" fillId="3" borderId="188" xfId="5" applyFont="1" applyFill="1" applyBorder="1" applyAlignment="1">
      <alignment horizontal="center" vertical="center"/>
    </xf>
    <xf numFmtId="1" fontId="10" fillId="3" borderId="188" xfId="5" applyNumberFormat="1" applyFont="1" applyFill="1" applyBorder="1" applyAlignment="1">
      <alignment horizontal="center" vertical="center"/>
    </xf>
    <xf numFmtId="9" fontId="10" fillId="3" borderId="192" xfId="5" applyFont="1" applyFill="1" applyBorder="1" applyAlignment="1">
      <alignment horizontal="center" vertical="center"/>
    </xf>
    <xf numFmtId="1" fontId="10" fillId="3" borderId="192" xfId="5" applyNumberFormat="1" applyFont="1" applyFill="1" applyBorder="1" applyAlignment="1">
      <alignment horizontal="center" vertical="center"/>
    </xf>
    <xf numFmtId="9" fontId="10" fillId="3" borderId="196" xfId="5" applyFont="1" applyFill="1" applyBorder="1" applyAlignment="1">
      <alignment horizontal="center" vertical="center"/>
    </xf>
    <xf numFmtId="1" fontId="10" fillId="3" borderId="196" xfId="5" applyNumberFormat="1" applyFont="1" applyFill="1" applyBorder="1" applyAlignment="1">
      <alignment horizontal="center" vertical="center"/>
    </xf>
    <xf numFmtId="0" fontId="3" fillId="2" borderId="199" xfId="0" applyFont="1" applyFill="1" applyBorder="1" applyAlignment="1">
      <alignment horizontal="left" vertical="center"/>
    </xf>
    <xf numFmtId="0" fontId="4" fillId="2" borderId="162" xfId="0" applyFont="1" applyFill="1" applyBorder="1" applyAlignment="1">
      <alignment vertical="center"/>
    </xf>
    <xf numFmtId="1" fontId="10" fillId="0" borderId="111" xfId="5" applyNumberFormat="1" applyFont="1" applyBorder="1" applyAlignment="1">
      <alignment horizontal="center" vertical="center"/>
    </xf>
    <xf numFmtId="1" fontId="10" fillId="0" borderId="118" xfId="5" applyNumberFormat="1" applyFont="1" applyBorder="1" applyAlignment="1">
      <alignment horizontal="center" vertical="center"/>
    </xf>
    <xf numFmtId="1" fontId="10" fillId="0" borderId="125" xfId="5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3" borderId="220" xfId="0" applyFont="1" applyFill="1" applyBorder="1" applyAlignment="1">
      <alignment horizontal="center" vertical="center"/>
    </xf>
    <xf numFmtId="1" fontId="7" fillId="3" borderId="221" xfId="5" applyNumberFormat="1" applyFont="1" applyFill="1" applyBorder="1" applyAlignment="1">
      <alignment vertical="center"/>
    </xf>
    <xf numFmtId="1" fontId="7" fillId="3" borderId="219" xfId="5" applyNumberFormat="1" applyFont="1" applyFill="1" applyBorder="1" applyAlignment="1">
      <alignment vertical="center"/>
    </xf>
    <xf numFmtId="0" fontId="3" fillId="2" borderId="236" xfId="0" applyFont="1" applyFill="1" applyBorder="1" applyAlignment="1">
      <alignment horizontal="left" vertical="center"/>
    </xf>
    <xf numFmtId="49" fontId="4" fillId="3" borderId="76" xfId="0" applyNumberFormat="1" applyFont="1" applyFill="1" applyBorder="1" applyAlignment="1">
      <alignment vertical="center"/>
    </xf>
    <xf numFmtId="0" fontId="0" fillId="0" borderId="76" xfId="0" applyBorder="1" applyAlignment="1">
      <alignment vertical="center"/>
    </xf>
    <xf numFmtId="0" fontId="4" fillId="3" borderId="253" xfId="0" applyFont="1" applyFill="1" applyBorder="1" applyAlignment="1">
      <alignment vertical="center"/>
    </xf>
    <xf numFmtId="0" fontId="0" fillId="3" borderId="230" xfId="0" applyFill="1" applyBorder="1" applyAlignment="1">
      <alignment vertical="center"/>
    </xf>
    <xf numFmtId="49" fontId="4" fillId="3" borderId="253" xfId="0" applyNumberFormat="1" applyFont="1" applyFill="1" applyBorder="1" applyAlignment="1">
      <alignment vertical="center"/>
    </xf>
    <xf numFmtId="0" fontId="4" fillId="3" borderId="230" xfId="0" applyFont="1" applyFill="1" applyBorder="1" applyAlignment="1">
      <alignment vertical="center"/>
    </xf>
    <xf numFmtId="0" fontId="3" fillId="2" borderId="163" xfId="0" applyFont="1" applyFill="1" applyBorder="1" applyAlignment="1">
      <alignment horizontal="right" vertical="center"/>
    </xf>
    <xf numFmtId="0" fontId="3" fillId="2" borderId="254" xfId="0" applyFont="1" applyFill="1" applyBorder="1" applyAlignment="1">
      <alignment horizontal="left" vertical="center"/>
    </xf>
    <xf numFmtId="0" fontId="12" fillId="3" borderId="253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2" fillId="0" borderId="3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1" fillId="2" borderId="0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9" fontId="0" fillId="0" borderId="0" xfId="5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/>
    </xf>
    <xf numFmtId="3" fontId="0" fillId="0" borderId="257" xfId="0" applyNumberFormat="1" applyBorder="1" applyAlignment="1">
      <alignment horizontal="center" vertical="center"/>
    </xf>
    <xf numFmtId="3" fontId="0" fillId="0" borderId="256" xfId="0" applyNumberFormat="1" applyBorder="1" applyAlignment="1">
      <alignment horizontal="center" vertical="center"/>
    </xf>
    <xf numFmtId="0" fontId="0" fillId="0" borderId="267" xfId="0" applyBorder="1" applyAlignment="1">
      <alignment horizontal="center" vertical="center"/>
    </xf>
    <xf numFmtId="0" fontId="0" fillId="0" borderId="268" xfId="0" applyBorder="1" applyAlignment="1">
      <alignment horizontal="center" vertical="center"/>
    </xf>
    <xf numFmtId="0" fontId="0" fillId="0" borderId="269" xfId="0" applyBorder="1" applyAlignment="1">
      <alignment horizontal="center" vertical="center"/>
    </xf>
    <xf numFmtId="0" fontId="0" fillId="0" borderId="270" xfId="0" applyBorder="1" applyAlignment="1">
      <alignment horizontal="center" vertical="center"/>
    </xf>
    <xf numFmtId="0" fontId="0" fillId="0" borderId="275" xfId="0" applyBorder="1" applyAlignment="1">
      <alignment horizontal="center" vertical="center"/>
    </xf>
    <xf numFmtId="0" fontId="0" fillId="0" borderId="276" xfId="0" applyBorder="1" applyAlignment="1">
      <alignment horizontal="center" vertical="center"/>
    </xf>
    <xf numFmtId="9" fontId="0" fillId="0" borderId="275" xfId="5" applyFont="1" applyBorder="1" applyAlignment="1">
      <alignment horizontal="center" vertical="center"/>
    </xf>
    <xf numFmtId="3" fontId="0" fillId="0" borderId="268" xfId="0" applyNumberFormat="1" applyBorder="1" applyAlignment="1">
      <alignment horizontal="center" vertical="center"/>
    </xf>
    <xf numFmtId="9" fontId="0" fillId="0" borderId="276" xfId="5" applyFont="1" applyBorder="1" applyAlignment="1">
      <alignment horizontal="center" vertical="center"/>
    </xf>
    <xf numFmtId="3" fontId="0" fillId="0" borderId="270" xfId="0" applyNumberFormat="1" applyBorder="1" applyAlignment="1">
      <alignment horizontal="center" vertical="center"/>
    </xf>
    <xf numFmtId="3" fontId="0" fillId="0" borderId="280" xfId="0" applyNumberFormat="1" applyBorder="1" applyAlignment="1">
      <alignment horizontal="center" vertical="center"/>
    </xf>
    <xf numFmtId="3" fontId="0" fillId="0" borderId="281" xfId="0" applyNumberFormat="1" applyBorder="1" applyAlignment="1">
      <alignment horizontal="center" vertical="center"/>
    </xf>
    <xf numFmtId="0" fontId="15" fillId="2" borderId="265" xfId="0" applyFont="1" applyFill="1" applyBorder="1" applyAlignment="1">
      <alignment horizontal="center" vertical="center"/>
    </xf>
    <xf numFmtId="0" fontId="15" fillId="2" borderId="266" xfId="0" applyFont="1" applyFill="1" applyBorder="1" applyAlignment="1">
      <alignment horizontal="center" vertical="center"/>
    </xf>
    <xf numFmtId="0" fontId="15" fillId="2" borderId="274" xfId="0" applyFont="1" applyFill="1" applyBorder="1" applyAlignment="1">
      <alignment horizontal="center" vertical="center"/>
    </xf>
    <xf numFmtId="0" fontId="15" fillId="2" borderId="274" xfId="0" applyFont="1" applyFill="1" applyBorder="1" applyAlignment="1">
      <alignment horizontal="center" vertical="center" wrapText="1"/>
    </xf>
    <xf numFmtId="3" fontId="15" fillId="2" borderId="266" xfId="0" applyNumberFormat="1" applyFont="1" applyFill="1" applyBorder="1" applyAlignment="1">
      <alignment horizontal="center" vertical="center" wrapText="1"/>
    </xf>
    <xf numFmtId="3" fontId="15" fillId="2" borderId="279" xfId="0" applyNumberFormat="1" applyFont="1" applyFill="1" applyBorder="1" applyAlignment="1">
      <alignment horizontal="center" vertical="center" wrapText="1"/>
    </xf>
    <xf numFmtId="0" fontId="0" fillId="2" borderId="259" xfId="0" applyFill="1" applyBorder="1" applyAlignment="1">
      <alignment vertical="center"/>
    </xf>
    <xf numFmtId="0" fontId="0" fillId="2" borderId="261" xfId="0" applyFill="1" applyBorder="1" applyAlignment="1">
      <alignment vertical="center"/>
    </xf>
    <xf numFmtId="0" fontId="13" fillId="2" borderId="261" xfId="0" applyFont="1" applyFill="1" applyBorder="1" applyAlignment="1">
      <alignment vertical="center"/>
    </xf>
    <xf numFmtId="0" fontId="0" fillId="2" borderId="262" xfId="0" applyFill="1" applyBorder="1" applyAlignment="1">
      <alignment vertical="center"/>
    </xf>
    <xf numFmtId="0" fontId="0" fillId="0" borderId="271" xfId="0" applyBorder="1" applyAlignment="1">
      <alignment horizontal="center" vertical="center"/>
    </xf>
    <xf numFmtId="0" fontId="0" fillId="0" borderId="272" xfId="0" applyBorder="1" applyAlignment="1">
      <alignment horizontal="center" vertical="center"/>
    </xf>
    <xf numFmtId="0" fontId="0" fillId="0" borderId="277" xfId="0" applyBorder="1" applyAlignment="1">
      <alignment horizontal="center" vertical="center"/>
    </xf>
    <xf numFmtId="3" fontId="0" fillId="0" borderId="258" xfId="0" applyNumberFormat="1" applyBorder="1" applyAlignment="1">
      <alignment horizontal="center" vertical="center"/>
    </xf>
    <xf numFmtId="9" fontId="0" fillId="0" borderId="277" xfId="5" applyFont="1" applyBorder="1" applyAlignment="1">
      <alignment horizontal="center" vertical="center"/>
    </xf>
    <xf numFmtId="3" fontId="0" fillId="0" borderId="272" xfId="0" applyNumberFormat="1" applyBorder="1" applyAlignment="1">
      <alignment horizontal="center" vertical="center"/>
    </xf>
    <xf numFmtId="0" fontId="15" fillId="2" borderId="255" xfId="0" applyFont="1" applyFill="1" applyBorder="1" applyAlignment="1">
      <alignment vertical="center"/>
    </xf>
    <xf numFmtId="0" fontId="15" fillId="0" borderId="283" xfId="0" applyFont="1" applyBorder="1" applyAlignment="1">
      <alignment horizontal="center" vertical="center"/>
    </xf>
    <xf numFmtId="0" fontId="15" fillId="0" borderId="284" xfId="0" applyFont="1" applyBorder="1" applyAlignment="1">
      <alignment horizontal="center" vertical="center"/>
    </xf>
    <xf numFmtId="3" fontId="15" fillId="0" borderId="285" xfId="0" applyNumberFormat="1" applyFont="1" applyBorder="1" applyAlignment="1">
      <alignment horizontal="center" vertical="center"/>
    </xf>
    <xf numFmtId="3" fontId="15" fillId="0" borderId="260" xfId="0" applyNumberFormat="1" applyFont="1" applyBorder="1" applyAlignment="1">
      <alignment horizontal="center" vertical="center"/>
    </xf>
    <xf numFmtId="9" fontId="15" fillId="0" borderId="285" xfId="5" applyFont="1" applyBorder="1" applyAlignment="1">
      <alignment horizontal="center" vertical="center"/>
    </xf>
    <xf numFmtId="3" fontId="15" fillId="0" borderId="284" xfId="0" applyNumberFormat="1" applyFont="1" applyBorder="1" applyAlignment="1">
      <alignment horizontal="center" vertical="center"/>
    </xf>
    <xf numFmtId="3" fontId="15" fillId="0" borderId="286" xfId="0" applyNumberFormat="1" applyFont="1" applyBorder="1" applyAlignment="1">
      <alignment horizontal="center" vertical="center"/>
    </xf>
    <xf numFmtId="0" fontId="18" fillId="4" borderId="255" xfId="0" applyFont="1" applyFill="1" applyBorder="1" applyAlignment="1">
      <alignment vertical="center"/>
    </xf>
    <xf numFmtId="0" fontId="13" fillId="0" borderId="269" xfId="0" applyFont="1" applyBorder="1" applyAlignment="1">
      <alignment horizontal="center" vertical="center"/>
    </xf>
    <xf numFmtId="0" fontId="13" fillId="0" borderId="270" xfId="0" applyFont="1" applyBorder="1" applyAlignment="1">
      <alignment horizontal="center" vertical="center"/>
    </xf>
    <xf numFmtId="3" fontId="13" fillId="0" borderId="257" xfId="0" applyNumberFormat="1" applyFont="1" applyBorder="1" applyAlignment="1">
      <alignment horizontal="center" vertical="center"/>
    </xf>
    <xf numFmtId="0" fontId="13" fillId="0" borderId="276" xfId="0" applyFont="1" applyBorder="1" applyAlignment="1">
      <alignment horizontal="center" vertical="center"/>
    </xf>
    <xf numFmtId="9" fontId="13" fillId="0" borderId="276" xfId="5" applyFont="1" applyBorder="1" applyAlignment="1">
      <alignment horizontal="center" vertical="center"/>
    </xf>
    <xf numFmtId="3" fontId="13" fillId="0" borderId="270" xfId="0" applyNumberFormat="1" applyFont="1" applyBorder="1" applyAlignment="1">
      <alignment horizontal="center" vertical="center"/>
    </xf>
    <xf numFmtId="3" fontId="13" fillId="0" borderId="281" xfId="0" applyNumberFormat="1" applyFont="1" applyBorder="1" applyAlignment="1">
      <alignment horizontal="center" vertical="center"/>
    </xf>
    <xf numFmtId="9" fontId="20" fillId="3" borderId="188" xfId="5" applyFont="1" applyFill="1" applyBorder="1" applyAlignment="1">
      <alignment horizontal="center" vertical="center"/>
    </xf>
    <xf numFmtId="1" fontId="20" fillId="3" borderId="188" xfId="5" applyNumberFormat="1" applyFont="1" applyFill="1" applyBorder="1" applyAlignment="1">
      <alignment horizontal="center" vertical="center"/>
    </xf>
    <xf numFmtId="9" fontId="20" fillId="3" borderId="192" xfId="5" applyFont="1" applyFill="1" applyBorder="1" applyAlignment="1">
      <alignment horizontal="center" vertical="center"/>
    </xf>
    <xf numFmtId="1" fontId="20" fillId="3" borderId="192" xfId="5" applyNumberFormat="1" applyFont="1" applyFill="1" applyBorder="1" applyAlignment="1">
      <alignment horizontal="center" vertical="center"/>
    </xf>
    <xf numFmtId="9" fontId="20" fillId="3" borderId="196" xfId="5" applyFont="1" applyFill="1" applyBorder="1" applyAlignment="1">
      <alignment horizontal="center" vertical="center"/>
    </xf>
    <xf numFmtId="1" fontId="20" fillId="3" borderId="196" xfId="5" applyNumberFormat="1" applyFont="1" applyFill="1" applyBorder="1" applyAlignment="1">
      <alignment horizontal="center" vertical="center"/>
    </xf>
    <xf numFmtId="9" fontId="20" fillId="3" borderId="47" xfId="5" applyFont="1" applyFill="1" applyBorder="1" applyAlignment="1">
      <alignment horizontal="center" vertical="center"/>
    </xf>
    <xf numFmtId="1" fontId="20" fillId="3" borderId="47" xfId="5" applyNumberFormat="1" applyFont="1" applyFill="1" applyBorder="1" applyAlignment="1">
      <alignment horizontal="center" vertical="center"/>
    </xf>
    <xf numFmtId="9" fontId="20" fillId="3" borderId="48" xfId="5" applyFont="1" applyFill="1" applyBorder="1" applyAlignment="1">
      <alignment horizontal="center" vertical="center"/>
    </xf>
    <xf numFmtId="1" fontId="20" fillId="3" borderId="48" xfId="5" applyNumberFormat="1" applyFont="1" applyFill="1" applyBorder="1" applyAlignment="1">
      <alignment horizontal="center" vertical="center"/>
    </xf>
    <xf numFmtId="3" fontId="10" fillId="3" borderId="188" xfId="5" applyNumberFormat="1" applyFont="1" applyFill="1" applyBorder="1" applyAlignment="1">
      <alignment horizontal="center" vertical="center"/>
    </xf>
    <xf numFmtId="3" fontId="10" fillId="3" borderId="192" xfId="5" applyNumberFormat="1" applyFont="1" applyFill="1" applyBorder="1" applyAlignment="1">
      <alignment horizontal="center" vertical="center"/>
    </xf>
    <xf numFmtId="3" fontId="10" fillId="3" borderId="196" xfId="5" applyNumberFormat="1" applyFont="1" applyFill="1" applyBorder="1" applyAlignment="1">
      <alignment horizontal="center" vertical="center"/>
    </xf>
    <xf numFmtId="1" fontId="10" fillId="3" borderId="114" xfId="5" applyNumberFormat="1" applyFont="1" applyFill="1" applyBorder="1" applyAlignment="1">
      <alignment horizontal="center" vertical="center"/>
    </xf>
    <xf numFmtId="1" fontId="10" fillId="3" borderId="121" xfId="5" applyNumberFormat="1" applyFont="1" applyFill="1" applyBorder="1" applyAlignment="1">
      <alignment horizontal="center" vertical="center"/>
    </xf>
    <xf numFmtId="1" fontId="10" fillId="3" borderId="287" xfId="5" applyNumberFormat="1" applyFont="1" applyFill="1" applyBorder="1" applyAlignment="1">
      <alignment horizontal="center" vertical="center"/>
    </xf>
    <xf numFmtId="1" fontId="7" fillId="3" borderId="288" xfId="5" applyNumberFormat="1" applyFont="1" applyFill="1" applyBorder="1" applyAlignment="1">
      <alignment vertical="center"/>
    </xf>
    <xf numFmtId="1" fontId="7" fillId="3" borderId="289" xfId="5" applyNumberFormat="1" applyFont="1" applyFill="1" applyBorder="1" applyAlignment="1">
      <alignment vertical="center"/>
    </xf>
    <xf numFmtId="1" fontId="7" fillId="3" borderId="290" xfId="5" applyNumberFormat="1" applyFont="1" applyFill="1" applyBorder="1" applyAlignment="1">
      <alignment vertical="center"/>
    </xf>
    <xf numFmtId="3" fontId="10" fillId="3" borderId="110" xfId="5" applyNumberFormat="1" applyFont="1" applyFill="1" applyBorder="1" applyAlignment="1">
      <alignment horizontal="center" vertical="center"/>
    </xf>
    <xf numFmtId="3" fontId="10" fillId="3" borderId="117" xfId="5" applyNumberFormat="1" applyFont="1" applyFill="1" applyBorder="1" applyAlignment="1">
      <alignment horizontal="center" vertical="center"/>
    </xf>
    <xf numFmtId="3" fontId="10" fillId="3" borderId="154" xfId="5" applyNumberFormat="1" applyFont="1" applyFill="1" applyBorder="1" applyAlignment="1">
      <alignment horizontal="center" vertical="center"/>
    </xf>
    <xf numFmtId="3" fontId="7" fillId="3" borderId="170" xfId="5" applyNumberFormat="1" applyFont="1" applyFill="1" applyBorder="1" applyAlignment="1">
      <alignment horizontal="center" vertical="center"/>
    </xf>
    <xf numFmtId="3" fontId="7" fillId="3" borderId="222" xfId="5" applyNumberFormat="1" applyFont="1" applyFill="1" applyBorder="1" applyAlignment="1">
      <alignment horizontal="center" vertical="center"/>
    </xf>
    <xf numFmtId="9" fontId="7" fillId="3" borderId="47" xfId="5" applyFont="1" applyFill="1" applyBorder="1" applyAlignment="1">
      <alignment horizontal="center" vertical="center"/>
    </xf>
    <xf numFmtId="9" fontId="7" fillId="3" borderId="48" xfId="5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3" fontId="10" fillId="3" borderId="296" xfId="5" applyNumberFormat="1" applyFont="1" applyFill="1" applyBorder="1" applyAlignment="1">
      <alignment horizontal="center" vertical="center"/>
    </xf>
    <xf numFmtId="3" fontId="10" fillId="3" borderId="297" xfId="5" applyNumberFormat="1" applyFont="1" applyFill="1" applyBorder="1" applyAlignment="1">
      <alignment horizontal="center" vertical="center"/>
    </xf>
    <xf numFmtId="3" fontId="10" fillId="3" borderId="298" xfId="5" applyNumberFormat="1" applyFont="1" applyFill="1" applyBorder="1" applyAlignment="1">
      <alignment horizontal="center" vertical="center"/>
    </xf>
    <xf numFmtId="3" fontId="7" fillId="3" borderId="257" xfId="5" applyNumberFormat="1" applyFont="1" applyFill="1" applyBorder="1" applyAlignment="1">
      <alignment horizontal="center" vertical="center"/>
    </xf>
    <xf numFmtId="3" fontId="7" fillId="3" borderId="299" xfId="5" applyNumberFormat="1" applyFont="1" applyFill="1" applyBorder="1" applyAlignment="1">
      <alignment horizontal="center" vertical="center"/>
    </xf>
    <xf numFmtId="1" fontId="7" fillId="3" borderId="47" xfId="5" applyNumberFormat="1" applyFont="1" applyFill="1" applyBorder="1" applyAlignment="1">
      <alignment horizontal="center" vertical="center"/>
    </xf>
    <xf numFmtId="1" fontId="7" fillId="3" borderId="48" xfId="5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1" fontId="7" fillId="0" borderId="56" xfId="5" applyNumberFormat="1" applyFont="1" applyBorder="1" applyAlignment="1">
      <alignment horizontal="center" vertical="center"/>
    </xf>
    <xf numFmtId="1" fontId="7" fillId="0" borderId="63" xfId="5" applyNumberFormat="1" applyFont="1" applyBorder="1" applyAlignment="1">
      <alignment horizontal="center" vertical="center"/>
    </xf>
    <xf numFmtId="1" fontId="7" fillId="0" borderId="71" xfId="5" applyNumberFormat="1" applyFont="1" applyBorder="1" applyAlignment="1">
      <alignment horizontal="center" vertical="center"/>
    </xf>
    <xf numFmtId="1" fontId="7" fillId="0" borderId="58" xfId="5" applyNumberFormat="1" applyFont="1" applyBorder="1" applyAlignment="1">
      <alignment horizontal="center" vertical="center"/>
    </xf>
    <xf numFmtId="1" fontId="7" fillId="0" borderId="64" xfId="5" applyNumberFormat="1" applyFont="1" applyBorder="1" applyAlignment="1">
      <alignment horizontal="center" vertical="center"/>
    </xf>
    <xf numFmtId="1" fontId="7" fillId="0" borderId="73" xfId="5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9" fillId="3" borderId="291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7" fillId="3" borderId="291" xfId="0" applyFont="1" applyFill="1" applyBorder="1" applyAlignment="1">
      <alignment horizontal="center" vertical="center"/>
    </xf>
    <xf numFmtId="0" fontId="9" fillId="3" borderId="292" xfId="0" applyFont="1" applyFill="1" applyBorder="1" applyAlignment="1">
      <alignment vertical="center" wrapText="1"/>
    </xf>
    <xf numFmtId="0" fontId="9" fillId="3" borderId="0" xfId="0" applyFont="1" applyFill="1" applyBorder="1" applyAlignment="1">
      <alignment vertical="center" wrapText="1"/>
    </xf>
    <xf numFmtId="1" fontId="10" fillId="3" borderId="292" xfId="5" applyNumberFormat="1" applyFont="1" applyFill="1" applyBorder="1" applyAlignment="1">
      <alignment horizontal="center" vertical="center"/>
    </xf>
    <xf numFmtId="1" fontId="10" fillId="3" borderId="0" xfId="5" applyNumberFormat="1" applyFont="1" applyFill="1" applyBorder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7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9" fontId="21" fillId="3" borderId="47" xfId="5" applyFont="1" applyFill="1" applyBorder="1" applyAlignment="1">
      <alignment horizontal="center" vertical="center"/>
    </xf>
    <xf numFmtId="9" fontId="21" fillId="3" borderId="48" xfId="5" applyFont="1" applyFill="1" applyBorder="1" applyAlignment="1">
      <alignment horizontal="center" vertical="center"/>
    </xf>
    <xf numFmtId="3" fontId="20" fillId="3" borderId="296" xfId="5" applyNumberFormat="1" applyFont="1" applyFill="1" applyBorder="1" applyAlignment="1">
      <alignment horizontal="center" vertical="center"/>
    </xf>
    <xf numFmtId="3" fontId="20" fillId="3" borderId="297" xfId="5" applyNumberFormat="1" applyFont="1" applyFill="1" applyBorder="1" applyAlignment="1">
      <alignment horizontal="center" vertical="center"/>
    </xf>
    <xf numFmtId="3" fontId="20" fillId="3" borderId="298" xfId="5" applyNumberFormat="1" applyFont="1" applyFill="1" applyBorder="1" applyAlignment="1">
      <alignment horizontal="center" vertical="center"/>
    </xf>
    <xf numFmtId="3" fontId="21" fillId="3" borderId="257" xfId="5" applyNumberFormat="1" applyFont="1" applyFill="1" applyBorder="1" applyAlignment="1">
      <alignment horizontal="center" vertical="center"/>
    </xf>
    <xf numFmtId="3" fontId="21" fillId="3" borderId="299" xfId="5" applyNumberFormat="1" applyFont="1" applyFill="1" applyBorder="1" applyAlignment="1">
      <alignment horizontal="center" vertical="center"/>
    </xf>
    <xf numFmtId="0" fontId="4" fillId="3" borderId="232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4" fillId="5" borderId="76" xfId="0" applyFont="1" applyFill="1" applyBorder="1" applyAlignment="1">
      <alignment vertical="center"/>
    </xf>
    <xf numFmtId="0" fontId="0" fillId="2" borderId="165" xfId="0" applyFill="1" applyBorder="1" applyAlignment="1">
      <alignment vertical="center"/>
    </xf>
    <xf numFmtId="0" fontId="3" fillId="3" borderId="0" xfId="0" applyFont="1" applyFill="1" applyAlignment="1">
      <alignment horizontal="left" vertical="center"/>
    </xf>
    <xf numFmtId="3" fontId="7" fillId="3" borderId="47" xfId="5" applyNumberFormat="1" applyFont="1" applyFill="1" applyBorder="1" applyAlignment="1">
      <alignment horizontal="center" vertical="center"/>
    </xf>
    <xf numFmtId="1" fontId="21" fillId="3" borderId="47" xfId="5" applyNumberFormat="1" applyFont="1" applyFill="1" applyBorder="1" applyAlignment="1">
      <alignment horizontal="center" vertical="center"/>
    </xf>
    <xf numFmtId="3" fontId="7" fillId="3" borderId="48" xfId="5" applyNumberFormat="1" applyFont="1" applyFill="1" applyBorder="1" applyAlignment="1">
      <alignment horizontal="center" vertical="center"/>
    </xf>
    <xf numFmtId="1" fontId="21" fillId="3" borderId="48" xfId="5" applyNumberFormat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left" vertical="center"/>
    </xf>
    <xf numFmtId="0" fontId="23" fillId="2" borderId="0" xfId="0" applyFont="1" applyFill="1" applyBorder="1" applyAlignment="1">
      <alignment vertical="center"/>
    </xf>
    <xf numFmtId="0" fontId="22" fillId="2" borderId="165" xfId="0" applyFont="1" applyFill="1" applyBorder="1" applyAlignment="1">
      <alignment horizontal="left" vertical="center"/>
    </xf>
    <xf numFmtId="0" fontId="21" fillId="3" borderId="109" xfId="0" applyFont="1" applyFill="1" applyBorder="1" applyAlignment="1">
      <alignment horizontal="center" vertical="center"/>
    </xf>
    <xf numFmtId="0" fontId="21" fillId="3" borderId="116" xfId="0" applyFont="1" applyFill="1" applyBorder="1" applyAlignment="1">
      <alignment horizontal="center" vertical="center"/>
    </xf>
    <xf numFmtId="0" fontId="21" fillId="3" borderId="123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21" fillId="3" borderId="19" xfId="0" applyFont="1" applyFill="1" applyBorder="1" applyAlignment="1">
      <alignment horizontal="center" vertical="center"/>
    </xf>
    <xf numFmtId="0" fontId="22" fillId="2" borderId="78" xfId="0" applyFont="1" applyFill="1" applyBorder="1" applyAlignment="1">
      <alignment horizontal="left" vertical="center"/>
    </xf>
    <xf numFmtId="0" fontId="23" fillId="3" borderId="75" xfId="0" applyFont="1" applyFill="1" applyBorder="1" applyAlignment="1">
      <alignment vertical="center"/>
    </xf>
    <xf numFmtId="0" fontId="23" fillId="3" borderId="76" xfId="0" applyFont="1" applyFill="1" applyBorder="1" applyAlignment="1">
      <alignment vertical="center"/>
    </xf>
    <xf numFmtId="0" fontId="24" fillId="3" borderId="76" xfId="0" applyFont="1" applyFill="1" applyBorder="1" applyAlignment="1">
      <alignment vertical="center"/>
    </xf>
    <xf numFmtId="0" fontId="24" fillId="3" borderId="77" xfId="0" applyFont="1" applyFill="1" applyBorder="1" applyAlignment="1">
      <alignment vertical="center"/>
    </xf>
    <xf numFmtId="0" fontId="22" fillId="2" borderId="78" xfId="0" applyFont="1" applyFill="1" applyBorder="1" applyAlignment="1">
      <alignment horizontal="right" vertical="center"/>
    </xf>
    <xf numFmtId="49" fontId="23" fillId="3" borderId="75" xfId="0" applyNumberFormat="1" applyFont="1" applyFill="1" applyBorder="1" applyAlignment="1">
      <alignment vertical="center"/>
    </xf>
    <xf numFmtId="0" fontId="23" fillId="3" borderId="77" xfId="0" applyFont="1" applyFill="1" applyBorder="1" applyAlignment="1">
      <alignment vertical="center"/>
    </xf>
    <xf numFmtId="0" fontId="23" fillId="2" borderId="78" xfId="0" applyFont="1" applyFill="1" applyBorder="1" applyAlignment="1">
      <alignment vertical="center"/>
    </xf>
    <xf numFmtId="0" fontId="24" fillId="2" borderId="78" xfId="0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5" fillId="2" borderId="0" xfId="0" applyFont="1" applyFill="1" applyBorder="1" applyAlignment="1">
      <alignment horizontal="left" vertical="center"/>
    </xf>
    <xf numFmtId="0" fontId="22" fillId="2" borderId="28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29" xfId="0" applyFont="1" applyFill="1" applyBorder="1" applyAlignment="1">
      <alignment horizontal="center" vertical="center"/>
    </xf>
    <xf numFmtId="0" fontId="23" fillId="0" borderId="84" xfId="0" applyFont="1" applyBorder="1" applyAlignment="1">
      <alignment horizontal="center" vertical="center"/>
    </xf>
    <xf numFmtId="0" fontId="23" fillId="0" borderId="85" xfId="0" applyFont="1" applyBorder="1" applyAlignment="1">
      <alignment horizontal="center" vertical="center"/>
    </xf>
    <xf numFmtId="0" fontId="23" fillId="0" borderId="86" xfId="0" applyFont="1" applyBorder="1" applyAlignment="1">
      <alignment horizontal="center" vertical="center"/>
    </xf>
    <xf numFmtId="0" fontId="23" fillId="0" borderId="87" xfId="0" applyFont="1" applyBorder="1" applyAlignment="1">
      <alignment horizontal="center" vertical="center"/>
    </xf>
    <xf numFmtId="0" fontId="23" fillId="0" borderId="88" xfId="0" applyFont="1" applyBorder="1" applyAlignment="1">
      <alignment horizontal="center" vertical="center"/>
    </xf>
    <xf numFmtId="0" fontId="23" fillId="0" borderId="89" xfId="0" applyFont="1" applyBorder="1" applyAlignment="1">
      <alignment horizontal="center" vertical="center"/>
    </xf>
    <xf numFmtId="0" fontId="23" fillId="0" borderId="92" xfId="0" applyFont="1" applyBorder="1" applyAlignment="1">
      <alignment horizontal="center" vertical="center"/>
    </xf>
    <xf numFmtId="0" fontId="23" fillId="0" borderId="93" xfId="0" applyFont="1" applyBorder="1" applyAlignment="1">
      <alignment horizontal="center" vertical="center"/>
    </xf>
    <xf numFmtId="0" fontId="23" fillId="0" borderId="94" xfId="0" applyFont="1" applyBorder="1" applyAlignment="1">
      <alignment horizontal="center" vertical="center"/>
    </xf>
    <xf numFmtId="0" fontId="23" fillId="0" borderId="95" xfId="0" applyFont="1" applyBorder="1" applyAlignment="1">
      <alignment horizontal="center" vertical="center"/>
    </xf>
    <xf numFmtId="0" fontId="23" fillId="0" borderId="96" xfId="0" applyFont="1" applyBorder="1" applyAlignment="1">
      <alignment horizontal="center" vertical="center"/>
    </xf>
    <xf numFmtId="0" fontId="23" fillId="0" borderId="97" xfId="0" applyFont="1" applyBorder="1" applyAlignment="1">
      <alignment horizontal="center" vertical="center"/>
    </xf>
    <xf numFmtId="0" fontId="23" fillId="0" borderId="100" xfId="0" applyFont="1" applyBorder="1" applyAlignment="1">
      <alignment horizontal="center" vertical="center"/>
    </xf>
    <xf numFmtId="0" fontId="23" fillId="0" borderId="101" xfId="0" applyFont="1" applyBorder="1" applyAlignment="1">
      <alignment horizontal="center" vertical="center"/>
    </xf>
    <xf numFmtId="0" fontId="23" fillId="0" borderId="102" xfId="0" applyFont="1" applyBorder="1" applyAlignment="1">
      <alignment horizontal="center" vertical="center"/>
    </xf>
    <xf numFmtId="0" fontId="23" fillId="0" borderId="103" xfId="0" applyFont="1" applyBorder="1" applyAlignment="1">
      <alignment horizontal="center" vertical="center"/>
    </xf>
    <xf numFmtId="0" fontId="23" fillId="0" borderId="104" xfId="0" applyFont="1" applyBorder="1" applyAlignment="1">
      <alignment horizontal="center" vertical="center"/>
    </xf>
    <xf numFmtId="0" fontId="23" fillId="0" borderId="105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2" borderId="161" xfId="0" applyFont="1" applyFill="1" applyBorder="1" applyAlignment="1">
      <alignment horizontal="left" vertical="center"/>
    </xf>
    <xf numFmtId="0" fontId="23" fillId="3" borderId="253" xfId="0" applyFont="1" applyFill="1" applyBorder="1" applyAlignment="1">
      <alignment vertical="center"/>
    </xf>
    <xf numFmtId="0" fontId="23" fillId="3" borderId="107" xfId="0" applyFont="1" applyFill="1" applyBorder="1" applyAlignment="1">
      <alignment vertical="center"/>
    </xf>
    <xf numFmtId="0" fontId="24" fillId="3" borderId="107" xfId="0" applyFont="1" applyFill="1" applyBorder="1" applyAlignment="1">
      <alignment vertical="center"/>
    </xf>
    <xf numFmtId="0" fontId="24" fillId="3" borderId="230" xfId="0" applyFont="1" applyFill="1" applyBorder="1" applyAlignment="1">
      <alignment vertical="center"/>
    </xf>
    <xf numFmtId="49" fontId="23" fillId="3" borderId="253" xfId="0" applyNumberFormat="1" applyFont="1" applyFill="1" applyBorder="1" applyAlignment="1">
      <alignment vertical="center"/>
    </xf>
    <xf numFmtId="0" fontId="23" fillId="3" borderId="230" xfId="0" applyFont="1" applyFill="1" applyBorder="1" applyAlignment="1">
      <alignment vertical="center"/>
    </xf>
    <xf numFmtId="0" fontId="23" fillId="2" borderId="161" xfId="0" applyFont="1" applyFill="1" applyBorder="1" applyAlignment="1">
      <alignment vertical="center"/>
    </xf>
    <xf numFmtId="0" fontId="24" fillId="2" borderId="161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3" fillId="2" borderId="0" xfId="0" applyFont="1" applyFill="1" applyAlignment="1">
      <alignment vertical="center"/>
    </xf>
    <xf numFmtId="0" fontId="23" fillId="0" borderId="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2" fillId="2" borderId="17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vertical="center"/>
    </xf>
    <xf numFmtId="0" fontId="22" fillId="2" borderId="0" xfId="0" applyFont="1" applyFill="1" applyBorder="1" applyAlignment="1">
      <alignment horizontal="center" vertical="center"/>
    </xf>
    <xf numFmtId="0" fontId="22" fillId="2" borderId="175" xfId="0" applyFont="1" applyFill="1" applyBorder="1" applyAlignment="1">
      <alignment horizontal="left" vertical="center"/>
    </xf>
    <xf numFmtId="0" fontId="22" fillId="2" borderId="252" xfId="0" applyFont="1" applyFill="1" applyBorder="1" applyAlignment="1">
      <alignment horizontal="right" vertical="center"/>
    </xf>
    <xf numFmtId="0" fontId="23" fillId="2" borderId="230" xfId="0" applyFont="1" applyFill="1" applyBorder="1" applyAlignment="1">
      <alignment vertical="center"/>
    </xf>
    <xf numFmtId="0" fontId="23" fillId="2" borderId="231" xfId="0" applyFont="1" applyFill="1" applyBorder="1" applyAlignment="1">
      <alignment vertical="center"/>
    </xf>
    <xf numFmtId="0" fontId="23" fillId="2" borderId="232" xfId="0" applyFont="1" applyFill="1" applyBorder="1" applyAlignment="1">
      <alignment vertical="center"/>
    </xf>
    <xf numFmtId="0" fontId="24" fillId="2" borderId="231" xfId="0" applyFont="1" applyFill="1" applyBorder="1" applyAlignment="1">
      <alignment vertical="center"/>
    </xf>
    <xf numFmtId="9" fontId="20" fillId="3" borderId="110" xfId="5" applyFont="1" applyFill="1" applyBorder="1" applyAlignment="1">
      <alignment horizontal="center" vertical="center"/>
    </xf>
    <xf numFmtId="1" fontId="20" fillId="3" borderId="110" xfId="5" applyNumberFormat="1" applyFont="1" applyFill="1" applyBorder="1" applyAlignment="1">
      <alignment horizontal="center" vertical="center"/>
    </xf>
    <xf numFmtId="1" fontId="20" fillId="3" borderId="158" xfId="5" applyNumberFormat="1" applyFont="1" applyFill="1" applyBorder="1" applyAlignment="1">
      <alignment horizontal="center" vertical="center"/>
    </xf>
    <xf numFmtId="9" fontId="20" fillId="3" borderId="117" xfId="5" applyFont="1" applyFill="1" applyBorder="1" applyAlignment="1">
      <alignment horizontal="center" vertical="center"/>
    </xf>
    <xf numFmtId="1" fontId="20" fillId="3" borderId="117" xfId="5" applyNumberFormat="1" applyFont="1" applyFill="1" applyBorder="1" applyAlignment="1">
      <alignment horizontal="center" vertical="center"/>
    </xf>
    <xf numFmtId="1" fontId="20" fillId="3" borderId="159" xfId="5" applyNumberFormat="1" applyFont="1" applyFill="1" applyBorder="1" applyAlignment="1">
      <alignment horizontal="center" vertical="center"/>
    </xf>
    <xf numFmtId="9" fontId="20" fillId="3" borderId="124" xfId="5" applyFont="1" applyFill="1" applyBorder="1" applyAlignment="1">
      <alignment horizontal="center" vertical="center"/>
    </xf>
    <xf numFmtId="1" fontId="20" fillId="3" borderId="124" xfId="5" applyNumberFormat="1" applyFont="1" applyFill="1" applyBorder="1" applyAlignment="1">
      <alignment horizontal="center" vertical="center"/>
    </xf>
    <xf numFmtId="1" fontId="20" fillId="3" borderId="300" xfId="5" applyNumberFormat="1" applyFont="1" applyFill="1" applyBorder="1" applyAlignment="1">
      <alignment horizontal="center" vertical="center"/>
    </xf>
    <xf numFmtId="1" fontId="20" fillId="3" borderId="160" xfId="5" applyNumberFormat="1" applyFont="1" applyFill="1" applyBorder="1" applyAlignment="1">
      <alignment horizontal="center" vertical="center"/>
    </xf>
    <xf numFmtId="0" fontId="22" fillId="3" borderId="49" xfId="0" applyFont="1" applyFill="1" applyBorder="1" applyAlignment="1">
      <alignment horizontal="left" vertical="center"/>
    </xf>
    <xf numFmtId="0" fontId="23" fillId="3" borderId="49" xfId="0" applyFont="1" applyFill="1" applyBorder="1" applyAlignment="1">
      <alignment vertical="center"/>
    </xf>
    <xf numFmtId="0" fontId="23" fillId="3" borderId="0" xfId="0" applyFont="1" applyFill="1" applyAlignment="1">
      <alignment vertical="center"/>
    </xf>
    <xf numFmtId="0" fontId="23" fillId="3" borderId="0" xfId="0" applyFont="1" applyFill="1" applyBorder="1" applyAlignment="1">
      <alignment vertical="center"/>
    </xf>
    <xf numFmtId="0" fontId="24" fillId="3" borderId="0" xfId="0" applyFont="1" applyFill="1" applyAlignment="1">
      <alignment vertical="center"/>
    </xf>
    <xf numFmtId="0" fontId="22" fillId="3" borderId="0" xfId="0" applyFont="1" applyFill="1" applyBorder="1" applyAlignment="1">
      <alignment horizontal="left" vertical="center"/>
    </xf>
    <xf numFmtId="0" fontId="26" fillId="3" borderId="0" xfId="0" applyFont="1" applyFill="1" applyBorder="1" applyAlignment="1">
      <alignment vertical="center" wrapText="1"/>
    </xf>
    <xf numFmtId="0" fontId="19" fillId="3" borderId="291" xfId="0" applyFont="1" applyFill="1" applyBorder="1" applyAlignment="1">
      <alignment vertical="center"/>
    </xf>
    <xf numFmtId="0" fontId="19" fillId="3" borderId="292" xfId="0" applyFont="1" applyFill="1" applyBorder="1" applyAlignment="1">
      <alignment vertical="center" wrapText="1"/>
    </xf>
    <xf numFmtId="0" fontId="19" fillId="3" borderId="0" xfId="0" applyFont="1" applyFill="1" applyBorder="1" applyAlignment="1">
      <alignment vertical="center" wrapText="1"/>
    </xf>
    <xf numFmtId="0" fontId="21" fillId="3" borderId="0" xfId="0" applyFont="1" applyFill="1" applyBorder="1" applyAlignment="1">
      <alignment vertical="center" wrapText="1"/>
    </xf>
    <xf numFmtId="0" fontId="22" fillId="3" borderId="0" xfId="0" applyFont="1" applyFill="1" applyBorder="1" applyAlignment="1">
      <alignment vertical="center" wrapText="1"/>
    </xf>
    <xf numFmtId="0" fontId="22" fillId="3" borderId="0" xfId="0" applyFont="1" applyFill="1" applyBorder="1" applyAlignment="1">
      <alignment vertical="center"/>
    </xf>
    <xf numFmtId="0" fontId="22" fillId="3" borderId="0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1" fillId="3" borderId="291" xfId="0" applyFont="1" applyFill="1" applyBorder="1" applyAlignment="1">
      <alignment horizontal="center" vertical="center"/>
    </xf>
    <xf numFmtId="1" fontId="20" fillId="3" borderId="0" xfId="5" applyNumberFormat="1" applyFont="1" applyFill="1" applyBorder="1" applyAlignment="1">
      <alignment horizontal="center" vertical="center"/>
    </xf>
    <xf numFmtId="1" fontId="20" fillId="3" borderId="0" xfId="5" applyNumberFormat="1" applyFont="1" applyFill="1" applyBorder="1" applyAlignment="1">
      <alignment vertical="center" wrapText="1"/>
    </xf>
    <xf numFmtId="0" fontId="22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7" fillId="2" borderId="274" xfId="0" applyFont="1" applyFill="1" applyBorder="1" applyAlignment="1">
      <alignment horizontal="center" vertical="center" wrapText="1"/>
    </xf>
    <xf numFmtId="3" fontId="27" fillId="2" borderId="279" xfId="0" applyNumberFormat="1" applyFont="1" applyFill="1" applyBorder="1" applyAlignment="1">
      <alignment horizontal="center" vertical="center" wrapText="1"/>
    </xf>
    <xf numFmtId="9" fontId="13" fillId="0" borderId="277" xfId="5" applyFont="1" applyBorder="1" applyAlignment="1">
      <alignment horizontal="center" vertical="center"/>
    </xf>
    <xf numFmtId="3" fontId="13" fillId="0" borderId="282" xfId="0" applyNumberFormat="1" applyFont="1" applyBorder="1" applyAlignment="1">
      <alignment horizontal="center" vertical="center"/>
    </xf>
    <xf numFmtId="9" fontId="27" fillId="0" borderId="285" xfId="5" applyFont="1" applyBorder="1" applyAlignment="1">
      <alignment horizontal="center" vertical="center"/>
    </xf>
    <xf numFmtId="3" fontId="27" fillId="0" borderId="286" xfId="0" applyNumberFormat="1" applyFont="1" applyBorder="1" applyAlignment="1">
      <alignment horizontal="center" vertical="center"/>
    </xf>
    <xf numFmtId="49" fontId="12" fillId="3" borderId="75" xfId="0" applyNumberFormat="1" applyFont="1" applyFill="1" applyBorder="1" applyAlignment="1">
      <alignment vertical="center"/>
    </xf>
    <xf numFmtId="0" fontId="22" fillId="2" borderId="236" xfId="0" applyFont="1" applyFill="1" applyBorder="1" applyAlignment="1">
      <alignment horizontal="left" vertical="center"/>
    </xf>
    <xf numFmtId="0" fontId="24" fillId="3" borderId="228" xfId="0" applyFont="1" applyFill="1" applyBorder="1" applyAlignment="1">
      <alignment vertical="center"/>
    </xf>
    <xf numFmtId="0" fontId="22" fillId="2" borderId="161" xfId="0" applyFont="1" applyFill="1" applyBorder="1" applyAlignment="1">
      <alignment horizontal="right" vertical="center"/>
    </xf>
    <xf numFmtId="49" fontId="23" fillId="3" borderId="107" xfId="0" applyNumberFormat="1" applyFont="1" applyFill="1" applyBorder="1" applyAlignment="1">
      <alignment vertical="center"/>
    </xf>
    <xf numFmtId="0" fontId="23" fillId="2" borderId="107" xfId="0" applyFont="1" applyFill="1" applyBorder="1" applyAlignment="1">
      <alignment vertical="center"/>
    </xf>
    <xf numFmtId="0" fontId="23" fillId="2" borderId="76" xfId="0" applyFont="1" applyFill="1" applyBorder="1" applyAlignment="1">
      <alignment vertical="center"/>
    </xf>
    <xf numFmtId="0" fontId="21" fillId="0" borderId="109" xfId="0" applyFont="1" applyBorder="1" applyAlignment="1">
      <alignment horizontal="center" vertical="center"/>
    </xf>
    <xf numFmtId="0" fontId="21" fillId="0" borderId="116" xfId="0" applyFont="1" applyBorder="1" applyAlignment="1">
      <alignment horizontal="center" vertical="center"/>
    </xf>
    <xf numFmtId="0" fontId="21" fillId="0" borderId="123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23" fillId="3" borderId="32" xfId="0" applyFont="1" applyFill="1" applyBorder="1" applyAlignment="1">
      <alignment horizontal="center" vertical="center"/>
    </xf>
    <xf numFmtId="0" fontId="23" fillId="3" borderId="33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23" fillId="3" borderId="35" xfId="0" applyFont="1" applyFill="1" applyBorder="1" applyAlignment="1">
      <alignment horizontal="center" vertical="center"/>
    </xf>
    <xf numFmtId="0" fontId="23" fillId="3" borderId="36" xfId="0" applyFont="1" applyFill="1" applyBorder="1" applyAlignment="1">
      <alignment horizontal="center" vertical="center"/>
    </xf>
    <xf numFmtId="0" fontId="23" fillId="3" borderId="37" xfId="0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2" fillId="2" borderId="166" xfId="0" applyFont="1" applyFill="1" applyBorder="1" applyAlignment="1">
      <alignment horizontal="center" vertical="center"/>
    </xf>
    <xf numFmtId="0" fontId="22" fillId="2" borderId="68" xfId="0" applyFont="1" applyFill="1" applyBorder="1" applyAlignment="1">
      <alignment horizontal="center" vertical="center"/>
    </xf>
    <xf numFmtId="0" fontId="22" fillId="2" borderId="54" xfId="0" applyFont="1" applyFill="1" applyBorder="1" applyAlignment="1">
      <alignment horizontal="center" vertical="center"/>
    </xf>
    <xf numFmtId="0" fontId="22" fillId="2" borderId="168" xfId="0" applyFont="1" applyFill="1" applyBorder="1" applyAlignment="1">
      <alignment horizontal="center" vertical="center"/>
    </xf>
    <xf numFmtId="0" fontId="22" fillId="2" borderId="180" xfId="0" applyFont="1" applyFill="1" applyBorder="1" applyAlignment="1">
      <alignment horizontal="center" vertical="center"/>
    </xf>
    <xf numFmtId="0" fontId="22" fillId="2" borderId="55" xfId="0" applyFont="1" applyFill="1" applyBorder="1" applyAlignment="1">
      <alignment horizontal="center" vertical="center"/>
    </xf>
    <xf numFmtId="0" fontId="23" fillId="3" borderId="135" xfId="0" applyFont="1" applyFill="1" applyBorder="1" applyAlignment="1">
      <alignment horizontal="center" vertical="center"/>
    </xf>
    <xf numFmtId="0" fontId="23" fillId="3" borderId="71" xfId="0" applyFont="1" applyFill="1" applyBorder="1" applyAlignment="1">
      <alignment horizontal="center" vertical="center"/>
    </xf>
    <xf numFmtId="0" fontId="23" fillId="3" borderId="56" xfId="0" applyFont="1" applyFill="1" applyBorder="1" applyAlignment="1">
      <alignment horizontal="center" vertical="center"/>
    </xf>
    <xf numFmtId="0" fontId="23" fillId="3" borderId="150" xfId="0" applyFont="1" applyFill="1" applyBorder="1" applyAlignment="1">
      <alignment horizontal="center" vertical="center"/>
    </xf>
    <xf numFmtId="0" fontId="23" fillId="3" borderId="181" xfId="0" applyFont="1" applyFill="1" applyBorder="1" applyAlignment="1">
      <alignment horizontal="center" vertical="center"/>
    </xf>
    <xf numFmtId="0" fontId="23" fillId="3" borderId="57" xfId="0" applyFont="1" applyFill="1" applyBorder="1" applyAlignment="1">
      <alignment horizontal="center" vertical="center"/>
    </xf>
    <xf numFmtId="0" fontId="23" fillId="3" borderId="137" xfId="0" applyFont="1" applyFill="1" applyBorder="1" applyAlignment="1">
      <alignment horizontal="center" vertical="center"/>
    </xf>
    <xf numFmtId="0" fontId="23" fillId="3" borderId="73" xfId="0" applyFont="1" applyFill="1" applyBorder="1" applyAlignment="1">
      <alignment horizontal="center" vertical="center"/>
    </xf>
    <xf numFmtId="0" fontId="23" fillId="3" borderId="58" xfId="0" applyFont="1" applyFill="1" applyBorder="1" applyAlignment="1">
      <alignment horizontal="center" vertical="center"/>
    </xf>
    <xf numFmtId="0" fontId="23" fillId="3" borderId="151" xfId="0" applyFont="1" applyFill="1" applyBorder="1" applyAlignment="1">
      <alignment horizontal="center" vertical="center"/>
    </xf>
    <xf numFmtId="0" fontId="23" fillId="3" borderId="182" xfId="0" applyFont="1" applyFill="1" applyBorder="1" applyAlignment="1">
      <alignment horizontal="center" vertical="center"/>
    </xf>
    <xf numFmtId="0" fontId="23" fillId="3" borderId="59" xfId="0" applyFont="1" applyFill="1" applyBorder="1" applyAlignment="1">
      <alignment horizontal="center" vertical="center"/>
    </xf>
    <xf numFmtId="9" fontId="15" fillId="0" borderId="260" xfId="5" applyFont="1" applyBorder="1" applyAlignment="1">
      <alignment horizontal="center" vertical="center"/>
    </xf>
    <xf numFmtId="9" fontId="15" fillId="0" borderId="284" xfId="5" applyFont="1" applyBorder="1" applyAlignment="1">
      <alignment horizontal="center" vertical="center"/>
    </xf>
    <xf numFmtId="9" fontId="15" fillId="0" borderId="286" xfId="5" applyFont="1" applyBorder="1" applyAlignment="1">
      <alignment horizontal="center" vertical="center"/>
    </xf>
    <xf numFmtId="0" fontId="11" fillId="2" borderId="161" xfId="0" applyFont="1" applyFill="1" applyBorder="1" applyAlignment="1">
      <alignment horizontal="left" vertical="center"/>
    </xf>
    <xf numFmtId="0" fontId="12" fillId="3" borderId="107" xfId="0" applyFont="1" applyFill="1" applyBorder="1" applyAlignment="1">
      <alignment vertical="center"/>
    </xf>
    <xf numFmtId="0" fontId="13" fillId="3" borderId="107" xfId="0" applyFont="1" applyFill="1" applyBorder="1" applyAlignment="1">
      <alignment vertical="center"/>
    </xf>
    <xf numFmtId="0" fontId="13" fillId="3" borderId="230" xfId="0" applyFont="1" applyFill="1" applyBorder="1" applyAlignment="1">
      <alignment vertical="center"/>
    </xf>
    <xf numFmtId="0" fontId="11" fillId="2" borderId="78" xfId="0" applyFont="1" applyFill="1" applyBorder="1" applyAlignment="1">
      <alignment horizontal="right" vertical="center"/>
    </xf>
    <xf numFmtId="0" fontId="12" fillId="3" borderId="230" xfId="0" applyFont="1" applyFill="1" applyBorder="1" applyAlignment="1">
      <alignment vertical="center"/>
    </xf>
    <xf numFmtId="0" fontId="12" fillId="2" borderId="161" xfId="0" applyFont="1" applyFill="1" applyBorder="1" applyAlignment="1">
      <alignment vertical="center"/>
    </xf>
    <xf numFmtId="0" fontId="13" fillId="2" borderId="161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49" fontId="12" fillId="3" borderId="253" xfId="0" applyNumberFormat="1" applyFont="1" applyFill="1" applyBorder="1" applyAlignment="1">
      <alignment vertical="center"/>
    </xf>
    <xf numFmtId="0" fontId="11" fillId="2" borderId="236" xfId="0" applyFont="1" applyFill="1" applyBorder="1" applyAlignment="1">
      <alignment horizontal="left" vertical="center"/>
    </xf>
    <xf numFmtId="0" fontId="13" fillId="3" borderId="228" xfId="0" applyFont="1" applyFill="1" applyBorder="1" applyAlignment="1">
      <alignment vertical="center"/>
    </xf>
    <xf numFmtId="0" fontId="11" fillId="2" borderId="161" xfId="0" applyFont="1" applyFill="1" applyBorder="1" applyAlignment="1">
      <alignment horizontal="right" vertical="center"/>
    </xf>
    <xf numFmtId="49" fontId="12" fillId="3" borderId="107" xfId="0" applyNumberFormat="1" applyFont="1" applyFill="1" applyBorder="1" applyAlignment="1">
      <alignment vertical="center"/>
    </xf>
    <xf numFmtId="0" fontId="12" fillId="2" borderId="107" xfId="0" applyFont="1" applyFill="1" applyBorder="1" applyAlignment="1">
      <alignment vertical="center"/>
    </xf>
    <xf numFmtId="0" fontId="12" fillId="2" borderId="76" xfId="0" applyFont="1" applyFill="1" applyBorder="1" applyAlignment="1">
      <alignment vertical="center"/>
    </xf>
    <xf numFmtId="0" fontId="12" fillId="0" borderId="84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0" fontId="12" fillId="0" borderId="86" xfId="0" applyFont="1" applyBorder="1" applyAlignment="1">
      <alignment horizontal="center" vertical="center"/>
    </xf>
    <xf numFmtId="0" fontId="12" fillId="0" borderId="87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/>
    </xf>
    <xf numFmtId="0" fontId="29" fillId="0" borderId="109" xfId="0" applyFont="1" applyBorder="1" applyAlignment="1">
      <alignment horizontal="center" vertical="center"/>
    </xf>
    <xf numFmtId="9" fontId="31" fillId="3" borderId="188" xfId="5" applyFont="1" applyFill="1" applyBorder="1" applyAlignment="1">
      <alignment horizontal="center" vertical="center"/>
    </xf>
    <xf numFmtId="0" fontId="12" fillId="0" borderId="92" xfId="0" applyFont="1" applyBorder="1" applyAlignment="1">
      <alignment horizontal="center" vertical="center"/>
    </xf>
    <xf numFmtId="0" fontId="12" fillId="0" borderId="93" xfId="0" applyFont="1" applyBorder="1" applyAlignment="1">
      <alignment horizontal="center" vertical="center"/>
    </xf>
    <xf numFmtId="0" fontId="12" fillId="0" borderId="94" xfId="0" applyFont="1" applyBorder="1" applyAlignment="1">
      <alignment horizontal="center" vertical="center"/>
    </xf>
    <xf numFmtId="0" fontId="12" fillId="0" borderId="95" xfId="0" applyFont="1" applyBorder="1" applyAlignment="1">
      <alignment horizontal="center" vertical="center"/>
    </xf>
    <xf numFmtId="0" fontId="12" fillId="0" borderId="96" xfId="0" applyFont="1" applyBorder="1" applyAlignment="1">
      <alignment horizontal="center" vertical="center"/>
    </xf>
    <xf numFmtId="0" fontId="12" fillId="0" borderId="97" xfId="0" applyFont="1" applyBorder="1" applyAlignment="1">
      <alignment horizontal="center" vertical="center"/>
    </xf>
    <xf numFmtId="0" fontId="29" fillId="0" borderId="116" xfId="0" applyFont="1" applyBorder="1" applyAlignment="1">
      <alignment horizontal="center" vertical="center"/>
    </xf>
    <xf numFmtId="9" fontId="31" fillId="3" borderId="192" xfId="5" applyFont="1" applyFill="1" applyBorder="1" applyAlignment="1">
      <alignment horizontal="center" vertical="center"/>
    </xf>
    <xf numFmtId="0" fontId="12" fillId="0" borderId="100" xfId="0" applyFont="1" applyBorder="1" applyAlignment="1">
      <alignment horizontal="center" vertical="center"/>
    </xf>
    <xf numFmtId="0" fontId="12" fillId="0" borderId="101" xfId="0" applyFont="1" applyBorder="1" applyAlignment="1">
      <alignment horizontal="center" vertical="center"/>
    </xf>
    <xf numFmtId="0" fontId="12" fillId="0" borderId="102" xfId="0" applyFont="1" applyBorder="1" applyAlignment="1">
      <alignment horizontal="center" vertical="center"/>
    </xf>
    <xf numFmtId="0" fontId="12" fillId="0" borderId="103" xfId="0" applyFont="1" applyBorder="1" applyAlignment="1">
      <alignment horizontal="center" vertical="center"/>
    </xf>
    <xf numFmtId="0" fontId="12" fillId="0" borderId="104" xfId="0" applyFont="1" applyBorder="1" applyAlignment="1">
      <alignment horizontal="center" vertical="center"/>
    </xf>
    <xf numFmtId="0" fontId="12" fillId="0" borderId="105" xfId="0" applyFont="1" applyBorder="1" applyAlignment="1">
      <alignment horizontal="center" vertical="center"/>
    </xf>
    <xf numFmtId="0" fontId="29" fillId="0" borderId="123" xfId="0" applyFont="1" applyBorder="1" applyAlignment="1">
      <alignment horizontal="center" vertical="center"/>
    </xf>
    <xf numFmtId="9" fontId="31" fillId="3" borderId="196" xfId="5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9" fontId="29" fillId="3" borderId="47" xfId="5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9" fontId="29" fillId="3" borderId="48" xfId="5" applyFont="1" applyFill="1" applyBorder="1" applyAlignment="1">
      <alignment horizontal="center" vertical="center"/>
    </xf>
    <xf numFmtId="0" fontId="11" fillId="3" borderId="49" xfId="0" applyFont="1" applyFill="1" applyBorder="1" applyAlignment="1">
      <alignment horizontal="left" vertical="center"/>
    </xf>
    <xf numFmtId="0" fontId="12" fillId="3" borderId="4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0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1" fillId="3" borderId="0" xfId="0" applyFont="1" applyFill="1" applyBorder="1" applyAlignment="1">
      <alignment horizontal="left" vertical="center"/>
    </xf>
    <xf numFmtId="0" fontId="28" fillId="3" borderId="0" xfId="0" applyFont="1" applyFill="1" applyBorder="1" applyAlignment="1">
      <alignment vertical="center" wrapText="1"/>
    </xf>
    <xf numFmtId="0" fontId="30" fillId="3" borderId="291" xfId="0" applyFont="1" applyFill="1" applyBorder="1" applyAlignment="1">
      <alignment vertical="center"/>
    </xf>
    <xf numFmtId="0" fontId="30" fillId="3" borderId="292" xfId="0" applyFont="1" applyFill="1" applyBorder="1" applyAlignment="1">
      <alignment vertical="center" wrapText="1"/>
    </xf>
    <xf numFmtId="0" fontId="30" fillId="3" borderId="0" xfId="0" applyFont="1" applyFill="1" applyBorder="1" applyAlignment="1">
      <alignment vertical="center" wrapText="1"/>
    </xf>
    <xf numFmtId="0" fontId="29" fillId="3" borderId="0" xfId="0" applyFont="1" applyFill="1" applyBorder="1" applyAlignment="1">
      <alignment vertical="center" wrapText="1"/>
    </xf>
    <xf numFmtId="0" fontId="11" fillId="3" borderId="0" xfId="0" applyFont="1" applyFill="1" applyBorder="1" applyAlignment="1">
      <alignment vertical="center" wrapText="1"/>
    </xf>
    <xf numFmtId="0" fontId="11" fillId="3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29" fillId="3" borderId="291" xfId="0" applyFont="1" applyFill="1" applyBorder="1" applyAlignment="1">
      <alignment horizontal="center" vertical="center"/>
    </xf>
    <xf numFmtId="3" fontId="31" fillId="3" borderId="296" xfId="5" applyNumberFormat="1" applyFont="1" applyFill="1" applyBorder="1" applyAlignment="1">
      <alignment horizontal="center" vertical="center"/>
    </xf>
    <xf numFmtId="1" fontId="31" fillId="3" borderId="0" xfId="5" applyNumberFormat="1" applyFont="1" applyFill="1" applyBorder="1" applyAlignment="1">
      <alignment horizontal="center" vertical="center"/>
    </xf>
    <xf numFmtId="1" fontId="31" fillId="3" borderId="0" xfId="5" applyNumberFormat="1" applyFont="1" applyFill="1" applyBorder="1" applyAlignment="1">
      <alignment vertical="center" wrapText="1"/>
    </xf>
    <xf numFmtId="3" fontId="31" fillId="3" borderId="297" xfId="5" applyNumberFormat="1" applyFont="1" applyFill="1" applyBorder="1" applyAlignment="1">
      <alignment horizontal="center" vertical="center"/>
    </xf>
    <xf numFmtId="3" fontId="31" fillId="3" borderId="298" xfId="5" applyNumberFormat="1" applyFont="1" applyFill="1" applyBorder="1" applyAlignment="1">
      <alignment horizontal="center" vertical="center"/>
    </xf>
    <xf numFmtId="3" fontId="29" fillId="3" borderId="257" xfId="5" applyNumberFormat="1" applyFont="1" applyFill="1" applyBorder="1" applyAlignment="1">
      <alignment horizontal="center" vertical="center"/>
    </xf>
    <xf numFmtId="3" fontId="29" fillId="3" borderId="299" xfId="5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12" fillId="0" borderId="49" xfId="0" applyFont="1" applyBorder="1" applyAlignment="1">
      <alignment vertical="center"/>
    </xf>
    <xf numFmtId="0" fontId="11" fillId="0" borderId="49" xfId="0" applyFont="1" applyBorder="1" applyAlignment="1">
      <alignment horizontal="left" vertical="center"/>
    </xf>
    <xf numFmtId="0" fontId="11" fillId="2" borderId="166" xfId="0" applyFont="1" applyFill="1" applyBorder="1" applyAlignment="1">
      <alignment horizontal="center" vertical="center"/>
    </xf>
    <xf numFmtId="0" fontId="11" fillId="2" borderId="68" xfId="0" applyFont="1" applyFill="1" applyBorder="1" applyAlignment="1">
      <alignment horizontal="center" vertical="center"/>
    </xf>
    <xf numFmtId="0" fontId="11" fillId="2" borderId="54" xfId="0" applyFont="1" applyFill="1" applyBorder="1" applyAlignment="1">
      <alignment horizontal="center" vertical="center"/>
    </xf>
    <xf numFmtId="0" fontId="11" fillId="2" borderId="168" xfId="0" applyFont="1" applyFill="1" applyBorder="1" applyAlignment="1">
      <alignment horizontal="center" vertical="center"/>
    </xf>
    <xf numFmtId="0" fontId="11" fillId="2" borderId="180" xfId="0" applyFont="1" applyFill="1" applyBorder="1" applyAlignment="1">
      <alignment horizontal="center" vertical="center"/>
    </xf>
    <xf numFmtId="0" fontId="11" fillId="2" borderId="55" xfId="0" applyFont="1" applyFill="1" applyBorder="1" applyAlignment="1">
      <alignment horizontal="center" vertical="center"/>
    </xf>
    <xf numFmtId="0" fontId="12" fillId="3" borderId="135" xfId="0" applyFont="1" applyFill="1" applyBorder="1" applyAlignment="1">
      <alignment horizontal="center" vertical="center"/>
    </xf>
    <xf numFmtId="0" fontId="12" fillId="3" borderId="71" xfId="0" applyFont="1" applyFill="1" applyBorder="1" applyAlignment="1">
      <alignment horizontal="center" vertical="center"/>
    </xf>
    <xf numFmtId="0" fontId="12" fillId="3" borderId="56" xfId="0" applyFont="1" applyFill="1" applyBorder="1" applyAlignment="1">
      <alignment horizontal="center" vertical="center"/>
    </xf>
    <xf numFmtId="0" fontId="12" fillId="3" borderId="150" xfId="0" applyFont="1" applyFill="1" applyBorder="1" applyAlignment="1">
      <alignment horizontal="center" vertical="center"/>
    </xf>
    <xf numFmtId="0" fontId="12" fillId="3" borderId="181" xfId="0" applyFont="1" applyFill="1" applyBorder="1" applyAlignment="1">
      <alignment horizontal="center" vertical="center"/>
    </xf>
    <xf numFmtId="0" fontId="12" fillId="3" borderId="57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center" vertical="center"/>
    </xf>
    <xf numFmtId="0" fontId="12" fillId="3" borderId="137" xfId="0" applyFont="1" applyFill="1" applyBorder="1" applyAlignment="1">
      <alignment horizontal="center" vertical="center"/>
    </xf>
    <xf numFmtId="0" fontId="12" fillId="3" borderId="73" xfId="0" applyFont="1" applyFill="1" applyBorder="1" applyAlignment="1">
      <alignment horizontal="center" vertical="center"/>
    </xf>
    <xf numFmtId="0" fontId="12" fillId="3" borderId="58" xfId="0" applyFont="1" applyFill="1" applyBorder="1" applyAlignment="1">
      <alignment horizontal="center" vertical="center"/>
    </xf>
    <xf numFmtId="0" fontId="12" fillId="3" borderId="151" xfId="0" applyFont="1" applyFill="1" applyBorder="1" applyAlignment="1">
      <alignment horizontal="center" vertical="center"/>
    </xf>
    <xf numFmtId="0" fontId="12" fillId="3" borderId="182" xfId="0" applyFont="1" applyFill="1" applyBorder="1" applyAlignment="1">
      <alignment horizontal="center" vertical="center"/>
    </xf>
    <xf numFmtId="0" fontId="12" fillId="3" borderId="59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1" fillId="2" borderId="254" xfId="0" applyFont="1" applyFill="1" applyBorder="1" applyAlignment="1">
      <alignment horizontal="left" vertical="center"/>
    </xf>
    <xf numFmtId="0" fontId="12" fillId="3" borderId="75" xfId="0" applyFont="1" applyFill="1" applyBorder="1" applyAlignment="1">
      <alignment vertical="center"/>
    </xf>
    <xf numFmtId="0" fontId="12" fillId="3" borderId="76" xfId="0" applyFont="1" applyFill="1" applyBorder="1" applyAlignment="1">
      <alignment vertical="center"/>
    </xf>
    <xf numFmtId="0" fontId="13" fillId="0" borderId="76" xfId="0" applyFont="1" applyBorder="1" applyAlignment="1">
      <alignment vertical="center"/>
    </xf>
    <xf numFmtId="0" fontId="12" fillId="3" borderId="77" xfId="0" applyFont="1" applyFill="1" applyBorder="1" applyAlignment="1">
      <alignment vertical="center"/>
    </xf>
    <xf numFmtId="0" fontId="11" fillId="2" borderId="163" xfId="0" applyFont="1" applyFill="1" applyBorder="1" applyAlignment="1">
      <alignment horizontal="right" vertical="center"/>
    </xf>
    <xf numFmtId="0" fontId="12" fillId="2" borderId="162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1" fillId="2" borderId="165" xfId="0" applyFont="1" applyFill="1" applyBorder="1" applyAlignment="1">
      <alignment horizontal="left" vertical="center"/>
    </xf>
    <xf numFmtId="0" fontId="11" fillId="2" borderId="167" xfId="0" applyFont="1" applyFill="1" applyBorder="1" applyAlignment="1">
      <alignment horizontal="center" vertical="center"/>
    </xf>
    <xf numFmtId="0" fontId="12" fillId="3" borderId="129" xfId="0" applyFont="1" applyFill="1" applyBorder="1" applyAlignment="1">
      <alignment horizontal="center" vertical="center"/>
    </xf>
    <xf numFmtId="0" fontId="12" fillId="3" borderId="141" xfId="0" applyFont="1" applyFill="1" applyBorder="1" applyAlignment="1">
      <alignment horizontal="center" vertical="center"/>
    </xf>
    <xf numFmtId="0" fontId="12" fillId="3" borderId="142" xfId="0" applyFont="1" applyFill="1" applyBorder="1" applyAlignment="1">
      <alignment horizontal="center" vertical="center"/>
    </xf>
    <xf numFmtId="0" fontId="12" fillId="3" borderId="130" xfId="0" applyFont="1" applyFill="1" applyBorder="1" applyAlignment="1">
      <alignment horizontal="center" vertical="center"/>
    </xf>
    <xf numFmtId="0" fontId="29" fillId="3" borderId="109" xfId="0" applyFont="1" applyFill="1" applyBorder="1" applyAlignment="1">
      <alignment horizontal="center" vertical="center"/>
    </xf>
    <xf numFmtId="1" fontId="31" fillId="3" borderId="158" xfId="5" applyNumberFormat="1" applyFont="1" applyFill="1" applyBorder="1" applyAlignment="1">
      <alignment horizontal="center" vertical="center"/>
    </xf>
    <xf numFmtId="1" fontId="31" fillId="3" borderId="114" xfId="5" applyNumberFormat="1" applyFont="1" applyFill="1" applyBorder="1" applyAlignment="1">
      <alignment horizontal="center" vertical="center"/>
    </xf>
    <xf numFmtId="1" fontId="31" fillId="3" borderId="108" xfId="5" applyNumberFormat="1" applyFont="1" applyFill="1" applyBorder="1" applyAlignment="1">
      <alignment horizontal="center" vertical="center"/>
    </xf>
    <xf numFmtId="0" fontId="12" fillId="3" borderId="131" xfId="0" applyFont="1" applyFill="1" applyBorder="1" applyAlignment="1">
      <alignment horizontal="center" vertical="center"/>
    </xf>
    <xf numFmtId="0" fontId="12" fillId="3" borderId="143" xfId="0" applyFont="1" applyFill="1" applyBorder="1" applyAlignment="1">
      <alignment horizontal="center" vertical="center"/>
    </xf>
    <xf numFmtId="0" fontId="12" fillId="3" borderId="144" xfId="0" applyFont="1" applyFill="1" applyBorder="1" applyAlignment="1">
      <alignment horizontal="center" vertical="center"/>
    </xf>
    <xf numFmtId="0" fontId="12" fillId="3" borderId="132" xfId="0" applyFont="1" applyFill="1" applyBorder="1" applyAlignment="1">
      <alignment horizontal="center" vertical="center"/>
    </xf>
    <xf numFmtId="0" fontId="29" fillId="3" borderId="116" xfId="0" applyFont="1" applyFill="1" applyBorder="1" applyAlignment="1">
      <alignment horizontal="center" vertical="center"/>
    </xf>
    <xf numFmtId="1" fontId="31" fillId="3" borderId="159" xfId="5" applyNumberFormat="1" applyFont="1" applyFill="1" applyBorder="1" applyAlignment="1">
      <alignment horizontal="center" vertical="center"/>
    </xf>
    <xf numFmtId="1" fontId="31" fillId="3" borderId="121" xfId="5" applyNumberFormat="1" applyFont="1" applyFill="1" applyBorder="1" applyAlignment="1">
      <alignment horizontal="center" vertical="center"/>
    </xf>
    <xf numFmtId="1" fontId="31" fillId="3" borderId="115" xfId="5" applyNumberFormat="1" applyFont="1" applyFill="1" applyBorder="1" applyAlignment="1">
      <alignment horizontal="center" vertical="center"/>
    </xf>
    <xf numFmtId="0" fontId="12" fillId="3" borderId="133" xfId="0" applyFont="1" applyFill="1" applyBorder="1" applyAlignment="1">
      <alignment horizontal="center" vertical="center"/>
    </xf>
    <xf numFmtId="0" fontId="12" fillId="3" borderId="145" xfId="0" applyFont="1" applyFill="1" applyBorder="1" applyAlignment="1">
      <alignment horizontal="center" vertical="center"/>
    </xf>
    <xf numFmtId="0" fontId="12" fillId="3" borderId="146" xfId="0" applyFont="1" applyFill="1" applyBorder="1" applyAlignment="1">
      <alignment horizontal="center" vertical="center"/>
    </xf>
    <xf numFmtId="0" fontId="12" fillId="3" borderId="134" xfId="0" applyFont="1" applyFill="1" applyBorder="1" applyAlignment="1">
      <alignment horizontal="center" vertical="center"/>
    </xf>
    <xf numFmtId="0" fontId="29" fillId="3" borderId="153" xfId="0" applyFont="1" applyFill="1" applyBorder="1" applyAlignment="1">
      <alignment horizontal="center" vertical="center"/>
    </xf>
    <xf numFmtId="1" fontId="31" fillId="3" borderId="172" xfId="5" applyNumberFormat="1" applyFont="1" applyFill="1" applyBorder="1" applyAlignment="1">
      <alignment horizontal="center" vertical="center"/>
    </xf>
    <xf numFmtId="1" fontId="31" fillId="3" borderId="287" xfId="5" applyNumberFormat="1" applyFont="1" applyFill="1" applyBorder="1" applyAlignment="1">
      <alignment horizontal="center" vertical="center"/>
    </xf>
    <xf numFmtId="1" fontId="31" fillId="3" borderId="152" xfId="5" applyNumberFormat="1" applyFont="1" applyFill="1" applyBorder="1" applyAlignment="1">
      <alignment horizontal="center" vertical="center"/>
    </xf>
    <xf numFmtId="0" fontId="11" fillId="3" borderId="135" xfId="0" applyFont="1" applyFill="1" applyBorder="1" applyAlignment="1">
      <alignment horizontal="center" vertical="center"/>
    </xf>
    <xf numFmtId="0" fontId="11" fillId="3" borderId="57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1" fillId="3" borderId="136" xfId="0" applyFont="1" applyFill="1" applyBorder="1" applyAlignment="1">
      <alignment horizontal="center" vertical="center"/>
    </xf>
    <xf numFmtId="0" fontId="29" fillId="3" borderId="173" xfId="0" applyFont="1" applyFill="1" applyBorder="1" applyAlignment="1">
      <alignment horizontal="center" vertical="center"/>
    </xf>
    <xf numFmtId="1" fontId="29" fillId="3" borderId="288" xfId="5" applyNumberFormat="1" applyFont="1" applyFill="1" applyBorder="1" applyAlignment="1">
      <alignment vertical="center"/>
    </xf>
    <xf numFmtId="1" fontId="29" fillId="3" borderId="289" xfId="5" applyNumberFormat="1" applyFont="1" applyFill="1" applyBorder="1" applyAlignment="1">
      <alignment vertical="center"/>
    </xf>
    <xf numFmtId="1" fontId="29" fillId="3" borderId="171" xfId="5" applyNumberFormat="1" applyFont="1" applyFill="1" applyBorder="1" applyAlignment="1">
      <alignment vertical="center"/>
    </xf>
    <xf numFmtId="0" fontId="11" fillId="3" borderId="137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138" xfId="0" applyFont="1" applyFill="1" applyBorder="1" applyAlignment="1">
      <alignment horizontal="center" vertical="center"/>
    </xf>
    <xf numFmtId="0" fontId="11" fillId="3" borderId="220" xfId="0" applyFont="1" applyFill="1" applyBorder="1" applyAlignment="1">
      <alignment horizontal="center" vertical="center"/>
    </xf>
    <xf numFmtId="1" fontId="29" fillId="3" borderId="221" xfId="5" applyNumberFormat="1" applyFont="1" applyFill="1" applyBorder="1" applyAlignment="1">
      <alignment vertical="center"/>
    </xf>
    <xf numFmtId="1" fontId="29" fillId="3" borderId="290" xfId="5" applyNumberFormat="1" applyFont="1" applyFill="1" applyBorder="1" applyAlignment="1">
      <alignment vertical="center"/>
    </xf>
    <xf numFmtId="1" fontId="29" fillId="3" borderId="219" xfId="5" applyNumberFormat="1" applyFont="1" applyFill="1" applyBorder="1" applyAlignment="1">
      <alignment vertical="center"/>
    </xf>
    <xf numFmtId="0" fontId="29" fillId="3" borderId="0" xfId="0" applyFont="1" applyFill="1" applyBorder="1" applyAlignment="1">
      <alignment horizontal="center" vertical="center"/>
    </xf>
    <xf numFmtId="9" fontId="31" fillId="3" borderId="0" xfId="5" applyFont="1" applyFill="1" applyBorder="1" applyAlignment="1">
      <alignment horizontal="center" vertical="center"/>
    </xf>
    <xf numFmtId="1" fontId="31" fillId="3" borderId="188" xfId="5" applyNumberFormat="1" applyFont="1" applyFill="1" applyBorder="1" applyAlignment="1">
      <alignment horizontal="center" vertical="center"/>
    </xf>
    <xf numFmtId="1" fontId="31" fillId="3" borderId="192" xfId="5" applyNumberFormat="1" applyFont="1" applyFill="1" applyBorder="1" applyAlignment="1">
      <alignment horizontal="center" vertical="center"/>
    </xf>
    <xf numFmtId="1" fontId="31" fillId="3" borderId="196" xfId="5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vertical="center"/>
    </xf>
    <xf numFmtId="1" fontId="29" fillId="3" borderId="47" xfId="5" applyNumberFormat="1" applyFont="1" applyFill="1" applyBorder="1" applyAlignment="1">
      <alignment horizontal="center" vertical="center"/>
    </xf>
    <xf numFmtId="1" fontId="29" fillId="3" borderId="48" xfId="5" applyNumberFormat="1" applyFont="1" applyFill="1" applyBorder="1" applyAlignment="1">
      <alignment horizontal="center" vertical="center"/>
    </xf>
    <xf numFmtId="0" fontId="12" fillId="3" borderId="136" xfId="0" applyFont="1" applyFill="1" applyBorder="1" applyAlignment="1">
      <alignment horizontal="center" vertical="center"/>
    </xf>
    <xf numFmtId="0" fontId="12" fillId="3" borderId="138" xfId="0" applyFont="1" applyFill="1" applyBorder="1" applyAlignment="1">
      <alignment horizontal="center" vertical="center"/>
    </xf>
    <xf numFmtId="0" fontId="13" fillId="3" borderId="76" xfId="0" applyFont="1" applyFill="1" applyBorder="1" applyAlignment="1">
      <alignment vertical="center"/>
    </xf>
    <xf numFmtId="0" fontId="13" fillId="3" borderId="77" xfId="0" applyFont="1" applyFill="1" applyBorder="1" applyAlignment="1">
      <alignment vertical="center"/>
    </xf>
    <xf numFmtId="0" fontId="11" fillId="2" borderId="199" xfId="0" applyFont="1" applyFill="1" applyBorder="1" applyAlignment="1">
      <alignment horizontal="left" vertical="center"/>
    </xf>
    <xf numFmtId="0" fontId="11" fillId="2" borderId="164" xfId="0" applyFont="1" applyFill="1" applyBorder="1" applyAlignment="1">
      <alignment horizontal="right" vertical="center"/>
    </xf>
    <xf numFmtId="0" fontId="12" fillId="2" borderId="233" xfId="0" applyFont="1" applyFill="1" applyBorder="1" applyAlignment="1">
      <alignment vertical="center"/>
    </xf>
    <xf numFmtId="0" fontId="12" fillId="2" borderId="234" xfId="0" applyFont="1" applyFill="1" applyBorder="1" applyAlignment="1">
      <alignment vertical="center"/>
    </xf>
    <xf numFmtId="0" fontId="12" fillId="2" borderId="235" xfId="0" applyFont="1" applyFill="1" applyBorder="1" applyAlignment="1">
      <alignment vertical="center"/>
    </xf>
    <xf numFmtId="0" fontId="12" fillId="3" borderId="147" xfId="0" applyFont="1" applyFill="1" applyBorder="1" applyAlignment="1">
      <alignment horizontal="center" vertical="center"/>
    </xf>
    <xf numFmtId="0" fontId="12" fillId="3" borderId="183" xfId="0" applyFont="1" applyFill="1" applyBorder="1" applyAlignment="1">
      <alignment horizontal="center" vertical="center"/>
    </xf>
    <xf numFmtId="0" fontId="29" fillId="3" borderId="187" xfId="0" applyFont="1" applyFill="1" applyBorder="1" applyAlignment="1">
      <alignment horizontal="center" vertical="center"/>
    </xf>
    <xf numFmtId="1" fontId="31" fillId="3" borderId="189" xfId="5" applyNumberFormat="1" applyFont="1" applyFill="1" applyBorder="1" applyAlignment="1">
      <alignment horizontal="center" vertical="center"/>
    </xf>
    <xf numFmtId="1" fontId="31" fillId="3" borderId="83" xfId="5" applyNumberFormat="1" applyFont="1" applyFill="1" applyBorder="1" applyAlignment="1">
      <alignment horizontal="center" vertical="center"/>
    </xf>
    <xf numFmtId="0" fontId="12" fillId="3" borderId="148" xfId="0" applyFont="1" applyFill="1" applyBorder="1" applyAlignment="1">
      <alignment horizontal="center" vertical="center"/>
    </xf>
    <xf numFmtId="0" fontId="12" fillId="3" borderId="184" xfId="0" applyFont="1" applyFill="1" applyBorder="1" applyAlignment="1">
      <alignment horizontal="center" vertical="center"/>
    </xf>
    <xf numFmtId="0" fontId="29" fillId="3" borderId="191" xfId="0" applyFont="1" applyFill="1" applyBorder="1" applyAlignment="1">
      <alignment horizontal="center" vertical="center"/>
    </xf>
    <xf numFmtId="1" fontId="31" fillId="3" borderId="193" xfId="5" applyNumberFormat="1" applyFont="1" applyFill="1" applyBorder="1" applyAlignment="1">
      <alignment horizontal="center" vertical="center"/>
    </xf>
    <xf numFmtId="1" fontId="31" fillId="3" borderId="91" xfId="5" applyNumberFormat="1" applyFont="1" applyFill="1" applyBorder="1" applyAlignment="1">
      <alignment horizontal="center" vertical="center"/>
    </xf>
    <xf numFmtId="0" fontId="12" fillId="3" borderId="149" xfId="0" applyFont="1" applyFill="1" applyBorder="1" applyAlignment="1">
      <alignment horizontal="center" vertical="center"/>
    </xf>
    <xf numFmtId="0" fontId="12" fillId="3" borderId="185" xfId="0" applyFont="1" applyFill="1" applyBorder="1" applyAlignment="1">
      <alignment horizontal="center" vertical="center"/>
    </xf>
    <xf numFmtId="0" fontId="29" fillId="3" borderId="195" xfId="0" applyFont="1" applyFill="1" applyBorder="1" applyAlignment="1">
      <alignment horizontal="center" vertical="center"/>
    </xf>
    <xf numFmtId="1" fontId="31" fillId="3" borderId="197" xfId="5" applyNumberFormat="1" applyFont="1" applyFill="1" applyBorder="1" applyAlignment="1">
      <alignment horizontal="center" vertical="center"/>
    </xf>
    <xf numFmtId="1" fontId="31" fillId="3" borderId="99" xfId="5" applyNumberFormat="1" applyFont="1" applyFill="1" applyBorder="1" applyAlignment="1">
      <alignment horizontal="center" vertical="center"/>
    </xf>
    <xf numFmtId="0" fontId="29" fillId="3" borderId="17" xfId="0" applyFont="1" applyFill="1" applyBorder="1" applyAlignment="1">
      <alignment horizontal="center" vertical="center"/>
    </xf>
    <xf numFmtId="9" fontId="31" fillId="3" borderId="47" xfId="5" applyFont="1" applyFill="1" applyBorder="1" applyAlignment="1">
      <alignment horizontal="center" vertical="center"/>
    </xf>
    <xf numFmtId="1" fontId="31" fillId="3" borderId="47" xfId="5" applyNumberFormat="1" applyFont="1" applyFill="1" applyBorder="1" applyAlignment="1">
      <alignment horizontal="center" vertical="center"/>
    </xf>
    <xf numFmtId="1" fontId="29" fillId="3" borderId="198" xfId="5" applyNumberFormat="1" applyFont="1" applyFill="1" applyBorder="1" applyAlignment="1">
      <alignment vertical="center"/>
    </xf>
    <xf numFmtId="1" fontId="29" fillId="3" borderId="41" xfId="5" applyNumberFormat="1" applyFont="1" applyFill="1" applyBorder="1" applyAlignment="1">
      <alignment vertical="center"/>
    </xf>
    <xf numFmtId="9" fontId="31" fillId="3" borderId="48" xfId="5" applyFont="1" applyFill="1" applyBorder="1" applyAlignment="1">
      <alignment horizontal="center" vertical="center"/>
    </xf>
    <xf numFmtId="1" fontId="31" fillId="3" borderId="48" xfId="5" applyNumberFormat="1" applyFont="1" applyFill="1" applyBorder="1" applyAlignment="1">
      <alignment horizontal="center" vertical="center"/>
    </xf>
    <xf numFmtId="1" fontId="29" fillId="3" borderId="160" xfId="5" applyNumberFormat="1" applyFont="1" applyFill="1" applyBorder="1" applyAlignment="1">
      <alignment vertical="center"/>
    </xf>
    <xf numFmtId="1" fontId="29" fillId="3" borderId="43" xfId="5" applyNumberFormat="1" applyFont="1" applyFill="1" applyBorder="1" applyAlignment="1">
      <alignment vertical="center"/>
    </xf>
    <xf numFmtId="0" fontId="14" fillId="2" borderId="49" xfId="0" applyFont="1" applyFill="1" applyBorder="1" applyAlignment="1">
      <alignment horizontal="left" vertical="center"/>
    </xf>
    <xf numFmtId="0" fontId="12" fillId="2" borderId="49" xfId="0" applyFont="1" applyFill="1" applyBorder="1" applyAlignment="1">
      <alignment vertical="center"/>
    </xf>
    <xf numFmtId="0" fontId="13" fillId="2" borderId="49" xfId="0" applyFont="1" applyFill="1" applyBorder="1" applyAlignment="1">
      <alignment vertical="center"/>
    </xf>
    <xf numFmtId="0" fontId="29" fillId="3" borderId="49" xfId="0" applyFont="1" applyFill="1" applyBorder="1" applyAlignment="1">
      <alignment horizontal="center" vertical="center"/>
    </xf>
    <xf numFmtId="9" fontId="31" fillId="3" borderId="49" xfId="5" applyFont="1" applyFill="1" applyBorder="1" applyAlignment="1">
      <alignment horizontal="center" vertical="center"/>
    </xf>
    <xf numFmtId="1" fontId="31" fillId="3" borderId="49" xfId="5" applyNumberFormat="1" applyFont="1" applyFill="1" applyBorder="1" applyAlignment="1">
      <alignment horizontal="center" vertical="center"/>
    </xf>
    <xf numFmtId="0" fontId="11" fillId="2" borderId="107" xfId="0" applyFont="1" applyFill="1" applyBorder="1" applyAlignment="1">
      <alignment horizontal="left" vertical="center"/>
    </xf>
    <xf numFmtId="0" fontId="12" fillId="3" borderId="250" xfId="0" applyFont="1" applyFill="1" applyBorder="1" applyAlignment="1">
      <alignment vertical="center"/>
    </xf>
    <xf numFmtId="0" fontId="12" fillId="3" borderId="237" xfId="0" applyFont="1" applyFill="1" applyBorder="1" applyAlignment="1">
      <alignment vertical="center"/>
    </xf>
    <xf numFmtId="0" fontId="13" fillId="3" borderId="237" xfId="0" applyFont="1" applyFill="1" applyBorder="1" applyAlignment="1">
      <alignment vertical="center"/>
    </xf>
    <xf numFmtId="0" fontId="13" fillId="3" borderId="251" xfId="0" applyFont="1" applyFill="1" applyBorder="1" applyAlignment="1">
      <alignment vertical="center"/>
    </xf>
    <xf numFmtId="49" fontId="12" fillId="3" borderId="250" xfId="0" applyNumberFormat="1" applyFont="1" applyFill="1" applyBorder="1" applyAlignment="1">
      <alignment vertical="center"/>
    </xf>
    <xf numFmtId="0" fontId="12" fillId="3" borderId="251" xfId="0" applyFont="1" applyFill="1" applyBorder="1" applyAlignment="1">
      <alignment vertical="center"/>
    </xf>
    <xf numFmtId="0" fontId="13" fillId="2" borderId="107" xfId="0" applyFont="1" applyFill="1" applyBorder="1" applyAlignment="1">
      <alignment vertical="center"/>
    </xf>
    <xf numFmtId="0" fontId="12" fillId="2" borderId="228" xfId="0" applyFont="1" applyFill="1" applyBorder="1" applyAlignment="1">
      <alignment vertical="center"/>
    </xf>
    <xf numFmtId="0" fontId="12" fillId="2" borderId="226" xfId="0" applyFont="1" applyFill="1" applyBorder="1" applyAlignment="1">
      <alignment vertical="center"/>
    </xf>
    <xf numFmtId="0" fontId="12" fillId="2" borderId="236" xfId="0" applyFont="1" applyFill="1" applyBorder="1" applyAlignment="1">
      <alignment vertical="center"/>
    </xf>
    <xf numFmtId="0" fontId="12" fillId="2" borderId="204" xfId="0" applyFont="1" applyFill="1" applyBorder="1" applyAlignment="1">
      <alignment vertical="center"/>
    </xf>
    <xf numFmtId="0" fontId="12" fillId="2" borderId="227" xfId="0" applyFont="1" applyFill="1" applyBorder="1" applyAlignment="1">
      <alignment vertical="center"/>
    </xf>
    <xf numFmtId="0" fontId="13" fillId="2" borderId="227" xfId="0" applyFont="1" applyFill="1" applyBorder="1" applyAlignment="1">
      <alignment vertical="center"/>
    </xf>
    <xf numFmtId="0" fontId="13" fillId="2" borderId="229" xfId="0" applyFont="1" applyFill="1" applyBorder="1" applyAlignment="1">
      <alignment vertical="center"/>
    </xf>
    <xf numFmtId="0" fontId="11" fillId="2" borderId="239" xfId="0" applyFont="1" applyFill="1" applyBorder="1" applyAlignment="1">
      <alignment horizontal="center" vertical="center"/>
    </xf>
    <xf numFmtId="0" fontId="11" fillId="2" borderId="240" xfId="0" applyFont="1" applyFill="1" applyBorder="1" applyAlignment="1">
      <alignment horizontal="center" vertical="center"/>
    </xf>
    <xf numFmtId="0" fontId="12" fillId="0" borderId="186" xfId="0" applyFont="1" applyBorder="1" applyAlignment="1">
      <alignment horizontal="center" vertical="center"/>
    </xf>
    <xf numFmtId="0" fontId="12" fillId="0" borderId="241" xfId="0" applyFont="1" applyBorder="1" applyAlignment="1">
      <alignment horizontal="center" vertical="center"/>
    </xf>
    <xf numFmtId="0" fontId="12" fillId="0" borderId="190" xfId="0" applyFont="1" applyBorder="1" applyAlignment="1">
      <alignment horizontal="center" vertical="center"/>
    </xf>
    <xf numFmtId="0" fontId="12" fillId="0" borderId="242" xfId="0" applyFont="1" applyBorder="1" applyAlignment="1">
      <alignment horizontal="center" vertical="center"/>
    </xf>
    <xf numFmtId="0" fontId="12" fillId="0" borderId="194" xfId="0" applyFont="1" applyBorder="1" applyAlignment="1">
      <alignment horizontal="center" vertical="center"/>
    </xf>
    <xf numFmtId="0" fontId="12" fillId="0" borderId="243" xfId="0" applyFont="1" applyBorder="1" applyAlignment="1">
      <alignment horizontal="center" vertical="center"/>
    </xf>
    <xf numFmtId="0" fontId="29" fillId="3" borderId="123" xfId="0" applyFont="1" applyFill="1" applyBorder="1" applyAlignment="1">
      <alignment horizontal="center" vertical="center"/>
    </xf>
    <xf numFmtId="1" fontId="31" fillId="3" borderId="300" xfId="5" applyNumberFormat="1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244" xfId="0" applyFont="1" applyBorder="1" applyAlignment="1">
      <alignment horizontal="center" vertical="center"/>
    </xf>
    <xf numFmtId="1" fontId="31" fillId="3" borderId="301" xfId="5" applyNumberFormat="1" applyFont="1" applyFill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1" fillId="0" borderId="245" xfId="0" applyFont="1" applyBorder="1" applyAlignment="1">
      <alignment horizontal="center" vertical="center"/>
    </xf>
    <xf numFmtId="0" fontId="29" fillId="3" borderId="19" xfId="0" applyFont="1" applyFill="1" applyBorder="1" applyAlignment="1">
      <alignment horizontal="center" vertical="center"/>
    </xf>
    <xf numFmtId="1" fontId="31" fillId="3" borderId="160" xfId="5" applyNumberFormat="1" applyFont="1" applyFill="1" applyBorder="1" applyAlignment="1">
      <alignment horizontal="center" vertical="center"/>
    </xf>
    <xf numFmtId="0" fontId="13" fillId="2" borderId="262" xfId="0" applyFont="1" applyFill="1" applyBorder="1" applyAlignment="1">
      <alignment vertical="center"/>
    </xf>
    <xf numFmtId="0" fontId="13" fillId="0" borderId="271" xfId="0" applyFont="1" applyBorder="1" applyAlignment="1">
      <alignment horizontal="center" vertical="center"/>
    </xf>
    <xf numFmtId="0" fontId="13" fillId="0" borderId="272" xfId="0" applyFont="1" applyBorder="1" applyAlignment="1">
      <alignment horizontal="center" vertical="center"/>
    </xf>
    <xf numFmtId="3" fontId="13" fillId="0" borderId="258" xfId="0" applyNumberFormat="1" applyFont="1" applyBorder="1" applyAlignment="1">
      <alignment horizontal="center" vertical="center"/>
    </xf>
    <xf numFmtId="0" fontId="13" fillId="0" borderId="277" xfId="0" applyFont="1" applyBorder="1" applyAlignment="1">
      <alignment horizontal="center" vertical="center"/>
    </xf>
    <xf numFmtId="3" fontId="13" fillId="0" borderId="272" xfId="0" applyNumberFormat="1" applyFont="1" applyBorder="1" applyAlignment="1">
      <alignment horizontal="center" vertical="center"/>
    </xf>
    <xf numFmtId="0" fontId="24" fillId="2" borderId="261" xfId="0" applyFont="1" applyFill="1" applyBorder="1" applyAlignment="1">
      <alignment vertical="center"/>
    </xf>
    <xf numFmtId="0" fontId="24" fillId="0" borderId="269" xfId="0" applyFont="1" applyBorder="1" applyAlignment="1">
      <alignment horizontal="center" vertical="center"/>
    </xf>
    <xf numFmtId="0" fontId="24" fillId="0" borderId="270" xfId="0" applyFont="1" applyBorder="1" applyAlignment="1">
      <alignment horizontal="center" vertical="center"/>
    </xf>
    <xf numFmtId="3" fontId="24" fillId="0" borderId="257" xfId="0" applyNumberFormat="1" applyFont="1" applyBorder="1" applyAlignment="1">
      <alignment horizontal="center" vertical="center"/>
    </xf>
    <xf numFmtId="0" fontId="24" fillId="0" borderId="276" xfId="0" applyFont="1" applyBorder="1" applyAlignment="1">
      <alignment horizontal="center" vertical="center"/>
    </xf>
    <xf numFmtId="9" fontId="24" fillId="0" borderId="276" xfId="5" applyFont="1" applyBorder="1" applyAlignment="1">
      <alignment horizontal="center" vertical="center"/>
    </xf>
    <xf numFmtId="3" fontId="24" fillId="0" borderId="270" xfId="0" applyNumberFormat="1" applyFont="1" applyBorder="1" applyAlignment="1">
      <alignment horizontal="center" vertical="center"/>
    </xf>
    <xf numFmtId="3" fontId="24" fillId="0" borderId="281" xfId="0" applyNumberFormat="1" applyFont="1" applyBorder="1" applyAlignment="1">
      <alignment horizontal="center" vertical="center"/>
    </xf>
    <xf numFmtId="0" fontId="3" fillId="2" borderId="90" xfId="0" applyFont="1" applyFill="1" applyBorder="1" applyAlignment="1">
      <alignment horizontal="center" vertical="center"/>
    </xf>
    <xf numFmtId="0" fontId="3" fillId="2" borderId="9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2" borderId="98" xfId="0" applyFont="1" applyFill="1" applyBorder="1" applyAlignment="1">
      <alignment horizontal="center" vertical="center"/>
    </xf>
    <xf numFmtId="0" fontId="3" fillId="2" borderId="9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/>
    </xf>
    <xf numFmtId="0" fontId="3" fillId="2" borderId="83" xfId="0" applyFont="1" applyFill="1" applyBorder="1" applyAlignment="1">
      <alignment horizontal="center" vertical="center"/>
    </xf>
    <xf numFmtId="0" fontId="3" fillId="2" borderId="202" xfId="0" applyFont="1" applyFill="1" applyBorder="1" applyAlignment="1">
      <alignment horizontal="center" vertical="center" wrapText="1"/>
    </xf>
    <xf numFmtId="0" fontId="3" fillId="2" borderId="179" xfId="0" applyFont="1" applyFill="1" applyBorder="1" applyAlignment="1">
      <alignment horizontal="center" vertical="center" wrapText="1"/>
    </xf>
    <xf numFmtId="0" fontId="3" fillId="2" borderId="200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74" xfId="0" applyFont="1" applyFill="1" applyBorder="1" applyAlignment="1">
      <alignment horizontal="center" vertical="center" wrapText="1"/>
    </xf>
    <xf numFmtId="0" fontId="3" fillId="2" borderId="217" xfId="0" applyFont="1" applyFill="1" applyBorder="1" applyAlignment="1">
      <alignment horizontal="center" vertical="center"/>
    </xf>
    <xf numFmtId="0" fontId="3" fillId="2" borderId="171" xfId="0" applyFont="1" applyFill="1" applyBorder="1" applyAlignment="1">
      <alignment horizontal="center" vertical="center"/>
    </xf>
    <xf numFmtId="0" fontId="3" fillId="2" borderId="218" xfId="0" applyFont="1" applyFill="1" applyBorder="1" applyAlignment="1">
      <alignment horizontal="center" vertical="center"/>
    </xf>
    <xf numFmtId="0" fontId="3" fillId="2" borderId="21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3" fillId="2" borderId="213" xfId="0" applyFont="1" applyFill="1" applyBorder="1" applyAlignment="1">
      <alignment horizontal="center" vertical="center"/>
    </xf>
    <xf numFmtId="0" fontId="3" fillId="2" borderId="214" xfId="0" applyFont="1" applyFill="1" applyBorder="1" applyAlignment="1">
      <alignment horizontal="center" vertical="center"/>
    </xf>
    <xf numFmtId="0" fontId="3" fillId="2" borderId="215" xfId="0" applyFont="1" applyFill="1" applyBorder="1" applyAlignment="1">
      <alignment horizontal="center" vertical="center"/>
    </xf>
    <xf numFmtId="0" fontId="3" fillId="2" borderId="216" xfId="0" applyFont="1" applyFill="1" applyBorder="1" applyAlignment="1">
      <alignment horizontal="center" vertical="center"/>
    </xf>
    <xf numFmtId="0" fontId="3" fillId="2" borderId="205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3" fillId="2" borderId="211" xfId="0" applyFont="1" applyFill="1" applyBorder="1" applyAlignment="1">
      <alignment horizontal="center" vertical="center"/>
    </xf>
    <xf numFmtId="0" fontId="3" fillId="2" borderId="212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22" fillId="2" borderId="177" xfId="0" applyFont="1" applyFill="1" applyBorder="1" applyAlignment="1">
      <alignment horizontal="center" vertical="center" wrapText="1"/>
    </xf>
    <xf numFmtId="0" fontId="22" fillId="2" borderId="67" xfId="0" applyFont="1" applyFill="1" applyBorder="1" applyAlignment="1">
      <alignment horizontal="center" vertical="center" wrapText="1"/>
    </xf>
    <xf numFmtId="0" fontId="22" fillId="2" borderId="178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169" xfId="0" applyFont="1" applyFill="1" applyBorder="1" applyAlignment="1">
      <alignment horizontal="center" vertical="center" wrapText="1"/>
    </xf>
    <xf numFmtId="0" fontId="22" fillId="2" borderId="201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27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1" fillId="2" borderId="24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174" xfId="0" applyFont="1" applyFill="1" applyBorder="1" applyAlignment="1">
      <alignment horizontal="center" vertical="center" wrapText="1"/>
    </xf>
    <xf numFmtId="0" fontId="26" fillId="2" borderId="21" xfId="0" applyFont="1" applyFill="1" applyBorder="1" applyAlignment="1">
      <alignment horizontal="center" vertical="center" wrapText="1"/>
    </xf>
    <xf numFmtId="0" fontId="26" fillId="2" borderId="22" xfId="0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 wrapText="1"/>
    </xf>
    <xf numFmtId="0" fontId="19" fillId="2" borderId="44" xfId="0" applyFont="1" applyFill="1" applyBorder="1" applyAlignment="1">
      <alignment horizontal="center" vertical="center" wrapText="1"/>
    </xf>
    <xf numFmtId="0" fontId="19" fillId="2" borderId="45" xfId="0" applyFont="1" applyFill="1" applyBorder="1" applyAlignment="1">
      <alignment horizontal="center" vertical="center" wrapText="1"/>
    </xf>
    <xf numFmtId="0" fontId="19" fillId="2" borderId="46" xfId="0" applyFont="1" applyFill="1" applyBorder="1" applyAlignment="1">
      <alignment horizontal="center" vertical="center" wrapText="1"/>
    </xf>
    <xf numFmtId="0" fontId="19" fillId="2" borderId="155" xfId="0" applyFont="1" applyFill="1" applyBorder="1" applyAlignment="1">
      <alignment vertical="center" wrapText="1"/>
    </xf>
    <xf numFmtId="0" fontId="19" fillId="2" borderId="49" xfId="0" applyFont="1" applyFill="1" applyBorder="1" applyAlignment="1">
      <alignment vertical="center" wrapText="1"/>
    </xf>
    <xf numFmtId="0" fontId="19" fillId="2" borderId="66" xfId="0" applyFont="1" applyFill="1" applyBorder="1" applyAlignment="1">
      <alignment vertical="center" wrapText="1"/>
    </xf>
    <xf numFmtId="0" fontId="19" fillId="2" borderId="156" xfId="0" applyFont="1" applyFill="1" applyBorder="1" applyAlignment="1">
      <alignment vertical="center" wrapText="1"/>
    </xf>
    <xf numFmtId="0" fontId="19" fillId="2" borderId="0" xfId="0" applyFont="1" applyFill="1" applyBorder="1" applyAlignment="1">
      <alignment vertical="center" wrapText="1"/>
    </xf>
    <xf numFmtId="0" fontId="19" fillId="2" borderId="25" xfId="0" applyFont="1" applyFill="1" applyBorder="1" applyAlignment="1">
      <alignment vertical="center" wrapText="1"/>
    </xf>
    <xf numFmtId="0" fontId="19" fillId="2" borderId="157" xfId="0" applyFont="1" applyFill="1" applyBorder="1" applyAlignment="1">
      <alignment vertical="center" wrapText="1"/>
    </xf>
    <xf numFmtId="0" fontId="19" fillId="2" borderId="69" xfId="0" applyFont="1" applyFill="1" applyBorder="1" applyAlignment="1">
      <alignment vertical="center" wrapText="1"/>
    </xf>
    <xf numFmtId="0" fontId="19" fillId="2" borderId="70" xfId="0" applyFont="1" applyFill="1" applyBorder="1" applyAlignment="1">
      <alignment vertical="center" wrapText="1"/>
    </xf>
    <xf numFmtId="1" fontId="20" fillId="0" borderId="189" xfId="5" applyNumberFormat="1" applyFont="1" applyBorder="1" applyAlignment="1">
      <alignment vertical="center"/>
    </xf>
    <xf numFmtId="1" fontId="20" fillId="0" borderId="302" xfId="5" applyNumberFormat="1" applyFont="1" applyBorder="1" applyAlignment="1">
      <alignment vertical="center"/>
    </xf>
    <xf numFmtId="1" fontId="20" fillId="0" borderId="83" xfId="5" applyNumberFormat="1" applyFont="1" applyBorder="1" applyAlignment="1">
      <alignment vertical="center"/>
    </xf>
    <xf numFmtId="1" fontId="20" fillId="0" borderId="193" xfId="5" applyNumberFormat="1" applyFont="1" applyBorder="1" applyAlignment="1">
      <alignment vertical="center"/>
    </xf>
    <xf numFmtId="1" fontId="20" fillId="0" borderId="303" xfId="5" applyNumberFormat="1" applyFont="1" applyBorder="1" applyAlignment="1">
      <alignment vertical="center"/>
    </xf>
    <xf numFmtId="1" fontId="20" fillId="0" borderId="91" xfId="5" applyNumberFormat="1" applyFont="1" applyBorder="1" applyAlignment="1">
      <alignment vertical="center"/>
    </xf>
    <xf numFmtId="1" fontId="20" fillId="0" borderId="197" xfId="5" applyNumberFormat="1" applyFont="1" applyBorder="1" applyAlignment="1">
      <alignment vertical="center"/>
    </xf>
    <xf numFmtId="1" fontId="20" fillId="0" borderId="304" xfId="5" applyNumberFormat="1" applyFont="1" applyBorder="1" applyAlignment="1">
      <alignment vertical="center"/>
    </xf>
    <xf numFmtId="1" fontId="20" fillId="0" borderId="99" xfId="5" applyNumberFormat="1" applyFont="1" applyBorder="1" applyAlignment="1">
      <alignment vertical="center"/>
    </xf>
    <xf numFmtId="1" fontId="20" fillId="0" borderId="301" xfId="5" applyNumberFormat="1" applyFont="1" applyBorder="1" applyAlignment="1">
      <alignment vertical="center"/>
    </xf>
    <xf numFmtId="1" fontId="20" fillId="0" borderId="72" xfId="5" applyNumberFormat="1" applyFont="1" applyBorder="1" applyAlignment="1">
      <alignment vertical="center"/>
    </xf>
    <xf numFmtId="1" fontId="20" fillId="0" borderId="41" xfId="5" applyNumberFormat="1" applyFont="1" applyBorder="1" applyAlignment="1">
      <alignment vertical="center"/>
    </xf>
    <xf numFmtId="1" fontId="20" fillId="0" borderId="160" xfId="5" applyNumberFormat="1" applyFont="1" applyBorder="1" applyAlignment="1">
      <alignment vertical="center"/>
    </xf>
    <xf numFmtId="1" fontId="20" fillId="0" borderId="74" xfId="5" applyNumberFormat="1" applyFont="1" applyBorder="1" applyAlignment="1">
      <alignment vertical="center"/>
    </xf>
    <xf numFmtId="1" fontId="20" fillId="0" borderId="43" xfId="5" applyNumberFormat="1" applyFont="1" applyBorder="1" applyAlignment="1">
      <alignment vertical="center"/>
    </xf>
    <xf numFmtId="0" fontId="28" fillId="2" borderId="21" xfId="0" applyFont="1" applyFill="1" applyBorder="1" applyAlignment="1">
      <alignment horizontal="center" vertical="center" wrapText="1"/>
    </xf>
    <xf numFmtId="0" fontId="28" fillId="2" borderId="22" xfId="0" applyFont="1" applyFill="1" applyBorder="1" applyAlignment="1">
      <alignment horizontal="center" vertical="center" wrapText="1"/>
    </xf>
    <xf numFmtId="0" fontId="28" fillId="2" borderId="23" xfId="0" applyFont="1" applyFill="1" applyBorder="1" applyAlignment="1">
      <alignment horizontal="center" vertical="center" wrapText="1"/>
    </xf>
    <xf numFmtId="0" fontId="29" fillId="2" borderId="24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25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30" fillId="2" borderId="50" xfId="0" applyFont="1" applyFill="1" applyBorder="1" applyAlignment="1">
      <alignment horizontal="center" vertical="center" wrapText="1"/>
    </xf>
    <xf numFmtId="0" fontId="30" fillId="2" borderId="52" xfId="0" applyFont="1" applyFill="1" applyBorder="1" applyAlignment="1">
      <alignment horizontal="center" vertical="center" wrapText="1"/>
    </xf>
    <xf numFmtId="0" fontId="30" fillId="2" borderId="54" xfId="0" applyFont="1" applyFill="1" applyBorder="1" applyAlignment="1">
      <alignment horizontal="center" vertical="center" wrapText="1"/>
    </xf>
    <xf numFmtId="0" fontId="29" fillId="2" borderId="174" xfId="0" applyFont="1" applyFill="1" applyBorder="1" applyAlignment="1">
      <alignment horizontal="center" vertical="center" wrapText="1"/>
    </xf>
    <xf numFmtId="0" fontId="30" fillId="2" borderId="15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/>
    </xf>
    <xf numFmtId="0" fontId="30" fillId="2" borderId="44" xfId="0" applyFont="1" applyFill="1" applyBorder="1" applyAlignment="1">
      <alignment horizontal="center" vertical="center" wrapText="1"/>
    </xf>
    <xf numFmtId="0" fontId="30" fillId="2" borderId="45" xfId="0" applyFont="1" applyFill="1" applyBorder="1" applyAlignment="1">
      <alignment horizontal="center" vertical="center" wrapText="1"/>
    </xf>
    <xf numFmtId="0" fontId="30" fillId="2" borderId="46" xfId="0" applyFont="1" applyFill="1" applyBorder="1" applyAlignment="1">
      <alignment horizontal="center" vertical="center" wrapText="1"/>
    </xf>
    <xf numFmtId="0" fontId="30" fillId="2" borderId="51" xfId="0" applyFont="1" applyFill="1" applyBorder="1" applyAlignment="1">
      <alignment horizontal="center" vertical="center" wrapText="1"/>
    </xf>
    <xf numFmtId="0" fontId="30" fillId="2" borderId="53" xfId="0" applyFont="1" applyFill="1" applyBorder="1" applyAlignment="1">
      <alignment horizontal="center" vertical="center" wrapText="1"/>
    </xf>
    <xf numFmtId="0" fontId="30" fillId="2" borderId="55" xfId="0" applyFont="1" applyFill="1" applyBorder="1" applyAlignment="1">
      <alignment horizontal="center" vertical="center" wrapText="1"/>
    </xf>
    <xf numFmtId="0" fontId="30" fillId="2" borderId="155" xfId="0" applyFont="1" applyFill="1" applyBorder="1" applyAlignment="1">
      <alignment vertical="center" wrapText="1"/>
    </xf>
    <xf numFmtId="0" fontId="30" fillId="2" borderId="49" xfId="0" applyFont="1" applyFill="1" applyBorder="1" applyAlignment="1">
      <alignment vertical="center" wrapText="1"/>
    </xf>
    <xf numFmtId="0" fontId="30" fillId="2" borderId="66" xfId="0" applyFont="1" applyFill="1" applyBorder="1" applyAlignment="1">
      <alignment vertical="center" wrapText="1"/>
    </xf>
    <xf numFmtId="0" fontId="30" fillId="2" borderId="156" xfId="0" applyFont="1" applyFill="1" applyBorder="1" applyAlignment="1">
      <alignment vertical="center" wrapText="1"/>
    </xf>
    <xf numFmtId="0" fontId="30" fillId="2" borderId="0" xfId="0" applyFont="1" applyFill="1" applyBorder="1" applyAlignment="1">
      <alignment vertical="center" wrapText="1"/>
    </xf>
    <xf numFmtId="0" fontId="30" fillId="2" borderId="25" xfId="0" applyFont="1" applyFill="1" applyBorder="1" applyAlignment="1">
      <alignment vertical="center" wrapText="1"/>
    </xf>
    <xf numFmtId="0" fontId="30" fillId="2" borderId="157" xfId="0" applyFont="1" applyFill="1" applyBorder="1" applyAlignment="1">
      <alignment vertical="center" wrapText="1"/>
    </xf>
    <xf numFmtId="0" fontId="30" fillId="2" borderId="69" xfId="0" applyFont="1" applyFill="1" applyBorder="1" applyAlignment="1">
      <alignment vertical="center" wrapText="1"/>
    </xf>
    <xf numFmtId="0" fontId="30" fillId="2" borderId="70" xfId="0" applyFont="1" applyFill="1" applyBorder="1" applyAlignment="1">
      <alignment vertical="center" wrapText="1"/>
    </xf>
    <xf numFmtId="0" fontId="11" fillId="2" borderId="106" xfId="0" applyFont="1" applyFill="1" applyBorder="1" applyAlignment="1">
      <alignment horizontal="center" vertical="center" wrapText="1"/>
    </xf>
    <xf numFmtId="0" fontId="11" fillId="2" borderId="174" xfId="0" applyFont="1" applyFill="1" applyBorder="1" applyAlignment="1">
      <alignment horizontal="center" vertical="center" wrapText="1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2" borderId="205" xfId="0" applyFont="1" applyFill="1" applyBorder="1" applyAlignment="1">
      <alignment horizontal="center" vertical="center"/>
    </xf>
    <xf numFmtId="0" fontId="11" fillId="2" borderId="79" xfId="0" applyFont="1" applyFill="1" applyBorder="1" applyAlignment="1">
      <alignment horizontal="center" vertical="center"/>
    </xf>
    <xf numFmtId="1" fontId="31" fillId="0" borderId="189" xfId="5" applyNumberFormat="1" applyFont="1" applyBorder="1" applyAlignment="1">
      <alignment vertical="center"/>
    </xf>
    <xf numFmtId="1" fontId="31" fillId="0" borderId="302" xfId="5" applyNumberFormat="1" applyFont="1" applyBorder="1" applyAlignment="1">
      <alignment vertical="center"/>
    </xf>
    <xf numFmtId="1" fontId="31" fillId="0" borderId="83" xfId="5" applyNumberFormat="1" applyFont="1" applyBorder="1" applyAlignment="1">
      <alignment vertical="center"/>
    </xf>
    <xf numFmtId="0" fontId="11" fillId="2" borderId="90" xfId="0" applyFont="1" applyFill="1" applyBorder="1" applyAlignment="1">
      <alignment horizontal="center" vertical="center"/>
    </xf>
    <xf numFmtId="0" fontId="11" fillId="2" borderId="91" xfId="0" applyFont="1" applyFill="1" applyBorder="1" applyAlignment="1">
      <alignment horizontal="center" vertical="center"/>
    </xf>
    <xf numFmtId="0" fontId="11" fillId="2" borderId="207" xfId="0" applyFont="1" applyFill="1" applyBorder="1" applyAlignment="1">
      <alignment horizontal="center" vertical="center"/>
    </xf>
    <xf numFmtId="0" fontId="11" fillId="2" borderId="115" xfId="0" applyFont="1" applyFill="1" applyBorder="1" applyAlignment="1">
      <alignment horizontal="center" vertical="center"/>
    </xf>
    <xf numFmtId="1" fontId="31" fillId="0" borderId="193" xfId="5" applyNumberFormat="1" applyFont="1" applyBorder="1" applyAlignment="1">
      <alignment vertical="center"/>
    </xf>
    <xf numFmtId="1" fontId="31" fillId="0" borderId="303" xfId="5" applyNumberFormat="1" applyFont="1" applyBorder="1" applyAlignment="1">
      <alignment vertical="center"/>
    </xf>
    <xf numFmtId="1" fontId="31" fillId="0" borderId="91" xfId="5" applyNumberFormat="1" applyFont="1" applyBorder="1" applyAlignment="1">
      <alignment vertical="center"/>
    </xf>
    <xf numFmtId="0" fontId="11" fillId="2" borderId="82" xfId="0" applyFont="1" applyFill="1" applyBorder="1" applyAlignment="1">
      <alignment horizontal="center" vertical="center"/>
    </xf>
    <xf numFmtId="0" fontId="11" fillId="2" borderId="83" xfId="0" applyFont="1" applyFill="1" applyBorder="1" applyAlignment="1">
      <alignment horizontal="center" vertical="center"/>
    </xf>
    <xf numFmtId="0" fontId="11" fillId="2" borderId="206" xfId="0" applyFont="1" applyFill="1" applyBorder="1" applyAlignment="1">
      <alignment horizontal="center" vertical="center"/>
    </xf>
    <xf numFmtId="0" fontId="11" fillId="2" borderId="108" xfId="0" applyFont="1" applyFill="1" applyBorder="1" applyAlignment="1">
      <alignment horizontal="center" vertical="center"/>
    </xf>
    <xf numFmtId="0" fontId="11" fillId="2" borderId="98" xfId="0" applyFont="1" applyFill="1" applyBorder="1" applyAlignment="1">
      <alignment horizontal="center" vertical="center"/>
    </xf>
    <xf numFmtId="0" fontId="11" fillId="2" borderId="99" xfId="0" applyFont="1" applyFill="1" applyBorder="1" applyAlignment="1">
      <alignment horizontal="center" vertical="center"/>
    </xf>
    <xf numFmtId="0" fontId="11" fillId="2" borderId="208" xfId="0" applyFont="1" applyFill="1" applyBorder="1" applyAlignment="1">
      <alignment horizontal="center" vertical="center"/>
    </xf>
    <xf numFmtId="0" fontId="11" fillId="2" borderId="122" xfId="0" applyFont="1" applyFill="1" applyBorder="1" applyAlignment="1">
      <alignment horizontal="center" vertical="center"/>
    </xf>
    <xf numFmtId="1" fontId="31" fillId="0" borderId="197" xfId="5" applyNumberFormat="1" applyFont="1" applyBorder="1" applyAlignment="1">
      <alignment vertical="center"/>
    </xf>
    <xf numFmtId="1" fontId="31" fillId="0" borderId="304" xfId="5" applyNumberFormat="1" applyFont="1" applyBorder="1" applyAlignment="1">
      <alignment vertical="center"/>
    </xf>
    <xf numFmtId="1" fontId="31" fillId="0" borderId="99" xfId="5" applyNumberFormat="1" applyFont="1" applyBorder="1" applyAlignment="1">
      <alignment vertical="center"/>
    </xf>
    <xf numFmtId="0" fontId="30" fillId="2" borderId="293" xfId="0" applyFont="1" applyFill="1" applyBorder="1" applyAlignment="1">
      <alignment horizontal="center" vertical="center" wrapText="1"/>
    </xf>
    <xf numFmtId="0" fontId="30" fillId="2" borderId="294" xfId="0" applyFont="1" applyFill="1" applyBorder="1" applyAlignment="1">
      <alignment horizontal="center" vertical="center" wrapText="1"/>
    </xf>
    <xf numFmtId="0" fontId="30" fillId="2" borderId="29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11" fillId="2" borderId="209" xfId="0" applyFont="1" applyFill="1" applyBorder="1" applyAlignment="1">
      <alignment horizontal="center" vertical="center"/>
    </xf>
    <xf numFmtId="0" fontId="11" fillId="2" borderId="80" xfId="0" applyFont="1" applyFill="1" applyBorder="1" applyAlignment="1">
      <alignment horizontal="center" vertical="center"/>
    </xf>
    <xf numFmtId="1" fontId="31" fillId="0" borderId="301" xfId="5" applyNumberFormat="1" applyFont="1" applyBorder="1" applyAlignment="1">
      <alignment vertical="center"/>
    </xf>
    <xf numFmtId="1" fontId="31" fillId="0" borderId="72" xfId="5" applyNumberFormat="1" applyFont="1" applyBorder="1" applyAlignment="1">
      <alignment vertical="center"/>
    </xf>
    <xf numFmtId="1" fontId="31" fillId="0" borderId="41" xfId="5" applyNumberFormat="1" applyFont="1" applyBorder="1" applyAlignment="1">
      <alignment vertical="center"/>
    </xf>
    <xf numFmtId="0" fontId="11" fillId="2" borderId="42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 vertical="center"/>
    </xf>
    <xf numFmtId="0" fontId="11" fillId="2" borderId="210" xfId="0" applyFont="1" applyFill="1" applyBorder="1" applyAlignment="1">
      <alignment horizontal="center" vertical="center"/>
    </xf>
    <xf numFmtId="0" fontId="11" fillId="2" borderId="81" xfId="0" applyFont="1" applyFill="1" applyBorder="1" applyAlignment="1">
      <alignment horizontal="center" vertical="center"/>
    </xf>
    <xf numFmtId="1" fontId="31" fillId="0" borderId="160" xfId="5" applyNumberFormat="1" applyFont="1" applyBorder="1" applyAlignment="1">
      <alignment vertical="center"/>
    </xf>
    <xf numFmtId="1" fontId="31" fillId="0" borderId="74" xfId="5" applyNumberFormat="1" applyFont="1" applyBorder="1" applyAlignment="1">
      <alignment vertical="center"/>
    </xf>
    <xf numFmtId="1" fontId="31" fillId="0" borderId="43" xfId="5" applyNumberFormat="1" applyFont="1" applyBorder="1" applyAlignment="1">
      <alignment vertical="center"/>
    </xf>
    <xf numFmtId="0" fontId="11" fillId="2" borderId="177" xfId="0" applyFont="1" applyFill="1" applyBorder="1" applyAlignment="1">
      <alignment horizontal="center" vertical="center" wrapText="1"/>
    </xf>
    <xf numFmtId="0" fontId="11" fillId="2" borderId="67" xfId="0" applyFont="1" applyFill="1" applyBorder="1" applyAlignment="1">
      <alignment horizontal="center" vertical="center" wrapText="1"/>
    </xf>
    <xf numFmtId="0" fontId="11" fillId="2" borderId="17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69" xfId="0" applyFont="1" applyFill="1" applyBorder="1" applyAlignment="1">
      <alignment horizontal="center" vertical="center" wrapText="1"/>
    </xf>
    <xf numFmtId="0" fontId="11" fillId="2" borderId="201" xfId="0" applyFont="1" applyFill="1" applyBorder="1" applyAlignment="1">
      <alignment horizontal="center" vertical="center" wrapText="1"/>
    </xf>
    <xf numFmtId="0" fontId="11" fillId="2" borderId="200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202" xfId="0" applyFont="1" applyFill="1" applyBorder="1" applyAlignment="1">
      <alignment horizontal="center" vertical="center" wrapText="1"/>
    </xf>
    <xf numFmtId="0" fontId="11" fillId="2" borderId="179" xfId="0" applyFont="1" applyFill="1" applyBorder="1" applyAlignment="1">
      <alignment horizontal="center" vertical="center" wrapText="1"/>
    </xf>
    <xf numFmtId="0" fontId="11" fillId="2" borderId="211" xfId="0" applyFont="1" applyFill="1" applyBorder="1" applyAlignment="1">
      <alignment horizontal="center" vertical="center"/>
    </xf>
    <xf numFmtId="0" fontId="11" fillId="2" borderId="212" xfId="0" applyFont="1" applyFill="1" applyBorder="1" applyAlignment="1">
      <alignment horizontal="center" vertical="center"/>
    </xf>
    <xf numFmtId="0" fontId="11" fillId="2" borderId="213" xfId="0" applyFont="1" applyFill="1" applyBorder="1" applyAlignment="1">
      <alignment horizontal="center" vertical="center"/>
    </xf>
    <xf numFmtId="0" fontId="11" fillId="2" borderId="214" xfId="0" applyFont="1" applyFill="1" applyBorder="1" applyAlignment="1">
      <alignment horizontal="center" vertical="center"/>
    </xf>
    <xf numFmtId="0" fontId="11" fillId="2" borderId="217" xfId="0" applyFont="1" applyFill="1" applyBorder="1" applyAlignment="1">
      <alignment horizontal="center" vertical="center"/>
    </xf>
    <xf numFmtId="0" fontId="11" fillId="2" borderId="171" xfId="0" applyFont="1" applyFill="1" applyBorder="1" applyAlignment="1">
      <alignment horizontal="center" vertical="center"/>
    </xf>
    <xf numFmtId="0" fontId="11" fillId="2" borderId="218" xfId="0" applyFont="1" applyFill="1" applyBorder="1" applyAlignment="1">
      <alignment horizontal="center" vertical="center"/>
    </xf>
    <xf numFmtId="0" fontId="11" fillId="2" borderId="219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2" borderId="215" xfId="0" applyFont="1" applyFill="1" applyBorder="1" applyAlignment="1">
      <alignment horizontal="center" vertical="center"/>
    </xf>
    <xf numFmtId="0" fontId="11" fillId="2" borderId="216" xfId="0" applyFont="1" applyFill="1" applyBorder="1" applyAlignment="1">
      <alignment horizontal="center" vertical="center"/>
    </xf>
    <xf numFmtId="0" fontId="9" fillId="2" borderId="155" xfId="0" applyFont="1" applyFill="1" applyBorder="1" applyAlignment="1">
      <alignment vertical="center" wrapText="1"/>
    </xf>
    <xf numFmtId="0" fontId="9" fillId="2" borderId="49" xfId="0" applyFont="1" applyFill="1" applyBorder="1" applyAlignment="1">
      <alignment vertical="center" wrapText="1"/>
    </xf>
    <xf numFmtId="0" fontId="9" fillId="2" borderId="66" xfId="0" applyFont="1" applyFill="1" applyBorder="1" applyAlignment="1">
      <alignment vertical="center" wrapText="1"/>
    </xf>
    <xf numFmtId="0" fontId="9" fillId="2" borderId="156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9" fillId="2" borderId="25" xfId="0" applyFont="1" applyFill="1" applyBorder="1" applyAlignment="1">
      <alignment vertical="center" wrapText="1"/>
    </xf>
    <xf numFmtId="0" fontId="9" fillId="2" borderId="157" xfId="0" applyFont="1" applyFill="1" applyBorder="1" applyAlignment="1">
      <alignment vertical="center" wrapText="1"/>
    </xf>
    <xf numFmtId="0" fontId="9" fillId="2" borderId="69" xfId="0" applyFont="1" applyFill="1" applyBorder="1" applyAlignment="1">
      <alignment vertical="center" wrapText="1"/>
    </xf>
    <xf numFmtId="0" fontId="9" fillId="2" borderId="70" xfId="0" applyFont="1" applyFill="1" applyBorder="1" applyAlignment="1">
      <alignment vertical="center" wrapText="1"/>
    </xf>
    <xf numFmtId="0" fontId="3" fillId="2" borderId="209" xfId="0" applyFont="1" applyFill="1" applyBorder="1" applyAlignment="1">
      <alignment horizontal="center" vertical="center"/>
    </xf>
    <xf numFmtId="0" fontId="3" fillId="2" borderId="80" xfId="0" applyFont="1" applyFill="1" applyBorder="1" applyAlignment="1">
      <alignment horizontal="center" vertical="center"/>
    </xf>
    <xf numFmtId="1" fontId="7" fillId="0" borderId="72" xfId="5" applyNumberFormat="1" applyFont="1" applyBorder="1" applyAlignment="1">
      <alignment vertical="center" wrapText="1"/>
    </xf>
    <xf numFmtId="1" fontId="7" fillId="0" borderId="41" xfId="5" applyNumberFormat="1" applyFont="1" applyBorder="1" applyAlignment="1">
      <alignment vertical="center" wrapText="1"/>
    </xf>
    <xf numFmtId="0" fontId="3" fillId="2" borderId="210" xfId="0" applyFont="1" applyFill="1" applyBorder="1" applyAlignment="1">
      <alignment horizontal="center" vertical="center"/>
    </xf>
    <xf numFmtId="0" fontId="3" fillId="2" borderId="81" xfId="0" applyFont="1" applyFill="1" applyBorder="1" applyAlignment="1">
      <alignment horizontal="center" vertical="center"/>
    </xf>
    <xf numFmtId="1" fontId="7" fillId="0" borderId="74" xfId="5" applyNumberFormat="1" applyFont="1" applyBorder="1" applyAlignment="1">
      <alignment vertical="center" wrapText="1"/>
    </xf>
    <xf numFmtId="1" fontId="7" fillId="0" borderId="43" xfId="5" applyNumberFormat="1" applyFont="1" applyBorder="1" applyAlignment="1">
      <alignment vertical="center" wrapText="1"/>
    </xf>
    <xf numFmtId="0" fontId="3" fillId="2" borderId="207" xfId="0" applyFont="1" applyFill="1" applyBorder="1" applyAlignment="1">
      <alignment horizontal="center" vertical="center"/>
    </xf>
    <xf numFmtId="0" fontId="3" fillId="2" borderId="115" xfId="0" applyFont="1" applyFill="1" applyBorder="1" applyAlignment="1">
      <alignment horizontal="center" vertical="center"/>
    </xf>
    <xf numFmtId="1" fontId="10" fillId="0" borderId="121" xfId="5" applyNumberFormat="1" applyFont="1" applyBorder="1" applyAlignment="1">
      <alignment vertical="center" wrapText="1"/>
    </xf>
    <xf numFmtId="1" fontId="10" fillId="0" borderId="115" xfId="5" applyNumberFormat="1" applyFont="1" applyBorder="1" applyAlignment="1">
      <alignment vertical="center" wrapText="1"/>
    </xf>
    <xf numFmtId="0" fontId="3" fillId="2" borderId="208" xfId="0" applyFont="1" applyFill="1" applyBorder="1" applyAlignment="1">
      <alignment horizontal="center" vertical="center"/>
    </xf>
    <xf numFmtId="0" fontId="3" fillId="2" borderId="122" xfId="0" applyFont="1" applyFill="1" applyBorder="1" applyAlignment="1">
      <alignment horizontal="center" vertical="center"/>
    </xf>
    <xf numFmtId="1" fontId="10" fillId="0" borderId="128" xfId="5" applyNumberFormat="1" applyFont="1" applyBorder="1" applyAlignment="1">
      <alignment vertical="center" wrapText="1"/>
    </xf>
    <xf numFmtId="1" fontId="10" fillId="0" borderId="122" xfId="5" applyNumberFormat="1" applyFont="1" applyBorder="1" applyAlignment="1">
      <alignment vertical="center" wrapText="1"/>
    </xf>
    <xf numFmtId="1" fontId="10" fillId="0" borderId="114" xfId="5" applyNumberFormat="1" applyFont="1" applyBorder="1" applyAlignment="1">
      <alignment vertical="center" wrapText="1"/>
    </xf>
    <xf numFmtId="1" fontId="10" fillId="0" borderId="108" xfId="5" applyNumberFormat="1" applyFont="1" applyBorder="1" applyAlignment="1">
      <alignment vertical="center" wrapText="1"/>
    </xf>
    <xf numFmtId="0" fontId="3" fillId="2" borderId="206" xfId="0" applyFont="1" applyFill="1" applyBorder="1" applyAlignment="1">
      <alignment horizontal="center" vertical="center"/>
    </xf>
    <xf numFmtId="0" fontId="3" fillId="2" borderId="108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center" wrapText="1"/>
    </xf>
    <xf numFmtId="0" fontId="9" fillId="2" borderId="53" xfId="0" applyFont="1" applyFill="1" applyBorder="1" applyAlignment="1">
      <alignment horizontal="center" vertical="center" wrapText="1"/>
    </xf>
    <xf numFmtId="0" fontId="9" fillId="2" borderId="55" xfId="0" applyFont="1" applyFill="1" applyBorder="1" applyAlignment="1">
      <alignment horizontal="center" vertical="center" wrapText="1"/>
    </xf>
    <xf numFmtId="0" fontId="9" fillId="2" borderId="50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9" fillId="2" borderId="54" xfId="0" applyFont="1" applyFill="1" applyBorder="1" applyAlignment="1">
      <alignment horizontal="center" vertical="center" wrapText="1"/>
    </xf>
    <xf numFmtId="0" fontId="9" fillId="2" borderId="60" xfId="0" applyFont="1" applyFill="1" applyBorder="1" applyAlignment="1">
      <alignment horizontal="center" vertical="center" wrapText="1"/>
    </xf>
    <xf numFmtId="0" fontId="9" fillId="2" borderId="61" xfId="0" applyFont="1" applyFill="1" applyBorder="1" applyAlignment="1">
      <alignment horizontal="center" vertical="center" wrapText="1"/>
    </xf>
    <xf numFmtId="0" fontId="9" fillId="2" borderId="62" xfId="0" applyFont="1" applyFill="1" applyBorder="1" applyAlignment="1">
      <alignment horizontal="center" vertical="center" wrapText="1"/>
    </xf>
    <xf numFmtId="0" fontId="9" fillId="2" borderId="65" xfId="0" applyFont="1" applyFill="1" applyBorder="1" applyAlignment="1">
      <alignment vertical="center" wrapText="1"/>
    </xf>
    <xf numFmtId="0" fontId="9" fillId="2" borderId="67" xfId="0" applyFont="1" applyFill="1" applyBorder="1" applyAlignment="1">
      <alignment vertical="center" wrapText="1"/>
    </xf>
    <xf numFmtId="0" fontId="9" fillId="2" borderId="68" xfId="0" applyFont="1" applyFill="1" applyBorder="1" applyAlignment="1">
      <alignment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3" fillId="2" borderId="106" xfId="0" applyFont="1" applyFill="1" applyBorder="1" applyAlignment="1">
      <alignment horizontal="center" vertical="center" wrapText="1"/>
    </xf>
    <xf numFmtId="0" fontId="3" fillId="2" borderId="174" xfId="0" applyFont="1" applyFill="1" applyBorder="1" applyAlignment="1">
      <alignment horizontal="center" vertical="center" wrapText="1"/>
    </xf>
    <xf numFmtId="0" fontId="9" fillId="3" borderId="293" xfId="0" applyFont="1" applyFill="1" applyBorder="1" applyAlignment="1">
      <alignment horizontal="center" vertical="center" wrapText="1"/>
    </xf>
    <xf numFmtId="0" fontId="9" fillId="3" borderId="294" xfId="0" applyFont="1" applyFill="1" applyBorder="1" applyAlignment="1">
      <alignment horizontal="center" vertical="center" wrapText="1"/>
    </xf>
    <xf numFmtId="0" fontId="9" fillId="3" borderId="295" xfId="0" applyFont="1" applyFill="1" applyBorder="1" applyAlignment="1">
      <alignment horizontal="center" vertical="center" wrapText="1"/>
    </xf>
    <xf numFmtId="0" fontId="19" fillId="3" borderId="293" xfId="0" applyFont="1" applyFill="1" applyBorder="1" applyAlignment="1">
      <alignment horizontal="center" vertical="center" wrapText="1"/>
    </xf>
    <xf numFmtId="0" fontId="19" fillId="3" borderId="294" xfId="0" applyFont="1" applyFill="1" applyBorder="1" applyAlignment="1">
      <alignment horizontal="center" vertical="center" wrapText="1"/>
    </xf>
    <xf numFmtId="0" fontId="19" fillId="3" borderId="295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25" xfId="0" applyFont="1" applyFill="1" applyBorder="1" applyAlignment="1">
      <alignment horizontal="center" vertical="center" wrapText="1"/>
    </xf>
    <xf numFmtId="0" fontId="22" fillId="2" borderId="26" xfId="0" applyFont="1" applyFill="1" applyBorder="1" applyAlignment="1">
      <alignment horizontal="center" vertical="center" wrapText="1"/>
    </xf>
    <xf numFmtId="0" fontId="22" fillId="2" borderId="42" xfId="0" applyFont="1" applyFill="1" applyBorder="1" applyAlignment="1">
      <alignment horizontal="center" vertical="center"/>
    </xf>
    <xf numFmtId="0" fontId="22" fillId="2" borderId="43" xfId="0" applyFont="1" applyFill="1" applyBorder="1" applyAlignment="1">
      <alignment horizontal="center" vertical="center"/>
    </xf>
    <xf numFmtId="0" fontId="22" fillId="2" borderId="210" xfId="0" applyFont="1" applyFill="1" applyBorder="1" applyAlignment="1">
      <alignment horizontal="center" vertical="center"/>
    </xf>
    <xf numFmtId="0" fontId="22" fillId="2" borderId="81" xfId="0" applyFont="1" applyFill="1" applyBorder="1" applyAlignment="1">
      <alignment horizontal="center" vertical="center"/>
    </xf>
    <xf numFmtId="0" fontId="22" fillId="2" borderId="90" xfId="0" applyFont="1" applyFill="1" applyBorder="1" applyAlignment="1">
      <alignment horizontal="center" vertical="center"/>
    </xf>
    <xf numFmtId="0" fontId="22" fillId="2" borderId="91" xfId="0" applyFont="1" applyFill="1" applyBorder="1" applyAlignment="1">
      <alignment horizontal="center" vertical="center"/>
    </xf>
    <xf numFmtId="0" fontId="22" fillId="2" borderId="207" xfId="0" applyFont="1" applyFill="1" applyBorder="1" applyAlignment="1">
      <alignment horizontal="center" vertical="center"/>
    </xf>
    <xf numFmtId="0" fontId="22" fillId="2" borderId="115" xfId="0" applyFont="1" applyFill="1" applyBorder="1" applyAlignment="1">
      <alignment horizontal="center" vertical="center"/>
    </xf>
    <xf numFmtId="0" fontId="22" fillId="2" borderId="98" xfId="0" applyFont="1" applyFill="1" applyBorder="1" applyAlignment="1">
      <alignment horizontal="center" vertical="center"/>
    </xf>
    <xf numFmtId="0" fontId="22" fillId="2" borderId="99" xfId="0" applyFont="1" applyFill="1" applyBorder="1" applyAlignment="1">
      <alignment horizontal="center" vertical="center"/>
    </xf>
    <xf numFmtId="0" fontId="22" fillId="2" borderId="208" xfId="0" applyFont="1" applyFill="1" applyBorder="1" applyAlignment="1">
      <alignment horizontal="center" vertical="center"/>
    </xf>
    <xf numFmtId="0" fontId="22" fillId="2" borderId="122" xfId="0" applyFont="1" applyFill="1" applyBorder="1" applyAlignment="1">
      <alignment horizontal="center" vertical="center"/>
    </xf>
    <xf numFmtId="0" fontId="22" fillId="2" borderId="40" xfId="0" applyFont="1" applyFill="1" applyBorder="1" applyAlignment="1">
      <alignment horizontal="center" vertical="center"/>
    </xf>
    <xf numFmtId="0" fontId="22" fillId="2" borderId="41" xfId="0" applyFont="1" applyFill="1" applyBorder="1" applyAlignment="1">
      <alignment horizontal="center" vertical="center"/>
    </xf>
    <xf numFmtId="0" fontId="22" fillId="2" borderId="209" xfId="0" applyFont="1" applyFill="1" applyBorder="1" applyAlignment="1">
      <alignment horizontal="center" vertical="center"/>
    </xf>
    <xf numFmtId="0" fontId="22" fillId="2" borderId="80" xfId="0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center" vertical="center" wrapText="1"/>
    </xf>
    <xf numFmtId="0" fontId="19" fillId="2" borderId="53" xfId="0" applyFont="1" applyFill="1" applyBorder="1" applyAlignment="1">
      <alignment horizontal="center" vertical="center" wrapText="1"/>
    </xf>
    <xf numFmtId="0" fontId="19" fillId="2" borderId="55" xfId="0" applyFont="1" applyFill="1" applyBorder="1" applyAlignment="1">
      <alignment horizontal="center" vertical="center" wrapText="1"/>
    </xf>
    <xf numFmtId="0" fontId="22" fillId="2" borderId="82" xfId="0" applyFont="1" applyFill="1" applyBorder="1" applyAlignment="1">
      <alignment horizontal="center" vertical="center"/>
    </xf>
    <xf numFmtId="0" fontId="22" fillId="2" borderId="83" xfId="0" applyFont="1" applyFill="1" applyBorder="1" applyAlignment="1">
      <alignment horizontal="center" vertical="center"/>
    </xf>
    <xf numFmtId="0" fontId="22" fillId="2" borderId="206" xfId="0" applyFont="1" applyFill="1" applyBorder="1" applyAlignment="1">
      <alignment horizontal="center" vertical="center"/>
    </xf>
    <xf numFmtId="0" fontId="22" fillId="2" borderId="108" xfId="0" applyFont="1" applyFill="1" applyBorder="1" applyAlignment="1">
      <alignment horizontal="center" vertical="center"/>
    </xf>
    <xf numFmtId="0" fontId="22" fillId="2" borderId="106" xfId="0" applyFont="1" applyFill="1" applyBorder="1" applyAlignment="1">
      <alignment horizontal="center" vertical="center" wrapText="1"/>
    </xf>
    <xf numFmtId="0" fontId="22" fillId="2" borderId="174" xfId="0" applyFont="1" applyFill="1" applyBorder="1" applyAlignment="1">
      <alignment horizontal="center" vertical="center" wrapText="1"/>
    </xf>
    <xf numFmtId="0" fontId="22" fillId="2" borderId="38" xfId="0" applyFont="1" applyFill="1" applyBorder="1" applyAlignment="1">
      <alignment horizontal="center" vertical="center"/>
    </xf>
    <xf numFmtId="0" fontId="22" fillId="2" borderId="39" xfId="0" applyFont="1" applyFill="1" applyBorder="1" applyAlignment="1">
      <alignment horizontal="center" vertical="center"/>
    </xf>
    <xf numFmtId="0" fontId="22" fillId="2" borderId="205" xfId="0" applyFont="1" applyFill="1" applyBorder="1" applyAlignment="1">
      <alignment horizontal="center" vertical="center"/>
    </xf>
    <xf numFmtId="0" fontId="22" fillId="2" borderId="79" xfId="0" applyFont="1" applyFill="1" applyBorder="1" applyAlignment="1">
      <alignment horizontal="center" vertical="center"/>
    </xf>
    <xf numFmtId="0" fontId="19" fillId="2" borderId="50" xfId="0" applyFont="1" applyFill="1" applyBorder="1" applyAlignment="1">
      <alignment horizontal="center" vertical="center" wrapText="1"/>
    </xf>
    <xf numFmtId="0" fontId="19" fillId="2" borderId="52" xfId="0" applyFont="1" applyFill="1" applyBorder="1" applyAlignment="1">
      <alignment horizontal="center" vertical="center" wrapText="1"/>
    </xf>
    <xf numFmtId="0" fontId="19" fillId="2" borderId="54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9" fillId="2" borderId="293" xfId="0" applyFont="1" applyFill="1" applyBorder="1" applyAlignment="1">
      <alignment horizontal="center" vertical="center" wrapText="1"/>
    </xf>
    <xf numFmtId="0" fontId="19" fillId="2" borderId="294" xfId="0" applyFont="1" applyFill="1" applyBorder="1" applyAlignment="1">
      <alignment horizontal="center" vertical="center" wrapText="1"/>
    </xf>
    <xf numFmtId="0" fontId="19" fillId="2" borderId="295" xfId="0" applyFont="1" applyFill="1" applyBorder="1" applyAlignment="1">
      <alignment horizontal="center" vertical="center" wrapText="1"/>
    </xf>
    <xf numFmtId="0" fontId="28" fillId="2" borderId="176" xfId="0" applyFont="1" applyFill="1" applyBorder="1" applyAlignment="1">
      <alignment horizontal="center" vertical="center" wrapText="1"/>
    </xf>
    <xf numFmtId="0" fontId="29" fillId="2" borderId="179" xfId="0" applyFont="1" applyFill="1" applyBorder="1" applyAlignment="1">
      <alignment horizontal="center" vertical="center" wrapText="1"/>
    </xf>
    <xf numFmtId="0" fontId="11" fillId="2" borderId="156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53" xfId="0" applyFont="1" applyFill="1" applyBorder="1" applyAlignment="1">
      <alignment horizontal="center" vertical="center" wrapText="1"/>
    </xf>
    <xf numFmtId="0" fontId="11" fillId="2" borderId="224" xfId="0" applyFont="1" applyFill="1" applyBorder="1" applyAlignment="1">
      <alignment horizontal="center" vertical="center"/>
    </xf>
    <xf numFmtId="0" fontId="11" fillId="2" borderId="190" xfId="0" applyFont="1" applyFill="1" applyBorder="1" applyAlignment="1">
      <alignment horizontal="center" vertical="center"/>
    </xf>
    <xf numFmtId="0" fontId="11" fillId="2" borderId="223" xfId="0" applyFont="1" applyFill="1" applyBorder="1" applyAlignment="1">
      <alignment horizontal="center" vertical="center"/>
    </xf>
    <xf numFmtId="0" fontId="11" fillId="2" borderId="186" xfId="0" applyFont="1" applyFill="1" applyBorder="1" applyAlignment="1">
      <alignment horizontal="center" vertical="center"/>
    </xf>
    <xf numFmtId="0" fontId="11" fillId="3" borderId="49" xfId="0" applyFont="1" applyFill="1" applyBorder="1" applyAlignment="1">
      <alignment horizontal="center" vertical="center"/>
    </xf>
    <xf numFmtId="0" fontId="11" fillId="2" borderId="225" xfId="0" applyFont="1" applyFill="1" applyBorder="1" applyAlignment="1">
      <alignment horizontal="center" vertical="center"/>
    </xf>
    <xf numFmtId="0" fontId="11" fillId="2" borderId="19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1" fontId="10" fillId="0" borderId="74" xfId="5" applyNumberFormat="1" applyFont="1" applyBorder="1" applyAlignment="1">
      <alignment vertical="center" wrapText="1"/>
    </xf>
    <xf numFmtId="1" fontId="10" fillId="0" borderId="43" xfId="5" applyNumberFormat="1" applyFont="1" applyBorder="1" applyAlignment="1">
      <alignment vertical="center" wrapText="1"/>
    </xf>
    <xf numFmtId="1" fontId="10" fillId="0" borderId="72" xfId="5" applyNumberFormat="1" applyFont="1" applyBorder="1" applyAlignment="1">
      <alignment vertical="center" wrapText="1"/>
    </xf>
    <xf numFmtId="1" fontId="10" fillId="0" borderId="41" xfId="5" applyNumberFormat="1" applyFont="1" applyBorder="1" applyAlignment="1">
      <alignment vertical="center" wrapText="1"/>
    </xf>
    <xf numFmtId="0" fontId="9" fillId="2" borderId="293" xfId="0" applyFont="1" applyFill="1" applyBorder="1" applyAlignment="1">
      <alignment horizontal="center" vertical="center" wrapText="1"/>
    </xf>
    <xf numFmtId="0" fontId="9" fillId="2" borderId="294" xfId="0" applyFont="1" applyFill="1" applyBorder="1" applyAlignment="1">
      <alignment horizontal="center" vertical="center" wrapText="1"/>
    </xf>
    <xf numFmtId="0" fontId="9" fillId="2" borderId="295" xfId="0" applyFont="1" applyFill="1" applyBorder="1" applyAlignment="1">
      <alignment horizontal="center" vertical="center" wrapText="1"/>
    </xf>
    <xf numFmtId="0" fontId="11" fillId="2" borderId="244" xfId="0" applyFont="1" applyFill="1" applyBorder="1" applyAlignment="1">
      <alignment horizontal="center" vertical="center"/>
    </xf>
    <xf numFmtId="1" fontId="31" fillId="3" borderId="72" xfId="5" applyNumberFormat="1" applyFont="1" applyFill="1" applyBorder="1" applyAlignment="1">
      <alignment vertical="center" wrapText="1"/>
    </xf>
    <xf numFmtId="1" fontId="31" fillId="3" borderId="41" xfId="5" applyNumberFormat="1" applyFont="1" applyFill="1" applyBorder="1" applyAlignment="1">
      <alignment vertical="center" wrapText="1"/>
    </xf>
    <xf numFmtId="0" fontId="11" fillId="2" borderId="245" xfId="0" applyFont="1" applyFill="1" applyBorder="1" applyAlignment="1">
      <alignment horizontal="center" vertical="center"/>
    </xf>
    <xf numFmtId="1" fontId="31" fillId="3" borderId="74" xfId="5" applyNumberFormat="1" applyFont="1" applyFill="1" applyBorder="1" applyAlignment="1">
      <alignment vertical="center" wrapText="1"/>
    </xf>
    <xf numFmtId="1" fontId="31" fillId="3" borderId="43" xfId="5" applyNumberFormat="1" applyFont="1" applyFill="1" applyBorder="1" applyAlignment="1">
      <alignment vertical="center" wrapText="1"/>
    </xf>
    <xf numFmtId="0" fontId="11" fillId="2" borderId="248" xfId="0" applyFont="1" applyFill="1" applyBorder="1" applyAlignment="1">
      <alignment horizontal="center" vertical="center"/>
    </xf>
    <xf numFmtId="1" fontId="31" fillId="3" borderId="121" xfId="5" applyNumberFormat="1" applyFont="1" applyFill="1" applyBorder="1" applyAlignment="1">
      <alignment vertical="center" wrapText="1"/>
    </xf>
    <xf numFmtId="1" fontId="31" fillId="3" borderId="115" xfId="5" applyNumberFormat="1" applyFont="1" applyFill="1" applyBorder="1" applyAlignment="1">
      <alignment vertical="center" wrapText="1"/>
    </xf>
    <xf numFmtId="0" fontId="11" fillId="2" borderId="249" xfId="0" applyFont="1" applyFill="1" applyBorder="1" applyAlignment="1">
      <alignment horizontal="center" vertical="center"/>
    </xf>
    <xf numFmtId="1" fontId="31" fillId="3" borderId="128" xfId="5" applyNumberFormat="1" applyFont="1" applyFill="1" applyBorder="1" applyAlignment="1">
      <alignment vertical="center" wrapText="1"/>
    </xf>
    <xf numFmtId="1" fontId="31" fillId="3" borderId="122" xfId="5" applyNumberFormat="1" applyFont="1" applyFill="1" applyBorder="1" applyAlignment="1">
      <alignment vertical="center" wrapText="1"/>
    </xf>
    <xf numFmtId="1" fontId="31" fillId="3" borderId="114" xfId="5" applyNumberFormat="1" applyFont="1" applyFill="1" applyBorder="1" applyAlignment="1">
      <alignment vertical="center" wrapText="1"/>
    </xf>
    <xf numFmtId="1" fontId="31" fillId="3" borderId="108" xfId="5" applyNumberFormat="1" applyFont="1" applyFill="1" applyBorder="1" applyAlignment="1">
      <alignment vertical="center" wrapText="1"/>
    </xf>
    <xf numFmtId="0" fontId="11" fillId="2" borderId="247" xfId="0" applyFont="1" applyFill="1" applyBorder="1" applyAlignment="1">
      <alignment horizontal="center" vertical="center"/>
    </xf>
    <xf numFmtId="0" fontId="11" fillId="2" borderId="246" xfId="0" applyFont="1" applyFill="1" applyBorder="1" applyAlignment="1">
      <alignment horizontal="center" vertical="center"/>
    </xf>
    <xf numFmtId="0" fontId="28" fillId="2" borderId="238" xfId="0" applyFont="1" applyFill="1" applyBorder="1" applyAlignment="1">
      <alignment horizontal="center" vertical="center" wrapText="1"/>
    </xf>
    <xf numFmtId="1" fontId="20" fillId="3" borderId="114" xfId="5" applyNumberFormat="1" applyFont="1" applyFill="1" applyBorder="1" applyAlignment="1">
      <alignment vertical="center" wrapText="1"/>
    </xf>
    <xf numFmtId="1" fontId="20" fillId="3" borderId="108" xfId="5" applyNumberFormat="1" applyFont="1" applyFill="1" applyBorder="1" applyAlignment="1">
      <alignment vertical="center" wrapText="1"/>
    </xf>
    <xf numFmtId="1" fontId="20" fillId="3" borderId="74" xfId="5" applyNumberFormat="1" applyFont="1" applyFill="1" applyBorder="1" applyAlignment="1">
      <alignment vertical="center" wrapText="1"/>
    </xf>
    <xf numFmtId="1" fontId="20" fillId="3" borderId="43" xfId="5" applyNumberFormat="1" applyFont="1" applyFill="1" applyBorder="1" applyAlignment="1">
      <alignment vertical="center" wrapText="1"/>
    </xf>
    <xf numFmtId="1" fontId="20" fillId="3" borderId="121" xfId="5" applyNumberFormat="1" applyFont="1" applyFill="1" applyBorder="1" applyAlignment="1">
      <alignment vertical="center" wrapText="1"/>
    </xf>
    <xf numFmtId="1" fontId="20" fillId="3" borderId="115" xfId="5" applyNumberFormat="1" applyFont="1" applyFill="1" applyBorder="1" applyAlignment="1">
      <alignment vertical="center" wrapText="1"/>
    </xf>
    <xf numFmtId="1" fontId="20" fillId="3" borderId="128" xfId="5" applyNumberFormat="1" applyFont="1" applyFill="1" applyBorder="1" applyAlignment="1">
      <alignment vertical="center" wrapText="1"/>
    </xf>
    <xf numFmtId="1" fontId="20" fillId="3" borderId="122" xfId="5" applyNumberFormat="1" applyFont="1" applyFill="1" applyBorder="1" applyAlignment="1">
      <alignment vertical="center" wrapText="1"/>
    </xf>
    <xf numFmtId="0" fontId="26" fillId="2" borderId="203" xfId="0" applyFont="1" applyFill="1" applyBorder="1" applyAlignment="1">
      <alignment horizontal="center" vertical="center" wrapText="1"/>
    </xf>
    <xf numFmtId="0" fontId="26" fillId="2" borderId="49" xfId="0" applyFont="1" applyFill="1" applyBorder="1" applyAlignment="1">
      <alignment horizontal="center" vertical="center" wrapText="1"/>
    </xf>
    <xf numFmtId="0" fontId="26" fillId="2" borderId="66" xfId="0" applyFont="1" applyFill="1" applyBorder="1" applyAlignment="1">
      <alignment horizontal="center" vertical="center" wrapText="1"/>
    </xf>
    <xf numFmtId="1" fontId="20" fillId="3" borderId="301" xfId="5" applyNumberFormat="1" applyFont="1" applyFill="1" applyBorder="1" applyAlignment="1">
      <alignment vertical="center" wrapText="1"/>
    </xf>
    <xf numFmtId="1" fontId="20" fillId="3" borderId="72" xfId="5" applyNumberFormat="1" applyFont="1" applyFill="1" applyBorder="1" applyAlignment="1">
      <alignment vertical="center" wrapText="1"/>
    </xf>
    <xf numFmtId="1" fontId="20" fillId="3" borderId="41" xfId="5" applyNumberFormat="1" applyFont="1" applyFill="1" applyBorder="1" applyAlignment="1">
      <alignment vertical="center" wrapText="1"/>
    </xf>
    <xf numFmtId="0" fontId="15" fillId="2" borderId="273" xfId="0" applyFont="1" applyFill="1" applyBorder="1" applyAlignment="1">
      <alignment horizontal="center" vertical="center"/>
    </xf>
    <xf numFmtId="0" fontId="15" fillId="2" borderId="278" xfId="0" applyFont="1" applyFill="1" applyBorder="1" applyAlignment="1">
      <alignment horizontal="center" vertical="center"/>
    </xf>
    <xf numFmtId="0" fontId="15" fillId="2" borderId="263" xfId="0" applyFont="1" applyFill="1" applyBorder="1" applyAlignment="1">
      <alignment horizontal="center" vertical="center"/>
    </xf>
    <xf numFmtId="0" fontId="15" fillId="2" borderId="264" xfId="0" applyFont="1" applyFill="1" applyBorder="1" applyAlignment="1">
      <alignment horizontal="center" vertical="center"/>
    </xf>
    <xf numFmtId="3" fontId="15" fillId="2" borderId="260" xfId="0" applyNumberFormat="1" applyFont="1" applyFill="1" applyBorder="1" applyAlignment="1">
      <alignment horizontal="center" vertical="center" wrapText="1"/>
    </xf>
    <xf numFmtId="0" fontId="15" fillId="2" borderId="273" xfId="0" applyFont="1" applyFill="1" applyBorder="1" applyAlignment="1">
      <alignment horizontal="center" vertical="center" wrapText="1"/>
    </xf>
    <xf numFmtId="0" fontId="15" fillId="2" borderId="264" xfId="0" applyFont="1" applyFill="1" applyBorder="1" applyAlignment="1">
      <alignment horizontal="center" vertical="center" wrapText="1"/>
    </xf>
    <xf numFmtId="0" fontId="27" fillId="2" borderId="273" xfId="0" applyFont="1" applyFill="1" applyBorder="1" applyAlignment="1">
      <alignment horizontal="center" vertical="center"/>
    </xf>
    <xf numFmtId="0" fontId="27" fillId="2" borderId="278" xfId="0" applyFont="1" applyFill="1" applyBorder="1" applyAlignment="1">
      <alignment horizontal="center" vertical="center"/>
    </xf>
    <xf numFmtId="0" fontId="18" fillId="4" borderId="305" xfId="0" applyFont="1" applyFill="1" applyBorder="1" applyAlignment="1">
      <alignment vertical="center"/>
    </xf>
    <xf numFmtId="3" fontId="15" fillId="2" borderId="306" xfId="0" applyNumberFormat="1" applyFont="1" applyFill="1" applyBorder="1" applyAlignment="1">
      <alignment horizontal="center" vertical="center" wrapText="1"/>
    </xf>
    <xf numFmtId="0" fontId="15" fillId="2" borderId="307" xfId="0" applyFont="1" applyFill="1" applyBorder="1" applyAlignment="1">
      <alignment vertical="center"/>
    </xf>
    <xf numFmtId="3" fontId="15" fillId="2" borderId="308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</cellXfs>
  <cellStyles count="6">
    <cellStyle name="Heading" xfId="1"/>
    <cellStyle name="Heading1" xfId="2"/>
    <cellStyle name="Normal" xfId="0" builtinId="0" customBuiltin="1"/>
    <cellStyle name="Pourcentage" xfId="5" builtinId="5"/>
    <cellStyle name="Result" xfId="3"/>
    <cellStyle name="Result2" xfId="4"/>
  </cellStyles>
  <dxfs count="0"/>
  <tableStyles count="0" defaultTableStyle="TableStyleMedium2" defaultPivotStyle="PivotStyleLight16"/>
  <colors>
    <mruColors>
      <color rgb="FFF47CE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530679</xdr:colOff>
      <xdr:row>0</xdr:row>
      <xdr:rowOff>23813</xdr:rowOff>
    </xdr:from>
    <xdr:to>
      <xdr:col>25</xdr:col>
      <xdr:colOff>791997</xdr:colOff>
      <xdr:row>6</xdr:row>
      <xdr:rowOff>305670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62528783-EE2F-417D-9DBC-C251199B2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7429" y="23813"/>
          <a:ext cx="5261943" cy="3615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ERE%20&amp;%20Mairie/1.%20AERE%20&amp;%20collectifs/2.%20Collectif%20CICLABLE/2.%20Comptages%20v&#233;los/2020%20(mardi%2016%20juin)/1.%20R&#233;sultats%20comptages/AERE/Comptage%20v&#233;los%202020_AE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TR_D2 (ex-PN93)"/>
      <sheetName val="ETR_Château"/>
      <sheetName val="RE_Eglise"/>
      <sheetName val="RE_Foron"/>
      <sheetName val="RE_Fil Saisons"/>
      <sheetName val="RE_La Forge (gir.)"/>
      <sheetName val="PJ_Casino"/>
      <sheetName val="ART_Lavage auto"/>
      <sheetName val="SCI_Bellecombe"/>
      <sheetName val="AM_Coriandre"/>
      <sheetName val="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D13">
            <v>153</v>
          </cell>
          <cell r="E13">
            <v>90</v>
          </cell>
          <cell r="F13" t="str">
            <v>de 7:00 à 8:00</v>
          </cell>
          <cell r="G13">
            <v>0.29411764705882354</v>
          </cell>
          <cell r="H13">
            <v>45</v>
          </cell>
          <cell r="I13">
            <v>0.12418300653594772</v>
          </cell>
          <cell r="J13">
            <v>19</v>
          </cell>
          <cell r="K13">
            <v>8.4967320261437912E-2</v>
          </cell>
          <cell r="L13">
            <v>13</v>
          </cell>
          <cell r="M13">
            <v>0.73202614379084963</v>
          </cell>
          <cell r="N13">
            <v>112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7CE3"/>
  </sheetPr>
  <dimension ref="A1:AQ79"/>
  <sheetViews>
    <sheetView view="pageBreakPreview" topLeftCell="A7" zoomScale="55" zoomScaleNormal="55" zoomScaleSheetLayoutView="55" workbookViewId="0">
      <selection activeCell="D19" sqref="D19"/>
    </sheetView>
  </sheetViews>
  <sheetFormatPr baseColWidth="10" defaultRowHeight="14.25"/>
  <cols>
    <col min="1" max="1" width="9.125" style="8" customWidth="1"/>
    <col min="2" max="2" width="13.75" style="8" customWidth="1"/>
    <col min="3" max="26" width="10.875" style="8" customWidth="1"/>
    <col min="27" max="27" width="9.125" style="8" customWidth="1"/>
    <col min="28" max="28" width="13.75" style="8" customWidth="1"/>
    <col min="29" max="36" width="21.125" style="8" customWidth="1"/>
    <col min="37" max="37" width="82.625" style="8" customWidth="1"/>
    <col min="38" max="43" width="10.625" style="8" customWidth="1"/>
    <col min="44" max="16384" width="11" style="8"/>
  </cols>
  <sheetData>
    <row r="1" spans="1:32" ht="52.5" customHeight="1" thickBot="1">
      <c r="A1" s="374" t="s">
        <v>89</v>
      </c>
      <c r="B1" s="375" t="s">
        <v>84</v>
      </c>
      <c r="C1" s="376"/>
      <c r="D1" s="376"/>
      <c r="E1" s="376"/>
      <c r="F1" s="377"/>
      <c r="G1" s="377"/>
      <c r="H1" s="376"/>
      <c r="I1" s="376"/>
      <c r="J1" s="377"/>
      <c r="K1" s="377"/>
      <c r="L1" s="378"/>
      <c r="M1" s="331" t="s">
        <v>30</v>
      </c>
      <c r="N1" s="332" t="s">
        <v>141</v>
      </c>
      <c r="O1" s="376"/>
      <c r="P1" s="376"/>
      <c r="Q1" s="376"/>
      <c r="R1" s="376"/>
      <c r="S1" s="376"/>
      <c r="T1" s="376"/>
      <c r="U1" s="376"/>
      <c r="V1" s="380"/>
      <c r="W1" s="381"/>
      <c r="X1" s="381"/>
      <c r="Y1" s="381"/>
      <c r="Z1" s="382"/>
    </row>
    <row r="2" spans="1:32" ht="52.5" customHeight="1" thickBot="1">
      <c r="A2" s="318" t="s">
        <v>2</v>
      </c>
      <c r="B2" s="319"/>
      <c r="C2" s="319"/>
      <c r="D2" s="319"/>
      <c r="E2" s="319"/>
      <c r="F2" s="319"/>
      <c r="G2" s="375" t="s">
        <v>143</v>
      </c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  <c r="V2" s="380"/>
      <c r="W2" s="319"/>
      <c r="X2" s="319"/>
      <c r="Y2" s="319"/>
      <c r="Z2" s="319"/>
    </row>
    <row r="3" spans="1:32" ht="52.5" hidden="1" customHeight="1" thickBot="1">
      <c r="A3" s="318" t="s">
        <v>3</v>
      </c>
      <c r="B3" s="319"/>
      <c r="C3" s="375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80"/>
      <c r="W3" s="319"/>
      <c r="X3" s="319"/>
      <c r="Y3" s="319"/>
      <c r="Z3" s="336"/>
    </row>
    <row r="4" spans="1:32" ht="52.5" customHeight="1" thickBot="1">
      <c r="A4" s="318" t="s">
        <v>27</v>
      </c>
      <c r="B4" s="319"/>
      <c r="C4" s="375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U4" s="376"/>
      <c r="V4" s="380"/>
      <c r="W4" s="319"/>
      <c r="X4" s="319"/>
      <c r="Y4" s="319"/>
      <c r="Z4" s="336"/>
    </row>
    <row r="5" spans="1:32" ht="25.5" customHeight="1">
      <c r="A5" s="318" t="s">
        <v>71</v>
      </c>
      <c r="B5" s="319"/>
      <c r="C5" s="319" t="s">
        <v>72</v>
      </c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36"/>
    </row>
    <row r="6" spans="1:32" ht="25.5" customHeight="1">
      <c r="A6" s="337"/>
      <c r="B6" s="319"/>
      <c r="C6" s="319" t="s">
        <v>91</v>
      </c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36"/>
    </row>
    <row r="7" spans="1:32" ht="25.5" customHeight="1" thickBot="1">
      <c r="A7" s="337"/>
      <c r="B7" s="319"/>
      <c r="C7" s="319"/>
      <c r="D7" s="319"/>
      <c r="E7" s="319"/>
      <c r="F7" s="319"/>
      <c r="G7" s="319"/>
      <c r="H7" s="319"/>
      <c r="I7" s="319"/>
      <c r="J7" s="319"/>
      <c r="K7" s="319"/>
      <c r="L7" s="319"/>
      <c r="M7" s="319"/>
      <c r="N7" s="319"/>
      <c r="O7" s="319"/>
      <c r="P7" s="319"/>
      <c r="Q7" s="319"/>
      <c r="R7" s="319"/>
      <c r="S7" s="319"/>
      <c r="T7" s="319"/>
      <c r="U7" s="319"/>
      <c r="V7" s="319"/>
      <c r="W7" s="319"/>
      <c r="X7" s="319"/>
      <c r="Y7" s="319"/>
      <c r="Z7" s="336"/>
    </row>
    <row r="8" spans="1:32" ht="32.25" customHeight="1" thickTop="1">
      <c r="A8" s="384"/>
      <c r="B8" s="385"/>
      <c r="C8" s="826" t="s">
        <v>74</v>
      </c>
      <c r="D8" s="827"/>
      <c r="E8" s="827"/>
      <c r="F8" s="827"/>
      <c r="G8" s="827"/>
      <c r="H8" s="827"/>
      <c r="I8" s="827"/>
      <c r="J8" s="827"/>
      <c r="K8" s="827"/>
      <c r="L8" s="827"/>
      <c r="M8" s="827"/>
      <c r="N8" s="827"/>
      <c r="O8" s="826" t="s">
        <v>85</v>
      </c>
      <c r="P8" s="827"/>
      <c r="Q8" s="827"/>
      <c r="R8" s="827"/>
      <c r="S8" s="827"/>
      <c r="T8" s="827"/>
      <c r="U8" s="827"/>
      <c r="V8" s="827"/>
      <c r="W8" s="827"/>
      <c r="X8" s="827"/>
      <c r="Y8" s="827"/>
      <c r="Z8" s="828"/>
      <c r="AB8" s="9"/>
      <c r="AC8" s="9"/>
      <c r="AD8" s="9"/>
      <c r="AE8" s="9"/>
      <c r="AF8" s="9"/>
    </row>
    <row r="9" spans="1:32" ht="22.7" customHeight="1">
      <c r="A9" s="384"/>
      <c r="B9" s="385"/>
      <c r="C9" s="823" t="s">
        <v>37</v>
      </c>
      <c r="D9" s="824"/>
      <c r="E9" s="824"/>
      <c r="F9" s="824"/>
      <c r="G9" s="824" t="s">
        <v>87</v>
      </c>
      <c r="H9" s="824"/>
      <c r="I9" s="824"/>
      <c r="J9" s="824"/>
      <c r="K9" s="824" t="s">
        <v>86</v>
      </c>
      <c r="L9" s="824"/>
      <c r="M9" s="824"/>
      <c r="N9" s="824"/>
      <c r="O9" s="823" t="s">
        <v>77</v>
      </c>
      <c r="P9" s="824"/>
      <c r="Q9" s="824"/>
      <c r="R9" s="824"/>
      <c r="S9" s="824" t="s">
        <v>37</v>
      </c>
      <c r="T9" s="824"/>
      <c r="U9" s="824"/>
      <c r="V9" s="824"/>
      <c r="W9" s="824" t="s">
        <v>87</v>
      </c>
      <c r="X9" s="824"/>
      <c r="Y9" s="824"/>
      <c r="Z9" s="825"/>
    </row>
    <row r="10" spans="1:32" ht="18.600000000000001" customHeight="1" thickBot="1">
      <c r="A10" s="384"/>
      <c r="B10" s="385"/>
      <c r="C10" s="814" t="s">
        <v>4</v>
      </c>
      <c r="D10" s="815"/>
      <c r="E10" s="816" t="s">
        <v>5</v>
      </c>
      <c r="F10" s="817"/>
      <c r="G10" s="817" t="s">
        <v>4</v>
      </c>
      <c r="H10" s="818"/>
      <c r="I10" s="816" t="s">
        <v>5</v>
      </c>
      <c r="J10" s="817"/>
      <c r="K10" s="817" t="s">
        <v>4</v>
      </c>
      <c r="L10" s="819"/>
      <c r="M10" s="820" t="s">
        <v>5</v>
      </c>
      <c r="N10" s="822"/>
      <c r="O10" s="814" t="s">
        <v>4</v>
      </c>
      <c r="P10" s="815"/>
      <c r="Q10" s="816" t="s">
        <v>5</v>
      </c>
      <c r="R10" s="817"/>
      <c r="S10" s="817" t="s">
        <v>4</v>
      </c>
      <c r="T10" s="818"/>
      <c r="U10" s="816" t="s">
        <v>5</v>
      </c>
      <c r="V10" s="817"/>
      <c r="W10" s="817" t="s">
        <v>4</v>
      </c>
      <c r="X10" s="819"/>
      <c r="Y10" s="820" t="s">
        <v>5</v>
      </c>
      <c r="Z10" s="821"/>
    </row>
    <row r="11" spans="1:32" ht="21" thickTop="1">
      <c r="A11" s="388" t="s">
        <v>6</v>
      </c>
      <c r="B11" s="389" t="s">
        <v>7</v>
      </c>
      <c r="C11" s="479" t="s">
        <v>8</v>
      </c>
      <c r="D11" s="480" t="s">
        <v>9</v>
      </c>
      <c r="E11" s="481" t="s">
        <v>8</v>
      </c>
      <c r="F11" s="482" t="s">
        <v>9</v>
      </c>
      <c r="G11" s="483" t="s">
        <v>8</v>
      </c>
      <c r="H11" s="484" t="s">
        <v>9</v>
      </c>
      <c r="I11" s="481" t="s">
        <v>8</v>
      </c>
      <c r="J11" s="482" t="s">
        <v>9</v>
      </c>
      <c r="K11" s="342" t="s">
        <v>8</v>
      </c>
      <c r="L11" s="339" t="s">
        <v>9</v>
      </c>
      <c r="M11" s="340" t="s">
        <v>8</v>
      </c>
      <c r="N11" s="341" t="s">
        <v>9</v>
      </c>
      <c r="O11" s="479" t="s">
        <v>8</v>
      </c>
      <c r="P11" s="480" t="s">
        <v>9</v>
      </c>
      <c r="Q11" s="481" t="s">
        <v>8</v>
      </c>
      <c r="R11" s="482" t="s">
        <v>9</v>
      </c>
      <c r="S11" s="483" t="s">
        <v>8</v>
      </c>
      <c r="T11" s="484" t="s">
        <v>9</v>
      </c>
      <c r="U11" s="481" t="s">
        <v>8</v>
      </c>
      <c r="V11" s="482" t="s">
        <v>9</v>
      </c>
      <c r="W11" s="342" t="s">
        <v>8</v>
      </c>
      <c r="X11" s="339" t="s">
        <v>9</v>
      </c>
      <c r="Y11" s="340" t="s">
        <v>8</v>
      </c>
      <c r="Z11" s="343" t="s">
        <v>9</v>
      </c>
      <c r="AA11" s="10"/>
    </row>
    <row r="12" spans="1:32" ht="54.95" hidden="1" customHeight="1">
      <c r="A12" s="391">
        <v>6</v>
      </c>
      <c r="B12" s="392" t="s">
        <v>25</v>
      </c>
      <c r="C12" s="485"/>
      <c r="D12" s="486"/>
      <c r="E12" s="487"/>
      <c r="F12" s="488"/>
      <c r="G12" s="489"/>
      <c r="H12" s="490"/>
      <c r="I12" s="487"/>
      <c r="J12" s="488"/>
      <c r="K12" s="459"/>
      <c r="L12" s="456"/>
      <c r="M12" s="457"/>
      <c r="N12" s="458"/>
      <c r="O12" s="485"/>
      <c r="P12" s="486"/>
      <c r="Q12" s="487"/>
      <c r="R12" s="488"/>
      <c r="S12" s="489"/>
      <c r="T12" s="490"/>
      <c r="U12" s="487"/>
      <c r="V12" s="488"/>
      <c r="W12" s="459"/>
      <c r="X12" s="456"/>
      <c r="Y12" s="457"/>
      <c r="Z12" s="460"/>
      <c r="AA12" s="2"/>
      <c r="AB12" s="2"/>
      <c r="AC12" s="2"/>
      <c r="AD12" s="2"/>
      <c r="AE12" s="2"/>
      <c r="AF12" s="2"/>
    </row>
    <row r="13" spans="1:32" ht="54.95" customHeight="1">
      <c r="A13" s="391">
        <v>6</v>
      </c>
      <c r="B13" s="392" t="s">
        <v>26</v>
      </c>
      <c r="C13" s="485"/>
      <c r="D13" s="486"/>
      <c r="E13" s="487"/>
      <c r="F13" s="488"/>
      <c r="G13" s="489"/>
      <c r="H13" s="490"/>
      <c r="I13" s="487"/>
      <c r="J13" s="488"/>
      <c r="K13" s="459"/>
      <c r="L13" s="456"/>
      <c r="M13" s="457"/>
      <c r="N13" s="458"/>
      <c r="O13" s="485"/>
      <c r="P13" s="486"/>
      <c r="Q13" s="487"/>
      <c r="R13" s="488"/>
      <c r="S13" s="489"/>
      <c r="T13" s="490"/>
      <c r="U13" s="487"/>
      <c r="V13" s="488"/>
      <c r="W13" s="459"/>
      <c r="X13" s="456"/>
      <c r="Y13" s="457"/>
      <c r="Z13" s="460"/>
      <c r="AA13" s="2"/>
      <c r="AB13" s="2"/>
      <c r="AC13" s="2"/>
      <c r="AD13" s="2"/>
      <c r="AE13" s="2"/>
      <c r="AF13" s="2"/>
    </row>
    <row r="14" spans="1:32" ht="54.95" customHeight="1">
      <c r="A14" s="391">
        <v>7</v>
      </c>
      <c r="B14" s="392" t="s">
        <v>23</v>
      </c>
      <c r="C14" s="485"/>
      <c r="D14" s="486">
        <v>2</v>
      </c>
      <c r="E14" s="487"/>
      <c r="F14" s="488"/>
      <c r="G14" s="489"/>
      <c r="H14" s="490"/>
      <c r="I14" s="487"/>
      <c r="J14" s="488"/>
      <c r="K14" s="459"/>
      <c r="L14" s="456"/>
      <c r="M14" s="457"/>
      <c r="N14" s="458"/>
      <c r="O14" s="485"/>
      <c r="P14" s="486"/>
      <c r="Q14" s="487"/>
      <c r="R14" s="488"/>
      <c r="S14" s="489"/>
      <c r="T14" s="490">
        <v>1</v>
      </c>
      <c r="U14" s="487"/>
      <c r="V14" s="488"/>
      <c r="W14" s="459"/>
      <c r="X14" s="456"/>
      <c r="Y14" s="457"/>
      <c r="Z14" s="460"/>
      <c r="AA14" s="2"/>
      <c r="AB14" s="2"/>
      <c r="AC14" s="2"/>
      <c r="AD14" s="2"/>
      <c r="AE14" s="2"/>
      <c r="AF14" s="2"/>
    </row>
    <row r="15" spans="1:32" ht="54.95" customHeight="1">
      <c r="A15" s="391"/>
      <c r="B15" s="392" t="s">
        <v>24</v>
      </c>
      <c r="C15" s="485"/>
      <c r="D15" s="486">
        <v>3</v>
      </c>
      <c r="E15" s="487"/>
      <c r="F15" s="488"/>
      <c r="G15" s="489"/>
      <c r="H15" s="490"/>
      <c r="I15" s="487"/>
      <c r="J15" s="488"/>
      <c r="K15" s="459"/>
      <c r="L15" s="456"/>
      <c r="M15" s="457"/>
      <c r="N15" s="458"/>
      <c r="O15" s="485"/>
      <c r="P15" s="486"/>
      <c r="Q15" s="487"/>
      <c r="R15" s="488"/>
      <c r="S15" s="489">
        <v>1</v>
      </c>
      <c r="T15" s="490"/>
      <c r="U15" s="487"/>
      <c r="V15" s="488">
        <v>1</v>
      </c>
      <c r="W15" s="459"/>
      <c r="X15" s="456"/>
      <c r="Y15" s="457"/>
      <c r="Z15" s="460"/>
      <c r="AA15" s="2"/>
      <c r="AB15" s="2"/>
      <c r="AC15" s="2"/>
      <c r="AD15" s="2"/>
      <c r="AE15" s="2"/>
      <c r="AF15" s="2"/>
    </row>
    <row r="16" spans="1:32" ht="54.95" customHeight="1">
      <c r="A16" s="391"/>
      <c r="B16" s="392" t="s">
        <v>25</v>
      </c>
      <c r="C16" s="485"/>
      <c r="D16" s="486"/>
      <c r="E16" s="487"/>
      <c r="F16" s="488"/>
      <c r="G16" s="489"/>
      <c r="H16" s="490"/>
      <c r="I16" s="487"/>
      <c r="J16" s="488"/>
      <c r="K16" s="459"/>
      <c r="L16" s="456"/>
      <c r="M16" s="457"/>
      <c r="N16" s="458"/>
      <c r="O16" s="485"/>
      <c r="P16" s="486"/>
      <c r="Q16" s="487"/>
      <c r="R16" s="488"/>
      <c r="S16" s="489"/>
      <c r="T16" s="490"/>
      <c r="U16" s="487"/>
      <c r="V16" s="488"/>
      <c r="W16" s="459"/>
      <c r="X16" s="456"/>
      <c r="Y16" s="457"/>
      <c r="Z16" s="460"/>
      <c r="AA16" s="2"/>
      <c r="AB16" s="2"/>
      <c r="AC16" s="2"/>
      <c r="AD16" s="2"/>
      <c r="AE16" s="2"/>
      <c r="AF16" s="2"/>
    </row>
    <row r="17" spans="1:32" ht="54.95" customHeight="1">
      <c r="A17" s="391"/>
      <c r="B17" s="392" t="s">
        <v>26</v>
      </c>
      <c r="C17" s="485"/>
      <c r="D17" s="486"/>
      <c r="E17" s="487"/>
      <c r="F17" s="488"/>
      <c r="G17" s="489"/>
      <c r="H17" s="490"/>
      <c r="I17" s="487"/>
      <c r="J17" s="488"/>
      <c r="K17" s="459"/>
      <c r="L17" s="456"/>
      <c r="M17" s="457"/>
      <c r="N17" s="458"/>
      <c r="O17" s="485"/>
      <c r="P17" s="486"/>
      <c r="Q17" s="487"/>
      <c r="R17" s="488"/>
      <c r="S17" s="489">
        <v>1</v>
      </c>
      <c r="T17" s="490"/>
      <c r="U17" s="487"/>
      <c r="V17" s="488"/>
      <c r="W17" s="459"/>
      <c r="X17" s="456"/>
      <c r="Y17" s="457"/>
      <c r="Z17" s="460"/>
      <c r="AA17" s="2"/>
      <c r="AB17" s="2"/>
      <c r="AC17" s="2"/>
      <c r="AD17" s="2"/>
      <c r="AE17" s="2"/>
      <c r="AF17" s="2"/>
    </row>
    <row r="18" spans="1:32" ht="54.95" customHeight="1">
      <c r="A18" s="391">
        <v>8</v>
      </c>
      <c r="B18" s="392" t="s">
        <v>23</v>
      </c>
      <c r="C18" s="485"/>
      <c r="D18" s="486"/>
      <c r="E18" s="487"/>
      <c r="F18" s="488"/>
      <c r="G18" s="489"/>
      <c r="H18" s="490"/>
      <c r="I18" s="487"/>
      <c r="J18" s="488"/>
      <c r="K18" s="459"/>
      <c r="L18" s="456"/>
      <c r="M18" s="457"/>
      <c r="N18" s="458"/>
      <c r="O18" s="485"/>
      <c r="P18" s="486"/>
      <c r="Q18" s="487"/>
      <c r="R18" s="488"/>
      <c r="S18" s="489"/>
      <c r="T18" s="490"/>
      <c r="U18" s="487"/>
      <c r="V18" s="488"/>
      <c r="W18" s="459"/>
      <c r="X18" s="456"/>
      <c r="Y18" s="457"/>
      <c r="Z18" s="460"/>
      <c r="AA18" s="2"/>
      <c r="AB18" s="2"/>
      <c r="AC18" s="2"/>
      <c r="AD18" s="2"/>
      <c r="AE18" s="2"/>
      <c r="AF18" s="2"/>
    </row>
    <row r="19" spans="1:32" ht="54.95" customHeight="1">
      <c r="A19" s="391"/>
      <c r="B19" s="392" t="s">
        <v>24</v>
      </c>
      <c r="C19" s="485"/>
      <c r="D19" s="486">
        <v>2</v>
      </c>
      <c r="E19" s="487"/>
      <c r="F19" s="488"/>
      <c r="G19" s="489"/>
      <c r="H19" s="490"/>
      <c r="I19" s="487"/>
      <c r="J19" s="488"/>
      <c r="K19" s="459"/>
      <c r="L19" s="456"/>
      <c r="M19" s="457"/>
      <c r="N19" s="458"/>
      <c r="O19" s="485"/>
      <c r="P19" s="486"/>
      <c r="Q19" s="487"/>
      <c r="R19" s="488"/>
      <c r="S19" s="489"/>
      <c r="T19" s="490"/>
      <c r="U19" s="487">
        <v>2</v>
      </c>
      <c r="V19" s="488"/>
      <c r="W19" s="459"/>
      <c r="X19" s="456"/>
      <c r="Y19" s="457"/>
      <c r="Z19" s="460"/>
      <c r="AA19" s="2"/>
      <c r="AB19" s="2"/>
      <c r="AC19" s="2"/>
      <c r="AD19" s="2"/>
      <c r="AE19" s="2"/>
      <c r="AF19" s="2"/>
    </row>
    <row r="20" spans="1:32" ht="54.95" customHeight="1">
      <c r="A20" s="391"/>
      <c r="B20" s="392" t="s">
        <v>25</v>
      </c>
      <c r="C20" s="485"/>
      <c r="D20" s="486"/>
      <c r="E20" s="487"/>
      <c r="F20" s="488"/>
      <c r="G20" s="489"/>
      <c r="H20" s="490"/>
      <c r="I20" s="487"/>
      <c r="J20" s="488"/>
      <c r="K20" s="459"/>
      <c r="L20" s="456"/>
      <c r="M20" s="457"/>
      <c r="N20" s="458"/>
      <c r="O20" s="485"/>
      <c r="P20" s="486"/>
      <c r="Q20" s="487"/>
      <c r="R20" s="488"/>
      <c r="S20" s="489"/>
      <c r="T20" s="490"/>
      <c r="U20" s="487"/>
      <c r="V20" s="488"/>
      <c r="W20" s="459"/>
      <c r="X20" s="456"/>
      <c r="Y20" s="457"/>
      <c r="Z20" s="460"/>
      <c r="AA20" s="2"/>
      <c r="AB20" s="2"/>
      <c r="AC20" s="2"/>
      <c r="AD20" s="2"/>
      <c r="AE20" s="2"/>
      <c r="AF20" s="2"/>
    </row>
    <row r="21" spans="1:32" ht="54.95" customHeight="1">
      <c r="A21" s="391"/>
      <c r="B21" s="392" t="s">
        <v>26</v>
      </c>
      <c r="C21" s="485"/>
      <c r="D21" s="486"/>
      <c r="E21" s="487"/>
      <c r="F21" s="488"/>
      <c r="G21" s="489"/>
      <c r="H21" s="490"/>
      <c r="I21" s="487"/>
      <c r="J21" s="488"/>
      <c r="K21" s="459"/>
      <c r="L21" s="456"/>
      <c r="M21" s="457"/>
      <c r="N21" s="458"/>
      <c r="O21" s="485"/>
      <c r="P21" s="486"/>
      <c r="Q21" s="487"/>
      <c r="R21" s="488"/>
      <c r="S21" s="489"/>
      <c r="T21" s="490"/>
      <c r="U21" s="487"/>
      <c r="V21" s="488"/>
      <c r="W21" s="459"/>
      <c r="X21" s="456"/>
      <c r="Y21" s="457"/>
      <c r="Z21" s="460"/>
      <c r="AA21" s="2"/>
      <c r="AB21" s="2"/>
      <c r="AC21" s="2"/>
      <c r="AD21" s="2"/>
      <c r="AE21" s="2"/>
      <c r="AF21" s="2"/>
    </row>
    <row r="22" spans="1:32" ht="54.95" customHeight="1">
      <c r="A22" s="391">
        <v>9</v>
      </c>
      <c r="B22" s="392" t="s">
        <v>23</v>
      </c>
      <c r="C22" s="485"/>
      <c r="D22" s="486"/>
      <c r="E22" s="487"/>
      <c r="F22" s="488"/>
      <c r="G22" s="489"/>
      <c r="H22" s="490"/>
      <c r="I22" s="487"/>
      <c r="J22" s="488"/>
      <c r="K22" s="459"/>
      <c r="L22" s="456"/>
      <c r="M22" s="457"/>
      <c r="N22" s="458"/>
      <c r="O22" s="485"/>
      <c r="P22" s="486"/>
      <c r="Q22" s="487"/>
      <c r="R22" s="488"/>
      <c r="S22" s="489"/>
      <c r="T22" s="490"/>
      <c r="U22" s="487"/>
      <c r="V22" s="488"/>
      <c r="W22" s="459"/>
      <c r="X22" s="456"/>
      <c r="Y22" s="457"/>
      <c r="Z22" s="460"/>
      <c r="AA22" s="2"/>
      <c r="AB22" s="2"/>
      <c r="AC22" s="2"/>
      <c r="AD22" s="2"/>
      <c r="AE22" s="2"/>
      <c r="AF22" s="2"/>
    </row>
    <row r="23" spans="1:32" ht="54.95" customHeight="1" thickBot="1">
      <c r="A23" s="394"/>
      <c r="B23" s="395" t="s">
        <v>24</v>
      </c>
      <c r="C23" s="491"/>
      <c r="D23" s="492"/>
      <c r="E23" s="493"/>
      <c r="F23" s="494"/>
      <c r="G23" s="495"/>
      <c r="H23" s="496"/>
      <c r="I23" s="493"/>
      <c r="J23" s="494"/>
      <c r="K23" s="465"/>
      <c r="L23" s="462"/>
      <c r="M23" s="463"/>
      <c r="N23" s="464"/>
      <c r="O23" s="491"/>
      <c r="P23" s="492"/>
      <c r="Q23" s="493"/>
      <c r="R23" s="494"/>
      <c r="S23" s="495"/>
      <c r="T23" s="496"/>
      <c r="U23" s="493"/>
      <c r="V23" s="494"/>
      <c r="W23" s="465"/>
      <c r="X23" s="462"/>
      <c r="Y23" s="463"/>
      <c r="Z23" s="466"/>
      <c r="AA23" s="2"/>
      <c r="AB23" s="2"/>
      <c r="AC23" s="2"/>
      <c r="AD23" s="2"/>
      <c r="AE23" s="2"/>
      <c r="AF23" s="2"/>
    </row>
    <row r="24" spans="1:32" ht="54.95" customHeight="1" thickTop="1" thickBot="1">
      <c r="A24" s="398"/>
      <c r="B24" s="398"/>
      <c r="C24" s="429"/>
      <c r="D24" s="429"/>
      <c r="E24" s="429"/>
      <c r="F24" s="429"/>
      <c r="G24" s="429"/>
      <c r="H24" s="429"/>
      <c r="I24" s="429"/>
      <c r="J24" s="429"/>
      <c r="K24" s="429"/>
      <c r="L24" s="429"/>
      <c r="M24" s="429"/>
      <c r="N24" s="429"/>
      <c r="O24" s="429"/>
      <c r="P24" s="429"/>
      <c r="Q24" s="429"/>
      <c r="R24" s="429"/>
      <c r="S24" s="429"/>
      <c r="T24" s="429"/>
      <c r="U24" s="429"/>
      <c r="V24" s="429"/>
      <c r="W24" s="429"/>
      <c r="X24" s="429"/>
      <c r="Y24" s="429"/>
      <c r="Z24" s="429"/>
      <c r="AA24" s="2"/>
      <c r="AB24" s="2"/>
      <c r="AC24" s="2"/>
      <c r="AD24" s="2"/>
      <c r="AE24" s="2"/>
      <c r="AF24" s="2"/>
    </row>
    <row r="25" spans="1:32" ht="52.5" customHeight="1" thickBot="1">
      <c r="A25" s="374" t="s">
        <v>0</v>
      </c>
      <c r="B25" s="375" t="str">
        <f>B1</f>
        <v>PERS-JUSSY_Giratoire de Casino</v>
      </c>
      <c r="C25" s="376"/>
      <c r="D25" s="376"/>
      <c r="E25" s="376"/>
      <c r="F25" s="377"/>
      <c r="G25" s="377"/>
      <c r="H25" s="376"/>
      <c r="I25" s="376"/>
      <c r="J25" s="377"/>
      <c r="K25" s="377"/>
      <c r="L25" s="378"/>
      <c r="M25" s="331" t="s">
        <v>30</v>
      </c>
      <c r="N25" s="379" t="str">
        <f>N1</f>
        <v>mardi 31 mai 2022</v>
      </c>
      <c r="O25" s="376"/>
      <c r="P25" s="376"/>
      <c r="Q25" s="376"/>
      <c r="R25" s="376"/>
      <c r="S25" s="376"/>
      <c r="T25" s="376"/>
      <c r="U25" s="376"/>
      <c r="V25" s="380"/>
      <c r="W25" s="381"/>
      <c r="X25" s="381"/>
      <c r="Y25" s="381"/>
      <c r="Z25" s="382"/>
    </row>
    <row r="26" spans="1:32" ht="52.5" customHeight="1" thickBot="1">
      <c r="A26" s="318" t="s">
        <v>2</v>
      </c>
      <c r="B26" s="319"/>
      <c r="C26" s="319"/>
      <c r="D26" s="319"/>
      <c r="E26" s="319"/>
      <c r="F26" s="319"/>
      <c r="G26" s="375" t="str">
        <f>G2</f>
        <v>Florence PELTIER</v>
      </c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80"/>
      <c r="W26" s="319"/>
      <c r="X26" s="319"/>
      <c r="Y26" s="319"/>
      <c r="Z26" s="319"/>
    </row>
    <row r="27" spans="1:32" ht="52.5" customHeight="1" thickBot="1">
      <c r="A27" s="318" t="s">
        <v>3</v>
      </c>
      <c r="B27" s="319"/>
      <c r="C27" s="375">
        <f>C3</f>
        <v>0</v>
      </c>
      <c r="D27" s="376"/>
      <c r="E27" s="376"/>
      <c r="F27" s="376"/>
      <c r="G27" s="376"/>
      <c r="H27" s="376"/>
      <c r="I27" s="376"/>
      <c r="J27" s="376"/>
      <c r="K27" s="376"/>
      <c r="L27" s="376"/>
      <c r="M27" s="376"/>
      <c r="N27" s="376"/>
      <c r="O27" s="376"/>
      <c r="P27" s="376"/>
      <c r="Q27" s="376"/>
      <c r="R27" s="376"/>
      <c r="S27" s="376"/>
      <c r="T27" s="376"/>
      <c r="U27" s="376"/>
      <c r="V27" s="380"/>
      <c r="W27" s="319"/>
      <c r="X27" s="319"/>
      <c r="Y27" s="319"/>
      <c r="Z27" s="336"/>
    </row>
    <row r="28" spans="1:32" ht="52.5" customHeight="1" thickBot="1">
      <c r="A28" s="318" t="s">
        <v>27</v>
      </c>
      <c r="B28" s="319"/>
      <c r="C28" s="375">
        <f>C4</f>
        <v>0</v>
      </c>
      <c r="D28" s="376"/>
      <c r="E28" s="376"/>
      <c r="F28" s="376"/>
      <c r="G28" s="376"/>
      <c r="H28" s="376"/>
      <c r="I28" s="376"/>
      <c r="J28" s="376"/>
      <c r="K28" s="376"/>
      <c r="L28" s="376"/>
      <c r="M28" s="376"/>
      <c r="N28" s="376"/>
      <c r="O28" s="376"/>
      <c r="P28" s="376"/>
      <c r="Q28" s="376"/>
      <c r="R28" s="376"/>
      <c r="S28" s="376"/>
      <c r="T28" s="376"/>
      <c r="U28" s="376"/>
      <c r="V28" s="380"/>
      <c r="W28" s="319"/>
      <c r="X28" s="319"/>
      <c r="Y28" s="319"/>
      <c r="Z28" s="336"/>
    </row>
    <row r="29" spans="1:32" ht="25.5" customHeight="1">
      <c r="A29" s="318" t="str">
        <f>A5</f>
        <v xml:space="preserve">Méthodologie : </v>
      </c>
      <c r="B29" s="319"/>
      <c r="C29" s="319" t="str">
        <f>C5</f>
        <v>Pour chaque intervalle de temps, marquer une seule croix par personne comptée</v>
      </c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19"/>
      <c r="Z29" s="336"/>
    </row>
    <row r="30" spans="1:32" ht="25.5" customHeight="1">
      <c r="A30" s="337"/>
      <c r="B30" s="319"/>
      <c r="C30" s="319" t="str">
        <f>C6</f>
        <v>Si c'est enfant, remplacer la croix par E, une trottinette T, un piéton P, etc.</v>
      </c>
      <c r="D30" s="319"/>
      <c r="E30" s="319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336"/>
    </row>
    <row r="31" spans="1:32" ht="25.5" customHeight="1" thickBot="1">
      <c r="A31" s="337"/>
      <c r="B31" s="319"/>
      <c r="C31" s="319"/>
      <c r="D31" s="319"/>
      <c r="E31" s="319"/>
      <c r="F31" s="319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36"/>
    </row>
    <row r="32" spans="1:32" ht="32.25" customHeight="1" thickTop="1">
      <c r="A32" s="384"/>
      <c r="B32" s="385"/>
      <c r="C32" s="826" t="s">
        <v>39</v>
      </c>
      <c r="D32" s="827"/>
      <c r="E32" s="827"/>
      <c r="F32" s="827"/>
      <c r="G32" s="827"/>
      <c r="H32" s="827"/>
      <c r="I32" s="827"/>
      <c r="J32" s="827"/>
      <c r="K32" s="827"/>
      <c r="L32" s="827"/>
      <c r="M32" s="827"/>
      <c r="N32" s="827"/>
      <c r="O32" s="826" t="s">
        <v>88</v>
      </c>
      <c r="P32" s="827"/>
      <c r="Q32" s="827"/>
      <c r="R32" s="827"/>
      <c r="S32" s="827"/>
      <c r="T32" s="827"/>
      <c r="U32" s="827"/>
      <c r="V32" s="827"/>
      <c r="W32" s="827"/>
      <c r="X32" s="827"/>
      <c r="Y32" s="827"/>
      <c r="Z32" s="828"/>
      <c r="AB32" s="9"/>
      <c r="AC32" s="9"/>
      <c r="AD32" s="9"/>
      <c r="AE32" s="9"/>
      <c r="AF32" s="9"/>
    </row>
    <row r="33" spans="1:32" ht="22.7" customHeight="1">
      <c r="A33" s="384"/>
      <c r="B33" s="385"/>
      <c r="C33" s="823" t="s">
        <v>87</v>
      </c>
      <c r="D33" s="824"/>
      <c r="E33" s="824"/>
      <c r="F33" s="824"/>
      <c r="G33" s="824" t="s">
        <v>86</v>
      </c>
      <c r="H33" s="824"/>
      <c r="I33" s="824"/>
      <c r="J33" s="824"/>
      <c r="K33" s="824" t="s">
        <v>77</v>
      </c>
      <c r="L33" s="824"/>
      <c r="M33" s="824"/>
      <c r="N33" s="824"/>
      <c r="O33" s="823" t="s">
        <v>86</v>
      </c>
      <c r="P33" s="824"/>
      <c r="Q33" s="824"/>
      <c r="R33" s="824"/>
      <c r="S33" s="824" t="s">
        <v>77</v>
      </c>
      <c r="T33" s="824"/>
      <c r="U33" s="824"/>
      <c r="V33" s="824"/>
      <c r="W33" s="824" t="s">
        <v>37</v>
      </c>
      <c r="X33" s="824"/>
      <c r="Y33" s="824"/>
      <c r="Z33" s="825"/>
    </row>
    <row r="34" spans="1:32" ht="18.600000000000001" customHeight="1" thickBot="1">
      <c r="A34" s="384"/>
      <c r="B34" s="385"/>
      <c r="C34" s="814" t="s">
        <v>4</v>
      </c>
      <c r="D34" s="815"/>
      <c r="E34" s="816" t="s">
        <v>5</v>
      </c>
      <c r="F34" s="817"/>
      <c r="G34" s="817" t="s">
        <v>4</v>
      </c>
      <c r="H34" s="818"/>
      <c r="I34" s="816" t="s">
        <v>5</v>
      </c>
      <c r="J34" s="817"/>
      <c r="K34" s="817" t="s">
        <v>4</v>
      </c>
      <c r="L34" s="819"/>
      <c r="M34" s="820" t="s">
        <v>5</v>
      </c>
      <c r="N34" s="822"/>
      <c r="O34" s="814" t="s">
        <v>4</v>
      </c>
      <c r="P34" s="815"/>
      <c r="Q34" s="816" t="s">
        <v>5</v>
      </c>
      <c r="R34" s="817"/>
      <c r="S34" s="817" t="s">
        <v>4</v>
      </c>
      <c r="T34" s="818"/>
      <c r="U34" s="816" t="s">
        <v>5</v>
      </c>
      <c r="V34" s="817"/>
      <c r="W34" s="817" t="s">
        <v>4</v>
      </c>
      <c r="X34" s="819"/>
      <c r="Y34" s="820" t="s">
        <v>5</v>
      </c>
      <c r="Z34" s="821"/>
    </row>
    <row r="35" spans="1:32" ht="21" thickTop="1">
      <c r="A35" s="388" t="s">
        <v>6</v>
      </c>
      <c r="B35" s="389" t="s">
        <v>7</v>
      </c>
      <c r="C35" s="479" t="s">
        <v>8</v>
      </c>
      <c r="D35" s="480" t="s">
        <v>9</v>
      </c>
      <c r="E35" s="481" t="s">
        <v>8</v>
      </c>
      <c r="F35" s="482" t="s">
        <v>9</v>
      </c>
      <c r="G35" s="483" t="s">
        <v>8</v>
      </c>
      <c r="H35" s="484" t="s">
        <v>9</v>
      </c>
      <c r="I35" s="481" t="s">
        <v>8</v>
      </c>
      <c r="J35" s="482" t="s">
        <v>9</v>
      </c>
      <c r="K35" s="342" t="s">
        <v>8</v>
      </c>
      <c r="L35" s="339" t="s">
        <v>9</v>
      </c>
      <c r="M35" s="340" t="s">
        <v>8</v>
      </c>
      <c r="N35" s="341" t="s">
        <v>9</v>
      </c>
      <c r="O35" s="479" t="s">
        <v>8</v>
      </c>
      <c r="P35" s="480" t="s">
        <v>9</v>
      </c>
      <c r="Q35" s="481" t="s">
        <v>8</v>
      </c>
      <c r="R35" s="482" t="s">
        <v>9</v>
      </c>
      <c r="S35" s="483" t="s">
        <v>8</v>
      </c>
      <c r="T35" s="484" t="s">
        <v>9</v>
      </c>
      <c r="U35" s="481" t="s">
        <v>8</v>
      </c>
      <c r="V35" s="482" t="s">
        <v>9</v>
      </c>
      <c r="W35" s="342" t="s">
        <v>8</v>
      </c>
      <c r="X35" s="339" t="s">
        <v>9</v>
      </c>
      <c r="Y35" s="340" t="s">
        <v>8</v>
      </c>
      <c r="Z35" s="343" t="s">
        <v>9</v>
      </c>
      <c r="AA35" s="10"/>
    </row>
    <row r="36" spans="1:32" ht="54.95" hidden="1" customHeight="1">
      <c r="A36" s="391">
        <v>6</v>
      </c>
      <c r="B36" s="392" t="s">
        <v>25</v>
      </c>
      <c r="C36" s="485"/>
      <c r="D36" s="486"/>
      <c r="E36" s="487"/>
      <c r="F36" s="488"/>
      <c r="G36" s="489"/>
      <c r="H36" s="490"/>
      <c r="I36" s="487"/>
      <c r="J36" s="488"/>
      <c r="K36" s="459"/>
      <c r="L36" s="456"/>
      <c r="M36" s="457"/>
      <c r="N36" s="458"/>
      <c r="O36" s="485"/>
      <c r="P36" s="486"/>
      <c r="Q36" s="487"/>
      <c r="R36" s="488"/>
      <c r="S36" s="489"/>
      <c r="T36" s="490"/>
      <c r="U36" s="487"/>
      <c r="V36" s="488"/>
      <c r="W36" s="459"/>
      <c r="X36" s="456"/>
      <c r="Y36" s="457"/>
      <c r="Z36" s="460"/>
      <c r="AA36" s="2"/>
      <c r="AB36" s="2"/>
      <c r="AC36" s="2"/>
      <c r="AD36" s="2"/>
      <c r="AE36" s="2"/>
      <c r="AF36" s="2"/>
    </row>
    <row r="37" spans="1:32" ht="54.95" customHeight="1">
      <c r="A37" s="391">
        <v>6</v>
      </c>
      <c r="B37" s="392" t="s">
        <v>26</v>
      </c>
      <c r="C37" s="485"/>
      <c r="D37" s="486"/>
      <c r="E37" s="487"/>
      <c r="F37" s="488"/>
      <c r="G37" s="489"/>
      <c r="H37" s="490"/>
      <c r="I37" s="487"/>
      <c r="J37" s="488"/>
      <c r="K37" s="459"/>
      <c r="L37" s="456"/>
      <c r="M37" s="457"/>
      <c r="N37" s="458"/>
      <c r="O37" s="485"/>
      <c r="P37" s="486"/>
      <c r="Q37" s="487"/>
      <c r="R37" s="488"/>
      <c r="S37" s="489"/>
      <c r="T37" s="490"/>
      <c r="U37" s="487"/>
      <c r="V37" s="488"/>
      <c r="W37" s="459"/>
      <c r="X37" s="456"/>
      <c r="Y37" s="457"/>
      <c r="Z37" s="460"/>
      <c r="AA37" s="2"/>
      <c r="AB37" s="2"/>
      <c r="AC37" s="2"/>
      <c r="AD37" s="2"/>
      <c r="AE37" s="2"/>
      <c r="AF37" s="2"/>
    </row>
    <row r="38" spans="1:32" ht="54.95" customHeight="1">
      <c r="A38" s="391">
        <v>7</v>
      </c>
      <c r="B38" s="392" t="s">
        <v>23</v>
      </c>
      <c r="C38" s="485"/>
      <c r="D38" s="486"/>
      <c r="E38" s="487"/>
      <c r="F38" s="488"/>
      <c r="G38" s="489"/>
      <c r="H38" s="490"/>
      <c r="I38" s="487"/>
      <c r="J38" s="488"/>
      <c r="K38" s="459"/>
      <c r="L38" s="456">
        <v>1</v>
      </c>
      <c r="M38" s="457"/>
      <c r="N38" s="458"/>
      <c r="O38" s="485"/>
      <c r="P38" s="486"/>
      <c r="Q38" s="487"/>
      <c r="R38" s="488"/>
      <c r="S38" s="489"/>
      <c r="T38" s="490"/>
      <c r="U38" s="487"/>
      <c r="V38" s="488"/>
      <c r="W38" s="459"/>
      <c r="X38" s="456"/>
      <c r="Y38" s="457"/>
      <c r="Z38" s="460"/>
      <c r="AA38" s="2"/>
      <c r="AB38" s="2"/>
      <c r="AC38" s="2"/>
      <c r="AD38" s="2"/>
      <c r="AE38" s="2"/>
      <c r="AF38" s="2"/>
    </row>
    <row r="39" spans="1:32" ht="54.95" customHeight="1">
      <c r="A39" s="391"/>
      <c r="B39" s="392" t="s">
        <v>24</v>
      </c>
      <c r="C39" s="485"/>
      <c r="D39" s="486"/>
      <c r="E39" s="487"/>
      <c r="F39" s="488"/>
      <c r="G39" s="489"/>
      <c r="H39" s="490"/>
      <c r="I39" s="487"/>
      <c r="J39" s="488"/>
      <c r="K39" s="459"/>
      <c r="L39" s="456"/>
      <c r="M39" s="457"/>
      <c r="N39" s="458"/>
      <c r="O39" s="485"/>
      <c r="P39" s="486"/>
      <c r="Q39" s="487"/>
      <c r="R39" s="488"/>
      <c r="S39" s="489"/>
      <c r="T39" s="490"/>
      <c r="U39" s="487"/>
      <c r="V39" s="488"/>
      <c r="W39" s="459"/>
      <c r="X39" s="456"/>
      <c r="Y39" s="457"/>
      <c r="Z39" s="460"/>
      <c r="AA39" s="2"/>
      <c r="AB39" s="2"/>
      <c r="AC39" s="2"/>
      <c r="AD39" s="2"/>
      <c r="AE39" s="2"/>
      <c r="AF39" s="2"/>
    </row>
    <row r="40" spans="1:32" ht="54.95" customHeight="1">
      <c r="A40" s="391"/>
      <c r="B40" s="392" t="s">
        <v>25</v>
      </c>
      <c r="C40" s="485"/>
      <c r="D40" s="486"/>
      <c r="E40" s="487"/>
      <c r="F40" s="488"/>
      <c r="G40" s="489"/>
      <c r="H40" s="490"/>
      <c r="I40" s="487"/>
      <c r="J40" s="488"/>
      <c r="K40" s="459"/>
      <c r="L40" s="456"/>
      <c r="M40" s="457"/>
      <c r="N40" s="458"/>
      <c r="O40" s="485"/>
      <c r="P40" s="486"/>
      <c r="Q40" s="487"/>
      <c r="R40" s="488"/>
      <c r="S40" s="489"/>
      <c r="T40" s="490"/>
      <c r="U40" s="487"/>
      <c r="V40" s="488"/>
      <c r="W40" s="459"/>
      <c r="X40" s="456"/>
      <c r="Y40" s="457"/>
      <c r="Z40" s="460"/>
      <c r="AA40" s="2"/>
      <c r="AB40" s="2"/>
      <c r="AC40" s="2"/>
      <c r="AD40" s="2"/>
      <c r="AE40" s="2"/>
      <c r="AF40" s="2"/>
    </row>
    <row r="41" spans="1:32" ht="54.95" customHeight="1">
      <c r="A41" s="391"/>
      <c r="B41" s="392" t="s">
        <v>26</v>
      </c>
      <c r="C41" s="485"/>
      <c r="D41" s="486"/>
      <c r="E41" s="487"/>
      <c r="F41" s="488"/>
      <c r="G41" s="489"/>
      <c r="H41" s="490"/>
      <c r="I41" s="487"/>
      <c r="J41" s="488"/>
      <c r="K41" s="459"/>
      <c r="L41" s="456"/>
      <c r="M41" s="457"/>
      <c r="N41" s="458"/>
      <c r="O41" s="485"/>
      <c r="P41" s="486"/>
      <c r="Q41" s="487"/>
      <c r="R41" s="488"/>
      <c r="S41" s="489"/>
      <c r="T41" s="490"/>
      <c r="U41" s="487"/>
      <c r="V41" s="488"/>
      <c r="W41" s="459"/>
      <c r="X41" s="456"/>
      <c r="Y41" s="457"/>
      <c r="Z41" s="460"/>
      <c r="AA41" s="2"/>
      <c r="AB41" s="2"/>
      <c r="AC41" s="2"/>
      <c r="AD41" s="2"/>
      <c r="AE41" s="2"/>
      <c r="AF41" s="2"/>
    </row>
    <row r="42" spans="1:32" ht="54.95" customHeight="1">
      <c r="A42" s="391">
        <v>8</v>
      </c>
      <c r="B42" s="392" t="s">
        <v>23</v>
      </c>
      <c r="C42" s="485"/>
      <c r="D42" s="486"/>
      <c r="E42" s="487"/>
      <c r="F42" s="488"/>
      <c r="G42" s="489"/>
      <c r="H42" s="490"/>
      <c r="I42" s="487"/>
      <c r="J42" s="488"/>
      <c r="K42" s="459"/>
      <c r="L42" s="456"/>
      <c r="M42" s="457"/>
      <c r="N42" s="458"/>
      <c r="O42" s="485"/>
      <c r="P42" s="486"/>
      <c r="Q42" s="487"/>
      <c r="R42" s="488"/>
      <c r="S42" s="489"/>
      <c r="T42" s="490"/>
      <c r="U42" s="487"/>
      <c r="V42" s="488"/>
      <c r="W42" s="459"/>
      <c r="X42" s="456"/>
      <c r="Y42" s="457"/>
      <c r="Z42" s="460"/>
      <c r="AA42" s="2"/>
      <c r="AB42" s="2"/>
      <c r="AC42" s="2"/>
      <c r="AD42" s="2"/>
      <c r="AE42" s="2"/>
      <c r="AF42" s="2"/>
    </row>
    <row r="43" spans="1:32" ht="54.95" customHeight="1">
      <c r="A43" s="391"/>
      <c r="B43" s="392" t="s">
        <v>24</v>
      </c>
      <c r="C43" s="485"/>
      <c r="D43" s="486"/>
      <c r="E43" s="487"/>
      <c r="F43" s="488"/>
      <c r="G43" s="489"/>
      <c r="H43" s="490"/>
      <c r="I43" s="487"/>
      <c r="J43" s="488"/>
      <c r="K43" s="459"/>
      <c r="L43" s="456"/>
      <c r="M43" s="457"/>
      <c r="N43" s="458"/>
      <c r="O43" s="485"/>
      <c r="P43" s="486"/>
      <c r="Q43" s="487"/>
      <c r="R43" s="488"/>
      <c r="S43" s="489"/>
      <c r="T43" s="490"/>
      <c r="U43" s="487"/>
      <c r="V43" s="488"/>
      <c r="W43" s="459"/>
      <c r="X43" s="456"/>
      <c r="Y43" s="457"/>
      <c r="Z43" s="460"/>
      <c r="AA43" s="2"/>
      <c r="AB43" s="2"/>
      <c r="AC43" s="2"/>
      <c r="AD43" s="2"/>
      <c r="AE43" s="2"/>
      <c r="AF43" s="2"/>
    </row>
    <row r="44" spans="1:32" ht="54.95" hidden="1" customHeight="1">
      <c r="A44" s="391"/>
      <c r="B44" s="392" t="s">
        <v>25</v>
      </c>
      <c r="C44" s="485"/>
      <c r="D44" s="486"/>
      <c r="E44" s="487"/>
      <c r="F44" s="488"/>
      <c r="G44" s="489"/>
      <c r="H44" s="490"/>
      <c r="I44" s="487"/>
      <c r="J44" s="488"/>
      <c r="K44" s="459"/>
      <c r="L44" s="456"/>
      <c r="M44" s="457"/>
      <c r="N44" s="458"/>
      <c r="O44" s="485"/>
      <c r="P44" s="486"/>
      <c r="Q44" s="487"/>
      <c r="R44" s="488"/>
      <c r="S44" s="489"/>
      <c r="T44" s="490"/>
      <c r="U44" s="487"/>
      <c r="V44" s="488"/>
      <c r="W44" s="459"/>
      <c r="X44" s="456"/>
      <c r="Y44" s="457"/>
      <c r="Z44" s="460"/>
      <c r="AA44" s="2"/>
      <c r="AB44" s="2"/>
      <c r="AC44" s="2"/>
      <c r="AD44" s="2"/>
      <c r="AE44" s="2"/>
      <c r="AF44" s="2"/>
    </row>
    <row r="45" spans="1:32" ht="54.95" hidden="1" customHeight="1">
      <c r="A45" s="391"/>
      <c r="B45" s="392" t="s">
        <v>26</v>
      </c>
      <c r="C45" s="485"/>
      <c r="D45" s="486"/>
      <c r="E45" s="487"/>
      <c r="F45" s="488"/>
      <c r="G45" s="489"/>
      <c r="H45" s="490"/>
      <c r="I45" s="487"/>
      <c r="J45" s="488"/>
      <c r="K45" s="459"/>
      <c r="L45" s="456"/>
      <c r="M45" s="457"/>
      <c r="N45" s="458"/>
      <c r="O45" s="485"/>
      <c r="P45" s="486"/>
      <c r="Q45" s="487"/>
      <c r="R45" s="488"/>
      <c r="S45" s="489"/>
      <c r="T45" s="490"/>
      <c r="U45" s="487"/>
      <c r="V45" s="488"/>
      <c r="W45" s="459"/>
      <c r="X45" s="456"/>
      <c r="Y45" s="457"/>
      <c r="Z45" s="460"/>
      <c r="AA45" s="2"/>
      <c r="AB45" s="2"/>
      <c r="AC45" s="2"/>
      <c r="AD45" s="2"/>
      <c r="AE45" s="2"/>
      <c r="AF45" s="2"/>
    </row>
    <row r="46" spans="1:32" ht="54.95" hidden="1" customHeight="1">
      <c r="A46" s="391">
        <v>9</v>
      </c>
      <c r="B46" s="392" t="s">
        <v>23</v>
      </c>
      <c r="C46" s="485"/>
      <c r="D46" s="486"/>
      <c r="E46" s="487"/>
      <c r="F46" s="488"/>
      <c r="G46" s="489"/>
      <c r="H46" s="490"/>
      <c r="I46" s="487"/>
      <c r="J46" s="488"/>
      <c r="K46" s="459"/>
      <c r="L46" s="456"/>
      <c r="M46" s="457"/>
      <c r="N46" s="458"/>
      <c r="O46" s="485"/>
      <c r="P46" s="486"/>
      <c r="Q46" s="487"/>
      <c r="R46" s="488"/>
      <c r="S46" s="489"/>
      <c r="T46" s="490"/>
      <c r="U46" s="487"/>
      <c r="V46" s="488"/>
      <c r="W46" s="459"/>
      <c r="X46" s="456"/>
      <c r="Y46" s="457"/>
      <c r="Z46" s="460"/>
      <c r="AA46" s="2"/>
      <c r="AB46" s="2"/>
      <c r="AC46" s="2"/>
      <c r="AD46" s="2"/>
      <c r="AE46" s="2"/>
      <c r="AF46" s="2"/>
    </row>
    <row r="47" spans="1:32" ht="54.95" hidden="1" customHeight="1" thickBot="1">
      <c r="A47" s="394"/>
      <c r="B47" s="395" t="s">
        <v>24</v>
      </c>
      <c r="C47" s="491"/>
      <c r="D47" s="492"/>
      <c r="E47" s="493"/>
      <c r="F47" s="494"/>
      <c r="G47" s="495"/>
      <c r="H47" s="496"/>
      <c r="I47" s="493"/>
      <c r="J47" s="494"/>
      <c r="K47" s="465"/>
      <c r="L47" s="462"/>
      <c r="M47" s="463"/>
      <c r="N47" s="464"/>
      <c r="O47" s="491"/>
      <c r="P47" s="492"/>
      <c r="Q47" s="493"/>
      <c r="R47" s="494"/>
      <c r="S47" s="495"/>
      <c r="T47" s="496"/>
      <c r="U47" s="493"/>
      <c r="V47" s="494"/>
      <c r="W47" s="465"/>
      <c r="X47" s="462"/>
      <c r="Y47" s="463"/>
      <c r="Z47" s="466"/>
      <c r="AA47" s="2"/>
      <c r="AB47" s="2"/>
      <c r="AC47" s="2"/>
      <c r="AD47" s="2"/>
      <c r="AE47" s="2"/>
      <c r="AF47" s="2"/>
    </row>
    <row r="48" spans="1:32" ht="54.95" customHeight="1" thickBot="1">
      <c r="A48" s="398"/>
      <c r="B48" s="398"/>
      <c r="C48" s="429"/>
      <c r="D48" s="429"/>
      <c r="E48" s="429"/>
      <c r="F48" s="429"/>
      <c r="G48" s="429"/>
      <c r="H48" s="429"/>
      <c r="I48" s="429"/>
      <c r="J48" s="429"/>
      <c r="K48" s="429"/>
      <c r="L48" s="429"/>
      <c r="M48" s="429"/>
      <c r="N48" s="429"/>
      <c r="O48" s="429"/>
      <c r="P48" s="429"/>
      <c r="Q48" s="429"/>
      <c r="R48" s="429"/>
      <c r="S48" s="429"/>
      <c r="T48" s="429"/>
      <c r="U48" s="429"/>
      <c r="V48" s="429"/>
      <c r="W48" s="429"/>
      <c r="X48" s="429"/>
      <c r="Y48" s="429"/>
      <c r="Z48" s="429"/>
      <c r="AA48" s="2"/>
      <c r="AB48" s="2"/>
      <c r="AC48" s="2"/>
      <c r="AD48" s="2"/>
      <c r="AE48" s="2"/>
      <c r="AF48" s="2"/>
    </row>
    <row r="49" spans="1:40" ht="52.5" customHeight="1" thickBot="1">
      <c r="A49" s="121" t="s">
        <v>0</v>
      </c>
      <c r="B49" s="162" t="str">
        <f>B1</f>
        <v>PERS-JUSSY_Giratoire de Casino</v>
      </c>
      <c r="C49" s="72"/>
      <c r="D49" s="72"/>
      <c r="E49" s="72"/>
      <c r="F49" s="73"/>
      <c r="G49" s="73"/>
      <c r="H49" s="72"/>
      <c r="I49" s="72"/>
      <c r="J49" s="73"/>
      <c r="K49" s="73"/>
      <c r="L49" s="163"/>
      <c r="M49" s="109" t="s">
        <v>1</v>
      </c>
      <c r="N49" s="164" t="str">
        <f>N1</f>
        <v>mardi 31 mai 2022</v>
      </c>
      <c r="O49" s="72"/>
      <c r="P49" s="72"/>
      <c r="Q49" s="72"/>
      <c r="R49" s="72"/>
      <c r="S49" s="72"/>
      <c r="T49" s="72"/>
      <c r="U49" s="72"/>
      <c r="V49" s="165"/>
      <c r="W49" s="123"/>
      <c r="X49" s="123"/>
      <c r="Y49" s="123"/>
      <c r="Z49" s="139"/>
      <c r="AA49" s="167" t="s">
        <v>0</v>
      </c>
      <c r="AB49" s="33" t="str">
        <f>B49</f>
        <v>PERS-JUSSY_Giratoire de Casino</v>
      </c>
      <c r="AC49" s="34"/>
      <c r="AD49" s="34"/>
      <c r="AE49" s="161"/>
      <c r="AF49" s="34"/>
      <c r="AG49" s="309"/>
      <c r="AH49" s="166" t="s">
        <v>1</v>
      </c>
      <c r="AI49" s="36" t="str">
        <f>N49</f>
        <v>mardi 31 mai 2022</v>
      </c>
      <c r="AJ49" s="34"/>
      <c r="AK49" s="34"/>
      <c r="AL49" s="309"/>
      <c r="AM49" s="311"/>
    </row>
    <row r="50" spans="1:40" ht="52.5" customHeight="1" thickBot="1">
      <c r="A50" s="111" t="s">
        <v>2</v>
      </c>
      <c r="B50" s="112"/>
      <c r="C50" s="112"/>
      <c r="D50" s="112"/>
      <c r="E50" s="112"/>
      <c r="F50" s="112"/>
      <c r="G50" s="162" t="str">
        <f>G26</f>
        <v>Florence PELTIER</v>
      </c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165"/>
      <c r="W50" s="112"/>
      <c r="X50" s="112"/>
      <c r="Y50" s="112"/>
      <c r="Z50" s="112"/>
      <c r="AA50" s="111" t="s">
        <v>2</v>
      </c>
      <c r="AB50" s="112"/>
      <c r="AC50" s="112"/>
      <c r="AD50" s="112"/>
      <c r="AE50" s="33" t="str">
        <f>G50</f>
        <v>Florence PELTIER</v>
      </c>
      <c r="AF50" s="34"/>
      <c r="AG50" s="34"/>
      <c r="AH50" s="34"/>
      <c r="AI50" s="34"/>
      <c r="AJ50" s="34"/>
      <c r="AK50" s="34"/>
      <c r="AL50" s="309"/>
      <c r="AM50" s="311"/>
    </row>
    <row r="51" spans="1:40" ht="52.5" customHeight="1" thickBot="1">
      <c r="A51" s="111" t="s">
        <v>3</v>
      </c>
      <c r="B51" s="112"/>
      <c r="C51" s="162">
        <f>C3</f>
        <v>0</v>
      </c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165"/>
      <c r="W51" s="112"/>
      <c r="X51" s="112"/>
      <c r="Y51" s="112"/>
      <c r="Z51" s="113"/>
      <c r="AA51" s="111" t="s">
        <v>3</v>
      </c>
      <c r="AB51" s="112"/>
      <c r="AC51" s="33">
        <f>C51</f>
        <v>0</v>
      </c>
      <c r="AD51" s="34"/>
      <c r="AE51" s="34"/>
      <c r="AF51" s="34"/>
      <c r="AG51" s="34"/>
      <c r="AH51" s="34"/>
      <c r="AI51" s="34"/>
      <c r="AJ51" s="34"/>
      <c r="AK51" s="34"/>
      <c r="AL51" s="309"/>
      <c r="AM51" s="311"/>
    </row>
    <row r="52" spans="1:40" ht="52.5" customHeight="1" thickBot="1">
      <c r="A52" s="111" t="s">
        <v>27</v>
      </c>
      <c r="B52" s="112"/>
      <c r="C52" s="162">
        <f>C4</f>
        <v>0</v>
      </c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165"/>
      <c r="W52" s="112"/>
      <c r="X52" s="30"/>
      <c r="Y52" s="30"/>
      <c r="Z52" s="32"/>
      <c r="AA52" s="111" t="s">
        <v>27</v>
      </c>
      <c r="AB52" s="112"/>
      <c r="AC52" s="33">
        <f>C52</f>
        <v>0</v>
      </c>
      <c r="AD52" s="34"/>
      <c r="AE52" s="34"/>
      <c r="AF52" s="161"/>
      <c r="AG52" s="34"/>
      <c r="AH52" s="34"/>
      <c r="AI52" s="34"/>
      <c r="AJ52" s="34"/>
      <c r="AK52" s="34"/>
      <c r="AL52" s="309"/>
      <c r="AM52" s="311"/>
    </row>
    <row r="53" spans="1:40" ht="25.5" customHeight="1">
      <c r="A53" s="31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2"/>
      <c r="AA53" s="114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310"/>
    </row>
    <row r="54" spans="1:40" ht="25.5" customHeight="1">
      <c r="A54" s="31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2"/>
      <c r="AA54" s="114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</row>
    <row r="55" spans="1:40" ht="25.5" customHeight="1" thickBot="1">
      <c r="A55" s="31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2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312"/>
    </row>
    <row r="56" spans="1:40" ht="32.25" customHeight="1" thickTop="1">
      <c r="A56" s="29"/>
      <c r="B56" s="30"/>
      <c r="C56" s="798" t="str">
        <f>C8</f>
        <v>Depuis 'La Roche'</v>
      </c>
      <c r="D56" s="799"/>
      <c r="E56" s="799"/>
      <c r="F56" s="799"/>
      <c r="G56" s="799"/>
      <c r="H56" s="799"/>
      <c r="I56" s="799"/>
      <c r="J56" s="799"/>
      <c r="K56" s="799"/>
      <c r="L56" s="799"/>
      <c r="M56" s="799"/>
      <c r="N56" s="799"/>
      <c r="O56" s="798" t="str">
        <f>O8</f>
        <v>Depuis 'Pers-Jussy'</v>
      </c>
      <c r="P56" s="799"/>
      <c r="Q56" s="799"/>
      <c r="R56" s="799"/>
      <c r="S56" s="799"/>
      <c r="T56" s="799"/>
      <c r="U56" s="799"/>
      <c r="V56" s="799"/>
      <c r="W56" s="799"/>
      <c r="X56" s="799"/>
      <c r="Y56" s="799"/>
      <c r="Z56" s="800"/>
      <c r="AA56" s="111"/>
      <c r="AB56" s="30"/>
      <c r="AC56" s="809" t="s">
        <v>12</v>
      </c>
      <c r="AD56" s="811" t="s">
        <v>14</v>
      </c>
      <c r="AE56" s="811" t="s">
        <v>15</v>
      </c>
      <c r="AF56" s="811" t="s">
        <v>18</v>
      </c>
      <c r="AG56" s="829" t="s">
        <v>121</v>
      </c>
      <c r="AH56" s="829" t="s">
        <v>79</v>
      </c>
      <c r="AI56" s="829" t="s">
        <v>118</v>
      </c>
      <c r="AJ56" s="832" t="s">
        <v>31</v>
      </c>
      <c r="AK56" s="833"/>
      <c r="AL56" s="833"/>
      <c r="AM56" s="834"/>
      <c r="AN56" s="26"/>
    </row>
    <row r="57" spans="1:40" ht="22.7" customHeight="1">
      <c r="A57" s="29"/>
      <c r="B57" s="30"/>
      <c r="C57" s="791" t="str">
        <f>C9</f>
        <v>vers 'Reignier'</v>
      </c>
      <c r="D57" s="792"/>
      <c r="E57" s="792"/>
      <c r="F57" s="792"/>
      <c r="G57" s="791" t="str">
        <f t="shared" ref="G57" si="0">G9</f>
        <v>vers 'Casino'</v>
      </c>
      <c r="H57" s="792"/>
      <c r="I57" s="792"/>
      <c r="J57" s="792"/>
      <c r="K57" s="791" t="str">
        <f t="shared" ref="K57" si="1">K9</f>
        <v>vers 'Pers-Jussy'</v>
      </c>
      <c r="L57" s="792"/>
      <c r="M57" s="792"/>
      <c r="N57" s="792"/>
      <c r="O57" s="791" t="str">
        <f t="shared" ref="O57" si="2">O9</f>
        <v>vers 'La Roche'</v>
      </c>
      <c r="P57" s="792"/>
      <c r="Q57" s="792"/>
      <c r="R57" s="792"/>
      <c r="S57" s="791" t="str">
        <f t="shared" ref="S57" si="3">S9</f>
        <v>vers 'Reignier'</v>
      </c>
      <c r="T57" s="792"/>
      <c r="U57" s="792"/>
      <c r="V57" s="792"/>
      <c r="W57" s="791" t="str">
        <f t="shared" ref="W57" si="4">W9</f>
        <v>vers 'Casino'</v>
      </c>
      <c r="X57" s="792"/>
      <c r="Y57" s="792"/>
      <c r="Z57" s="793"/>
      <c r="AA57" s="111"/>
      <c r="AB57" s="30"/>
      <c r="AC57" s="810"/>
      <c r="AD57" s="812"/>
      <c r="AE57" s="812"/>
      <c r="AF57" s="812"/>
      <c r="AG57" s="830"/>
      <c r="AH57" s="830"/>
      <c r="AI57" s="830"/>
      <c r="AJ57" s="835"/>
      <c r="AK57" s="836"/>
      <c r="AL57" s="836"/>
      <c r="AM57" s="837"/>
      <c r="AN57" s="26"/>
    </row>
    <row r="58" spans="1:40" ht="18.600000000000001" customHeight="1" thickBot="1">
      <c r="A58" s="29"/>
      <c r="B58" s="30"/>
      <c r="C58" s="787" t="s">
        <v>4</v>
      </c>
      <c r="D58" s="788"/>
      <c r="E58" s="785" t="s">
        <v>5</v>
      </c>
      <c r="F58" s="786"/>
      <c r="G58" s="786" t="s">
        <v>4</v>
      </c>
      <c r="H58" s="787"/>
      <c r="I58" s="785" t="s">
        <v>5</v>
      </c>
      <c r="J58" s="786"/>
      <c r="K58" s="786" t="s">
        <v>4</v>
      </c>
      <c r="L58" s="787"/>
      <c r="M58" s="785" t="s">
        <v>5</v>
      </c>
      <c r="N58" s="786"/>
      <c r="O58" s="786" t="s">
        <v>4</v>
      </c>
      <c r="P58" s="787"/>
      <c r="Q58" s="785" t="s">
        <v>5</v>
      </c>
      <c r="R58" s="786"/>
      <c r="S58" s="786" t="s">
        <v>4</v>
      </c>
      <c r="T58" s="787"/>
      <c r="U58" s="785" t="s">
        <v>5</v>
      </c>
      <c r="V58" s="786"/>
      <c r="W58" s="786" t="s">
        <v>4</v>
      </c>
      <c r="X58" s="787"/>
      <c r="Y58" s="788" t="s">
        <v>5</v>
      </c>
      <c r="Z58" s="785"/>
      <c r="AA58" s="124"/>
      <c r="AB58" s="30"/>
      <c r="AC58" s="810"/>
      <c r="AD58" s="812"/>
      <c r="AE58" s="812"/>
      <c r="AF58" s="812"/>
      <c r="AG58" s="830"/>
      <c r="AH58" s="830"/>
      <c r="AI58" s="830"/>
      <c r="AJ58" s="835"/>
      <c r="AK58" s="836"/>
      <c r="AL58" s="836"/>
      <c r="AM58" s="837"/>
      <c r="AN58" s="26"/>
    </row>
    <row r="59" spans="1:40" ht="21" thickTop="1">
      <c r="A59" s="789" t="s">
        <v>13</v>
      </c>
      <c r="B59" s="790"/>
      <c r="C59" s="140" t="s">
        <v>8</v>
      </c>
      <c r="D59" s="141" t="s">
        <v>9</v>
      </c>
      <c r="E59" s="142" t="s">
        <v>8</v>
      </c>
      <c r="F59" s="143" t="s">
        <v>9</v>
      </c>
      <c r="G59" s="140" t="s">
        <v>8</v>
      </c>
      <c r="H59" s="141" t="s">
        <v>9</v>
      </c>
      <c r="I59" s="142" t="s">
        <v>8</v>
      </c>
      <c r="J59" s="143" t="s">
        <v>9</v>
      </c>
      <c r="K59" s="140" t="s">
        <v>8</v>
      </c>
      <c r="L59" s="141" t="s">
        <v>9</v>
      </c>
      <c r="M59" s="142" t="s">
        <v>8</v>
      </c>
      <c r="N59" s="143" t="s">
        <v>9</v>
      </c>
      <c r="O59" s="140" t="s">
        <v>8</v>
      </c>
      <c r="P59" s="141" t="s">
        <v>9</v>
      </c>
      <c r="Q59" s="142" t="s">
        <v>8</v>
      </c>
      <c r="R59" s="143" t="s">
        <v>9</v>
      </c>
      <c r="S59" s="140" t="s">
        <v>8</v>
      </c>
      <c r="T59" s="141" t="s">
        <v>9</v>
      </c>
      <c r="U59" s="142" t="s">
        <v>8</v>
      </c>
      <c r="V59" s="143" t="s">
        <v>9</v>
      </c>
      <c r="W59" s="140" t="s">
        <v>8</v>
      </c>
      <c r="X59" s="141" t="s">
        <v>9</v>
      </c>
      <c r="Y59" s="142" t="s">
        <v>8</v>
      </c>
      <c r="Z59" s="143" t="s">
        <v>9</v>
      </c>
      <c r="AA59" s="805" t="s">
        <v>13</v>
      </c>
      <c r="AB59" s="806"/>
      <c r="AC59" s="810"/>
      <c r="AD59" s="813"/>
      <c r="AE59" s="813"/>
      <c r="AF59" s="813"/>
      <c r="AG59" s="831"/>
      <c r="AH59" s="831"/>
      <c r="AI59" s="831"/>
      <c r="AJ59" s="838"/>
      <c r="AK59" s="839"/>
      <c r="AL59" s="839"/>
      <c r="AM59" s="840"/>
      <c r="AN59" s="26"/>
    </row>
    <row r="60" spans="1:40" ht="54.95" customHeight="1">
      <c r="A60" s="783" t="s">
        <v>28</v>
      </c>
      <c r="B60" s="784"/>
      <c r="C60" s="92">
        <f t="shared" ref="C60:Z60" si="5">SUM(C12:C15)</f>
        <v>0</v>
      </c>
      <c r="D60" s="93">
        <f t="shared" si="5"/>
        <v>5</v>
      </c>
      <c r="E60" s="94">
        <f t="shared" si="5"/>
        <v>0</v>
      </c>
      <c r="F60" s="95">
        <f t="shared" si="5"/>
        <v>0</v>
      </c>
      <c r="G60" s="92">
        <f t="shared" si="5"/>
        <v>0</v>
      </c>
      <c r="H60" s="93">
        <f t="shared" si="5"/>
        <v>0</v>
      </c>
      <c r="I60" s="94">
        <f t="shared" si="5"/>
        <v>0</v>
      </c>
      <c r="J60" s="95">
        <f t="shared" si="5"/>
        <v>0</v>
      </c>
      <c r="K60" s="92">
        <f t="shared" si="5"/>
        <v>0</v>
      </c>
      <c r="L60" s="93">
        <f t="shared" si="5"/>
        <v>0</v>
      </c>
      <c r="M60" s="94">
        <f t="shared" si="5"/>
        <v>0</v>
      </c>
      <c r="N60" s="95">
        <f t="shared" si="5"/>
        <v>0</v>
      </c>
      <c r="O60" s="92">
        <f t="shared" si="5"/>
        <v>0</v>
      </c>
      <c r="P60" s="93">
        <f t="shared" si="5"/>
        <v>0</v>
      </c>
      <c r="Q60" s="94">
        <f t="shared" si="5"/>
        <v>0</v>
      </c>
      <c r="R60" s="95">
        <f t="shared" si="5"/>
        <v>0</v>
      </c>
      <c r="S60" s="92">
        <f t="shared" si="5"/>
        <v>1</v>
      </c>
      <c r="T60" s="93">
        <f t="shared" si="5"/>
        <v>1</v>
      </c>
      <c r="U60" s="94">
        <f t="shared" si="5"/>
        <v>0</v>
      </c>
      <c r="V60" s="95">
        <f t="shared" si="5"/>
        <v>1</v>
      </c>
      <c r="W60" s="92">
        <f t="shared" si="5"/>
        <v>0</v>
      </c>
      <c r="X60" s="93">
        <f t="shared" si="5"/>
        <v>0</v>
      </c>
      <c r="Y60" s="94">
        <f t="shared" si="5"/>
        <v>0</v>
      </c>
      <c r="Z60" s="95">
        <f t="shared" si="5"/>
        <v>0</v>
      </c>
      <c r="AA60" s="807" t="s">
        <v>28</v>
      </c>
      <c r="AB60" s="808"/>
      <c r="AC60" s="134">
        <f t="shared" ref="AC60:AC65" si="6">SUM(C60:Z60)+SUM(C72:Z72)</f>
        <v>9</v>
      </c>
      <c r="AD60" s="144">
        <f>IF(AC60=0,0,AD72/AC60)</f>
        <v>0.1111111111111111</v>
      </c>
      <c r="AE60" s="144">
        <f>IF(AC60=0,0,AE72/AC60)</f>
        <v>0.1111111111111111</v>
      </c>
      <c r="AF60" s="144">
        <f>IF(AE72=0,0,AF72/AE72)</f>
        <v>0</v>
      </c>
      <c r="AG60" s="144">
        <f t="shared" ref="AG60:AG66" si="7">IF(AC60=0,0,AG72/AC60)</f>
        <v>0.88888888888888884</v>
      </c>
      <c r="AH60" s="243">
        <f>IF(AC60=0,0,AH72/AC60)</f>
        <v>0.33333333333333331</v>
      </c>
      <c r="AI60" s="243">
        <f>IF(AC60=0,0,AI72/AC60)</f>
        <v>0.55555555555555558</v>
      </c>
      <c r="AJ60" s="841"/>
      <c r="AK60" s="842"/>
      <c r="AL60" s="842"/>
      <c r="AM60" s="843"/>
      <c r="AN60" s="26"/>
    </row>
    <row r="61" spans="1:40" ht="54.95" customHeight="1">
      <c r="A61" s="774" t="s">
        <v>11</v>
      </c>
      <c r="B61" s="775"/>
      <c r="C61" s="96">
        <f t="shared" ref="C61:Z61" si="8">SUM(C14:C17)</f>
        <v>0</v>
      </c>
      <c r="D61" s="97">
        <f t="shared" si="8"/>
        <v>5</v>
      </c>
      <c r="E61" s="98">
        <f t="shared" si="8"/>
        <v>0</v>
      </c>
      <c r="F61" s="99">
        <f t="shared" si="8"/>
        <v>0</v>
      </c>
      <c r="G61" s="96">
        <f t="shared" si="8"/>
        <v>0</v>
      </c>
      <c r="H61" s="97">
        <f t="shared" si="8"/>
        <v>0</v>
      </c>
      <c r="I61" s="98">
        <f t="shared" si="8"/>
        <v>0</v>
      </c>
      <c r="J61" s="99">
        <f t="shared" si="8"/>
        <v>0</v>
      </c>
      <c r="K61" s="96">
        <f t="shared" si="8"/>
        <v>0</v>
      </c>
      <c r="L61" s="97">
        <f t="shared" si="8"/>
        <v>0</v>
      </c>
      <c r="M61" s="98">
        <f t="shared" si="8"/>
        <v>0</v>
      </c>
      <c r="N61" s="99">
        <f t="shared" si="8"/>
        <v>0</v>
      </c>
      <c r="O61" s="96">
        <f t="shared" si="8"/>
        <v>0</v>
      </c>
      <c r="P61" s="97">
        <f t="shared" si="8"/>
        <v>0</v>
      </c>
      <c r="Q61" s="98">
        <f t="shared" si="8"/>
        <v>0</v>
      </c>
      <c r="R61" s="99">
        <f t="shared" si="8"/>
        <v>0</v>
      </c>
      <c r="S61" s="96">
        <f t="shared" si="8"/>
        <v>2</v>
      </c>
      <c r="T61" s="97">
        <f t="shared" si="8"/>
        <v>1</v>
      </c>
      <c r="U61" s="98">
        <f t="shared" si="8"/>
        <v>0</v>
      </c>
      <c r="V61" s="99">
        <f t="shared" si="8"/>
        <v>1</v>
      </c>
      <c r="W61" s="96">
        <f t="shared" si="8"/>
        <v>0</v>
      </c>
      <c r="X61" s="97">
        <f t="shared" si="8"/>
        <v>0</v>
      </c>
      <c r="Y61" s="98">
        <f t="shared" si="8"/>
        <v>0</v>
      </c>
      <c r="Z61" s="99">
        <f t="shared" si="8"/>
        <v>0</v>
      </c>
      <c r="AA61" s="801" t="s">
        <v>11</v>
      </c>
      <c r="AB61" s="802"/>
      <c r="AC61" s="135">
        <f t="shared" si="6"/>
        <v>10</v>
      </c>
      <c r="AD61" s="146">
        <f t="shared" ref="AD61:AD66" si="9">IF(AC61=0,0,AD73/AC61)</f>
        <v>0.2</v>
      </c>
      <c r="AE61" s="146">
        <f t="shared" ref="AE61:AE66" si="10">IF(AC61=0,0,AE73/AC61)</f>
        <v>0.1</v>
      </c>
      <c r="AF61" s="146">
        <f t="shared" ref="AF61:AF66" si="11">IF(AE73=0,0,AF73/AE73)</f>
        <v>0</v>
      </c>
      <c r="AG61" s="146">
        <f t="shared" si="7"/>
        <v>0.9</v>
      </c>
      <c r="AH61" s="245">
        <f t="shared" ref="AH61:AH66" si="12">IF(AC61=0,0,AH73/AC61)</f>
        <v>0.4</v>
      </c>
      <c r="AI61" s="245">
        <f t="shared" ref="AI61:AI66" si="13">IF(AC61=0,0,AI73/AC61)</f>
        <v>0.5</v>
      </c>
      <c r="AJ61" s="844"/>
      <c r="AK61" s="845"/>
      <c r="AL61" s="845"/>
      <c r="AM61" s="846"/>
      <c r="AN61" s="26"/>
    </row>
    <row r="62" spans="1:40" ht="54.95" customHeight="1">
      <c r="A62" s="774" t="s">
        <v>17</v>
      </c>
      <c r="B62" s="775"/>
      <c r="C62" s="96">
        <f t="shared" ref="C62:Z62" si="14">SUM(C16:C19)</f>
        <v>0</v>
      </c>
      <c r="D62" s="97">
        <f t="shared" si="14"/>
        <v>2</v>
      </c>
      <c r="E62" s="98">
        <f t="shared" si="14"/>
        <v>0</v>
      </c>
      <c r="F62" s="99">
        <f t="shared" si="14"/>
        <v>0</v>
      </c>
      <c r="G62" s="96">
        <f t="shared" si="14"/>
        <v>0</v>
      </c>
      <c r="H62" s="97">
        <f t="shared" si="14"/>
        <v>0</v>
      </c>
      <c r="I62" s="98">
        <f t="shared" si="14"/>
        <v>0</v>
      </c>
      <c r="J62" s="99">
        <f t="shared" si="14"/>
        <v>0</v>
      </c>
      <c r="K62" s="96">
        <f t="shared" si="14"/>
        <v>0</v>
      </c>
      <c r="L62" s="97">
        <f t="shared" si="14"/>
        <v>0</v>
      </c>
      <c r="M62" s="98">
        <f t="shared" si="14"/>
        <v>0</v>
      </c>
      <c r="N62" s="99">
        <f t="shared" si="14"/>
        <v>0</v>
      </c>
      <c r="O62" s="96">
        <f t="shared" si="14"/>
        <v>0</v>
      </c>
      <c r="P62" s="97">
        <f t="shared" si="14"/>
        <v>0</v>
      </c>
      <c r="Q62" s="98">
        <f t="shared" si="14"/>
        <v>0</v>
      </c>
      <c r="R62" s="99">
        <f t="shared" si="14"/>
        <v>0</v>
      </c>
      <c r="S62" s="96">
        <f t="shared" si="14"/>
        <v>1</v>
      </c>
      <c r="T62" s="97">
        <f t="shared" si="14"/>
        <v>0</v>
      </c>
      <c r="U62" s="98">
        <f t="shared" si="14"/>
        <v>2</v>
      </c>
      <c r="V62" s="99">
        <f t="shared" si="14"/>
        <v>0</v>
      </c>
      <c r="W62" s="96">
        <f t="shared" si="14"/>
        <v>0</v>
      </c>
      <c r="X62" s="97">
        <f t="shared" si="14"/>
        <v>0</v>
      </c>
      <c r="Y62" s="98">
        <f t="shared" si="14"/>
        <v>0</v>
      </c>
      <c r="Z62" s="99">
        <f t="shared" si="14"/>
        <v>0</v>
      </c>
      <c r="AA62" s="801" t="s">
        <v>17</v>
      </c>
      <c r="AB62" s="802"/>
      <c r="AC62" s="135">
        <f t="shared" si="6"/>
        <v>5</v>
      </c>
      <c r="AD62" s="146">
        <f t="shared" si="9"/>
        <v>0.6</v>
      </c>
      <c r="AE62" s="146">
        <f t="shared" si="10"/>
        <v>0.4</v>
      </c>
      <c r="AF62" s="146">
        <f t="shared" si="11"/>
        <v>1</v>
      </c>
      <c r="AG62" s="146">
        <f t="shared" si="7"/>
        <v>1</v>
      </c>
      <c r="AH62" s="245">
        <f t="shared" si="12"/>
        <v>0.6</v>
      </c>
      <c r="AI62" s="245">
        <f t="shared" si="13"/>
        <v>0.4</v>
      </c>
      <c r="AJ62" s="844"/>
      <c r="AK62" s="845"/>
      <c r="AL62" s="845"/>
      <c r="AM62" s="846"/>
      <c r="AN62" s="26"/>
    </row>
    <row r="63" spans="1:40" ht="54.95" customHeight="1">
      <c r="A63" s="774" t="s">
        <v>10</v>
      </c>
      <c r="B63" s="775"/>
      <c r="C63" s="96">
        <f t="shared" ref="C63:Z63" si="15">SUM(C18:C21)</f>
        <v>0</v>
      </c>
      <c r="D63" s="97">
        <f t="shared" si="15"/>
        <v>2</v>
      </c>
      <c r="E63" s="98">
        <f t="shared" si="15"/>
        <v>0</v>
      </c>
      <c r="F63" s="99">
        <f t="shared" si="15"/>
        <v>0</v>
      </c>
      <c r="G63" s="96">
        <f t="shared" si="15"/>
        <v>0</v>
      </c>
      <c r="H63" s="97">
        <f t="shared" si="15"/>
        <v>0</v>
      </c>
      <c r="I63" s="98">
        <f t="shared" si="15"/>
        <v>0</v>
      </c>
      <c r="J63" s="99">
        <f t="shared" si="15"/>
        <v>0</v>
      </c>
      <c r="K63" s="96">
        <f t="shared" si="15"/>
        <v>0</v>
      </c>
      <c r="L63" s="97">
        <f t="shared" si="15"/>
        <v>0</v>
      </c>
      <c r="M63" s="98">
        <f t="shared" si="15"/>
        <v>0</v>
      </c>
      <c r="N63" s="99">
        <f t="shared" si="15"/>
        <v>0</v>
      </c>
      <c r="O63" s="96">
        <f t="shared" si="15"/>
        <v>0</v>
      </c>
      <c r="P63" s="97">
        <f t="shared" si="15"/>
        <v>0</v>
      </c>
      <c r="Q63" s="98">
        <f t="shared" si="15"/>
        <v>0</v>
      </c>
      <c r="R63" s="99">
        <f t="shared" si="15"/>
        <v>0</v>
      </c>
      <c r="S63" s="96">
        <f t="shared" si="15"/>
        <v>0</v>
      </c>
      <c r="T63" s="97">
        <f t="shared" si="15"/>
        <v>0</v>
      </c>
      <c r="U63" s="98">
        <f t="shared" si="15"/>
        <v>2</v>
      </c>
      <c r="V63" s="99">
        <f t="shared" si="15"/>
        <v>0</v>
      </c>
      <c r="W63" s="96">
        <f t="shared" si="15"/>
        <v>0</v>
      </c>
      <c r="X63" s="97">
        <f t="shared" si="15"/>
        <v>0</v>
      </c>
      <c r="Y63" s="98">
        <f t="shared" si="15"/>
        <v>0</v>
      </c>
      <c r="Z63" s="99">
        <f t="shared" si="15"/>
        <v>0</v>
      </c>
      <c r="AA63" s="801" t="s">
        <v>10</v>
      </c>
      <c r="AB63" s="802"/>
      <c r="AC63" s="135">
        <f t="shared" si="6"/>
        <v>4</v>
      </c>
      <c r="AD63" s="146">
        <f t="shared" si="9"/>
        <v>0.5</v>
      </c>
      <c r="AE63" s="146">
        <f t="shared" si="10"/>
        <v>0.5</v>
      </c>
      <c r="AF63" s="146">
        <f t="shared" si="11"/>
        <v>1</v>
      </c>
      <c r="AG63" s="146">
        <f t="shared" si="7"/>
        <v>1</v>
      </c>
      <c r="AH63" s="245">
        <f t="shared" si="12"/>
        <v>0.5</v>
      </c>
      <c r="AI63" s="245">
        <f t="shared" si="13"/>
        <v>0.5</v>
      </c>
      <c r="AJ63" s="844"/>
      <c r="AK63" s="845"/>
      <c r="AL63" s="845"/>
      <c r="AM63" s="846"/>
      <c r="AN63" s="26"/>
    </row>
    <row r="64" spans="1:40" ht="54.95" customHeight="1">
      <c r="A64" s="777" t="s">
        <v>29</v>
      </c>
      <c r="B64" s="778"/>
      <c r="C64" s="100">
        <f t="shared" ref="C64:Z64" si="16">SUM(C20:C23)</f>
        <v>0</v>
      </c>
      <c r="D64" s="101">
        <f t="shared" si="16"/>
        <v>0</v>
      </c>
      <c r="E64" s="102">
        <f t="shared" si="16"/>
        <v>0</v>
      </c>
      <c r="F64" s="103">
        <f t="shared" si="16"/>
        <v>0</v>
      </c>
      <c r="G64" s="100">
        <f t="shared" si="16"/>
        <v>0</v>
      </c>
      <c r="H64" s="101">
        <f t="shared" si="16"/>
        <v>0</v>
      </c>
      <c r="I64" s="102">
        <f t="shared" si="16"/>
        <v>0</v>
      </c>
      <c r="J64" s="103">
        <f t="shared" si="16"/>
        <v>0</v>
      </c>
      <c r="K64" s="100">
        <f t="shared" si="16"/>
        <v>0</v>
      </c>
      <c r="L64" s="101">
        <f t="shared" si="16"/>
        <v>0</v>
      </c>
      <c r="M64" s="102">
        <f t="shared" si="16"/>
        <v>0</v>
      </c>
      <c r="N64" s="103">
        <f t="shared" si="16"/>
        <v>0</v>
      </c>
      <c r="O64" s="100">
        <f t="shared" si="16"/>
        <v>0</v>
      </c>
      <c r="P64" s="101">
        <f t="shared" si="16"/>
        <v>0</v>
      </c>
      <c r="Q64" s="102">
        <f t="shared" si="16"/>
        <v>0</v>
      </c>
      <c r="R64" s="103">
        <f t="shared" si="16"/>
        <v>0</v>
      </c>
      <c r="S64" s="100">
        <f t="shared" si="16"/>
        <v>0</v>
      </c>
      <c r="T64" s="101">
        <f t="shared" si="16"/>
        <v>0</v>
      </c>
      <c r="U64" s="102">
        <f t="shared" si="16"/>
        <v>0</v>
      </c>
      <c r="V64" s="103">
        <f t="shared" si="16"/>
        <v>0</v>
      </c>
      <c r="W64" s="100">
        <f t="shared" si="16"/>
        <v>0</v>
      </c>
      <c r="X64" s="101">
        <f t="shared" si="16"/>
        <v>0</v>
      </c>
      <c r="Y64" s="102">
        <f t="shared" si="16"/>
        <v>0</v>
      </c>
      <c r="Z64" s="103">
        <f t="shared" si="16"/>
        <v>0</v>
      </c>
      <c r="AA64" s="803" t="s">
        <v>29</v>
      </c>
      <c r="AB64" s="804"/>
      <c r="AC64" s="136">
        <f t="shared" si="6"/>
        <v>0</v>
      </c>
      <c r="AD64" s="148">
        <f t="shared" si="9"/>
        <v>0</v>
      </c>
      <c r="AE64" s="148">
        <f t="shared" si="10"/>
        <v>0</v>
      </c>
      <c r="AF64" s="148">
        <f t="shared" si="11"/>
        <v>0</v>
      </c>
      <c r="AG64" s="148">
        <f t="shared" si="7"/>
        <v>0</v>
      </c>
      <c r="AH64" s="247">
        <f t="shared" si="12"/>
        <v>0</v>
      </c>
      <c r="AI64" s="247">
        <f t="shared" si="13"/>
        <v>0</v>
      </c>
      <c r="AJ64" s="847"/>
      <c r="AK64" s="848"/>
      <c r="AL64" s="848"/>
      <c r="AM64" s="849"/>
      <c r="AN64" s="26"/>
    </row>
    <row r="65" spans="1:43" ht="54.95" customHeight="1">
      <c r="A65" s="779" t="s">
        <v>12</v>
      </c>
      <c r="B65" s="780"/>
      <c r="C65" s="104">
        <f>SUM(C12:C23)</f>
        <v>0</v>
      </c>
      <c r="D65" s="105">
        <f t="shared" ref="D65:Z65" si="17">SUM(D12:D23)</f>
        <v>7</v>
      </c>
      <c r="E65" s="106">
        <f t="shared" si="17"/>
        <v>0</v>
      </c>
      <c r="F65" s="107">
        <f t="shared" si="17"/>
        <v>0</v>
      </c>
      <c r="G65" s="104">
        <f t="shared" si="17"/>
        <v>0</v>
      </c>
      <c r="H65" s="105">
        <f t="shared" si="17"/>
        <v>0</v>
      </c>
      <c r="I65" s="106">
        <f t="shared" si="17"/>
        <v>0</v>
      </c>
      <c r="J65" s="107">
        <f t="shared" si="17"/>
        <v>0</v>
      </c>
      <c r="K65" s="104">
        <f t="shared" si="17"/>
        <v>0</v>
      </c>
      <c r="L65" s="105">
        <f t="shared" si="17"/>
        <v>0</v>
      </c>
      <c r="M65" s="106">
        <f t="shared" si="17"/>
        <v>0</v>
      </c>
      <c r="N65" s="107">
        <f t="shared" si="17"/>
        <v>0</v>
      </c>
      <c r="O65" s="104">
        <f t="shared" si="17"/>
        <v>0</v>
      </c>
      <c r="P65" s="105">
        <f t="shared" si="17"/>
        <v>0</v>
      </c>
      <c r="Q65" s="106">
        <f t="shared" si="17"/>
        <v>0</v>
      </c>
      <c r="R65" s="107">
        <f t="shared" si="17"/>
        <v>0</v>
      </c>
      <c r="S65" s="104">
        <f t="shared" si="17"/>
        <v>2</v>
      </c>
      <c r="T65" s="105">
        <f t="shared" si="17"/>
        <v>1</v>
      </c>
      <c r="U65" s="106">
        <f t="shared" si="17"/>
        <v>2</v>
      </c>
      <c r="V65" s="107">
        <f t="shared" si="17"/>
        <v>1</v>
      </c>
      <c r="W65" s="104">
        <f t="shared" si="17"/>
        <v>0</v>
      </c>
      <c r="X65" s="105">
        <f t="shared" si="17"/>
        <v>0</v>
      </c>
      <c r="Y65" s="106">
        <f t="shared" si="17"/>
        <v>0</v>
      </c>
      <c r="Z65" s="107">
        <f t="shared" si="17"/>
        <v>0</v>
      </c>
      <c r="AA65" s="794" t="s">
        <v>12</v>
      </c>
      <c r="AB65" s="795"/>
      <c r="AC65" s="137">
        <f t="shared" si="6"/>
        <v>14</v>
      </c>
      <c r="AD65" s="267">
        <f t="shared" si="9"/>
        <v>0.2857142857142857</v>
      </c>
      <c r="AE65" s="267">
        <f t="shared" si="10"/>
        <v>0.21428571428571427</v>
      </c>
      <c r="AF65" s="267">
        <f t="shared" si="11"/>
        <v>0.66666666666666663</v>
      </c>
      <c r="AG65" s="267">
        <f t="shared" si="7"/>
        <v>0.9285714285714286</v>
      </c>
      <c r="AH65" s="302">
        <f t="shared" si="12"/>
        <v>0.42857142857142855</v>
      </c>
      <c r="AI65" s="302">
        <f t="shared" si="13"/>
        <v>0.5</v>
      </c>
      <c r="AJ65" s="850"/>
      <c r="AK65" s="851"/>
      <c r="AL65" s="851"/>
      <c r="AM65" s="852"/>
      <c r="AN65" s="26"/>
    </row>
    <row r="66" spans="1:43" ht="54.95" customHeight="1" thickBot="1">
      <c r="A66" s="781" t="str">
        <f>IF($AC$60=MAX($AC$60:$AC$64),A60,IF($AC$61=MAX($AC$60:$AC$64),A61,IF($AC$62=MAX($AC$60:$AC$64),A62,IF($AC$63=MAX($AC$60:$AC$64),A63,A64))))</f>
        <v>de 7:00 à 8:00</v>
      </c>
      <c r="B66" s="782"/>
      <c r="C66" s="115">
        <f>IF($AC$60=MAX($AC$60:$AC$64),C60,IF($AC$61=MAX($AC$60:$AC$64),C61,IF($AC$62=MAX($AC$60:$AC$64),C62,IF($AC$63=MAX($AC$60:$AC$64),(C63),C64))))</f>
        <v>0</v>
      </c>
      <c r="D66" s="116">
        <f t="shared" ref="D66:Z66" si="18">IF($AC$60=MAX($AC$60:$AC$64),D60,IF($AC$61=MAX($AC$60:$AC$64),D61,IF($AC$62=MAX($AC$60:$AC$64),D62,IF($AC$63=MAX($AC$60:$AC$64),(D63),D64))))</f>
        <v>5</v>
      </c>
      <c r="E66" s="117">
        <f t="shared" si="18"/>
        <v>0</v>
      </c>
      <c r="F66" s="118">
        <f t="shared" si="18"/>
        <v>0</v>
      </c>
      <c r="G66" s="115">
        <f t="shared" si="18"/>
        <v>0</v>
      </c>
      <c r="H66" s="116">
        <f t="shared" si="18"/>
        <v>0</v>
      </c>
      <c r="I66" s="117">
        <f t="shared" si="18"/>
        <v>0</v>
      </c>
      <c r="J66" s="118">
        <f t="shared" si="18"/>
        <v>0</v>
      </c>
      <c r="K66" s="115">
        <f t="shared" si="18"/>
        <v>0</v>
      </c>
      <c r="L66" s="116">
        <f t="shared" si="18"/>
        <v>0</v>
      </c>
      <c r="M66" s="117">
        <f t="shared" si="18"/>
        <v>0</v>
      </c>
      <c r="N66" s="118">
        <f t="shared" si="18"/>
        <v>0</v>
      </c>
      <c r="O66" s="115">
        <f t="shared" si="18"/>
        <v>0</v>
      </c>
      <c r="P66" s="116">
        <f t="shared" si="18"/>
        <v>0</v>
      </c>
      <c r="Q66" s="117">
        <f t="shared" si="18"/>
        <v>0</v>
      </c>
      <c r="R66" s="118">
        <f t="shared" si="18"/>
        <v>0</v>
      </c>
      <c r="S66" s="115">
        <f t="shared" si="18"/>
        <v>2</v>
      </c>
      <c r="T66" s="116">
        <f t="shared" si="18"/>
        <v>1</v>
      </c>
      <c r="U66" s="117">
        <f t="shared" si="18"/>
        <v>0</v>
      </c>
      <c r="V66" s="118">
        <f t="shared" si="18"/>
        <v>1</v>
      </c>
      <c r="W66" s="115">
        <f t="shared" si="18"/>
        <v>0</v>
      </c>
      <c r="X66" s="116">
        <f t="shared" si="18"/>
        <v>0</v>
      </c>
      <c r="Y66" s="117">
        <f t="shared" si="18"/>
        <v>0</v>
      </c>
      <c r="Z66" s="118">
        <f t="shared" si="18"/>
        <v>0</v>
      </c>
      <c r="AA66" s="796" t="str">
        <f>IF($AC$60=MAX($AC$60:$AC$64),A60,IF($AC$61=MAX($AC$60:$AC$64),A61,IF($AC$62=MAX($AC$60:$AC$64),A62,IF($AC$63=MAX($AC$60:$AC$64),A63,A64))))</f>
        <v>de 7:00 à 8:00</v>
      </c>
      <c r="AB66" s="797"/>
      <c r="AC66" s="156">
        <f>IF($AC$60=MAX($AC$60:$AC$64),AC60,IF($AC$61=MAX($AC$60:$AC$64),AC61,IF($AC$62=MAX($AC$60:$AC$64),AC62,IF($AC$63=MAX($AC$60:$AC$64),(AC63),AC64))))</f>
        <v>10</v>
      </c>
      <c r="AD66" s="268">
        <f t="shared" si="9"/>
        <v>0.2</v>
      </c>
      <c r="AE66" s="268">
        <f t="shared" si="10"/>
        <v>0.1</v>
      </c>
      <c r="AF66" s="268">
        <f t="shared" si="11"/>
        <v>0</v>
      </c>
      <c r="AG66" s="268">
        <f t="shared" si="7"/>
        <v>0.9</v>
      </c>
      <c r="AH66" s="303">
        <f t="shared" si="12"/>
        <v>0.4</v>
      </c>
      <c r="AI66" s="303">
        <f t="shared" si="13"/>
        <v>0.5</v>
      </c>
      <c r="AJ66" s="853"/>
      <c r="AK66" s="854"/>
      <c r="AL66" s="854"/>
      <c r="AM66" s="855"/>
      <c r="AN66" s="26"/>
    </row>
    <row r="67" spans="1:43" ht="12.75" customHeight="1" thickTop="1" thickBot="1">
      <c r="A67" s="31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113"/>
      <c r="AA67" s="776"/>
      <c r="AB67" s="776"/>
      <c r="AC67" s="127"/>
      <c r="AD67" s="128"/>
      <c r="AE67" s="128"/>
      <c r="AF67" s="128"/>
      <c r="AG67" s="128"/>
      <c r="AH67" s="129"/>
      <c r="AI67" s="129"/>
      <c r="AJ67" s="129"/>
      <c r="AK67" s="301"/>
      <c r="AL67" s="301"/>
      <c r="AM67" s="301"/>
    </row>
    <row r="68" spans="1:43" ht="32.25" customHeight="1" thickTop="1">
      <c r="A68" s="29"/>
      <c r="B68" s="30"/>
      <c r="C68" s="798" t="str">
        <f>C32</f>
        <v>Depuis 'Reignier'</v>
      </c>
      <c r="D68" s="799"/>
      <c r="E68" s="799"/>
      <c r="F68" s="799"/>
      <c r="G68" s="799"/>
      <c r="H68" s="799"/>
      <c r="I68" s="799"/>
      <c r="J68" s="799"/>
      <c r="K68" s="799"/>
      <c r="L68" s="799"/>
      <c r="M68" s="799"/>
      <c r="N68" s="799"/>
      <c r="O68" s="798" t="str">
        <f>O32</f>
        <v>Depuis 'Casino'</v>
      </c>
      <c r="P68" s="799"/>
      <c r="Q68" s="799"/>
      <c r="R68" s="799"/>
      <c r="S68" s="799"/>
      <c r="T68" s="799"/>
      <c r="U68" s="799"/>
      <c r="V68" s="799"/>
      <c r="W68" s="799"/>
      <c r="X68" s="799"/>
      <c r="Y68" s="799"/>
      <c r="Z68" s="800"/>
      <c r="AA68" s="776"/>
      <c r="AB68" s="776"/>
      <c r="AC68" s="127"/>
      <c r="AD68" s="811" t="s">
        <v>115</v>
      </c>
      <c r="AE68" s="811" t="s">
        <v>116</v>
      </c>
      <c r="AF68" s="811" t="s">
        <v>117</v>
      </c>
      <c r="AG68" s="829" t="s">
        <v>120</v>
      </c>
      <c r="AH68" s="829" t="s">
        <v>119</v>
      </c>
      <c r="AI68" s="829" t="s">
        <v>78</v>
      </c>
      <c r="AJ68" s="129"/>
      <c r="AK68" s="301"/>
      <c r="AL68" s="301"/>
      <c r="AM68" s="301"/>
      <c r="AN68" s="26"/>
    </row>
    <row r="69" spans="1:43" ht="22.7" customHeight="1">
      <c r="A69" s="29"/>
      <c r="B69" s="30"/>
      <c r="C69" s="791" t="str">
        <f>C33</f>
        <v>vers 'Casino'</v>
      </c>
      <c r="D69" s="792"/>
      <c r="E69" s="792"/>
      <c r="F69" s="792"/>
      <c r="G69" s="791" t="str">
        <f t="shared" ref="G69" si="19">G33</f>
        <v>vers 'Pers-Jussy'</v>
      </c>
      <c r="H69" s="792"/>
      <c r="I69" s="792"/>
      <c r="J69" s="792"/>
      <c r="K69" s="791" t="str">
        <f t="shared" ref="K69" si="20">K33</f>
        <v>vers 'La Roche'</v>
      </c>
      <c r="L69" s="792"/>
      <c r="M69" s="792"/>
      <c r="N69" s="792"/>
      <c r="O69" s="791" t="str">
        <f t="shared" ref="O69" si="21">O33</f>
        <v>vers 'Pers-Jussy'</v>
      </c>
      <c r="P69" s="792"/>
      <c r="Q69" s="792"/>
      <c r="R69" s="792"/>
      <c r="S69" s="791" t="str">
        <f t="shared" ref="S69" si="22">S33</f>
        <v>vers 'La Roche'</v>
      </c>
      <c r="T69" s="792"/>
      <c r="U69" s="792"/>
      <c r="V69" s="792"/>
      <c r="W69" s="791" t="str">
        <f t="shared" ref="W69" si="23">W33</f>
        <v>vers 'Reignier'</v>
      </c>
      <c r="X69" s="792"/>
      <c r="Y69" s="792"/>
      <c r="Z69" s="793"/>
      <c r="AA69" s="776"/>
      <c r="AB69" s="776"/>
      <c r="AC69" s="127"/>
      <c r="AD69" s="812"/>
      <c r="AE69" s="812"/>
      <c r="AF69" s="812"/>
      <c r="AG69" s="830"/>
      <c r="AH69" s="830"/>
      <c r="AI69" s="830"/>
      <c r="AJ69" s="129"/>
      <c r="AK69" s="301"/>
      <c r="AL69" s="301"/>
      <c r="AM69" s="301"/>
      <c r="AN69" s="26"/>
    </row>
    <row r="70" spans="1:43" ht="18.600000000000001" customHeight="1" thickBot="1">
      <c r="A70" s="29"/>
      <c r="B70" s="30"/>
      <c r="C70" s="787" t="s">
        <v>4</v>
      </c>
      <c r="D70" s="788"/>
      <c r="E70" s="785" t="s">
        <v>5</v>
      </c>
      <c r="F70" s="786"/>
      <c r="G70" s="786" t="s">
        <v>4</v>
      </c>
      <c r="H70" s="787"/>
      <c r="I70" s="785" t="s">
        <v>5</v>
      </c>
      <c r="J70" s="786"/>
      <c r="K70" s="786" t="s">
        <v>4</v>
      </c>
      <c r="L70" s="787"/>
      <c r="M70" s="785" t="s">
        <v>5</v>
      </c>
      <c r="N70" s="786"/>
      <c r="O70" s="786" t="s">
        <v>4</v>
      </c>
      <c r="P70" s="787"/>
      <c r="Q70" s="785" t="s">
        <v>5</v>
      </c>
      <c r="R70" s="786"/>
      <c r="S70" s="786" t="s">
        <v>4</v>
      </c>
      <c r="T70" s="787"/>
      <c r="U70" s="785" t="s">
        <v>5</v>
      </c>
      <c r="V70" s="786"/>
      <c r="W70" s="786" t="s">
        <v>4</v>
      </c>
      <c r="X70" s="787"/>
      <c r="Y70" s="788" t="s">
        <v>5</v>
      </c>
      <c r="Z70" s="785"/>
      <c r="AA70" s="776"/>
      <c r="AB70" s="776"/>
      <c r="AC70" s="127"/>
      <c r="AD70" s="812"/>
      <c r="AE70" s="812"/>
      <c r="AF70" s="812"/>
      <c r="AG70" s="830"/>
      <c r="AH70" s="830"/>
      <c r="AI70" s="830"/>
      <c r="AJ70" s="129"/>
      <c r="AK70" s="301"/>
      <c r="AL70" s="301"/>
      <c r="AM70" s="301"/>
      <c r="AN70" s="26"/>
    </row>
    <row r="71" spans="1:43" ht="21.75" customHeight="1" thickTop="1">
      <c r="A71" s="789" t="s">
        <v>13</v>
      </c>
      <c r="B71" s="790"/>
      <c r="C71" s="140" t="s">
        <v>8</v>
      </c>
      <c r="D71" s="141" t="s">
        <v>9</v>
      </c>
      <c r="E71" s="142" t="s">
        <v>8</v>
      </c>
      <c r="F71" s="143" t="s">
        <v>9</v>
      </c>
      <c r="G71" s="140" t="s">
        <v>8</v>
      </c>
      <c r="H71" s="141" t="s">
        <v>9</v>
      </c>
      <c r="I71" s="142" t="s">
        <v>8</v>
      </c>
      <c r="J71" s="143" t="s">
        <v>9</v>
      </c>
      <c r="K71" s="140" t="s">
        <v>8</v>
      </c>
      <c r="L71" s="141" t="s">
        <v>9</v>
      </c>
      <c r="M71" s="142" t="s">
        <v>8</v>
      </c>
      <c r="N71" s="143" t="s">
        <v>9</v>
      </c>
      <c r="O71" s="140" t="s">
        <v>8</v>
      </c>
      <c r="P71" s="141" t="s">
        <v>9</v>
      </c>
      <c r="Q71" s="142" t="s">
        <v>8</v>
      </c>
      <c r="R71" s="143" t="s">
        <v>9</v>
      </c>
      <c r="S71" s="140" t="s">
        <v>8</v>
      </c>
      <c r="T71" s="141" t="s">
        <v>9</v>
      </c>
      <c r="U71" s="142" t="s">
        <v>8</v>
      </c>
      <c r="V71" s="143" t="s">
        <v>9</v>
      </c>
      <c r="W71" s="140" t="s">
        <v>8</v>
      </c>
      <c r="X71" s="141" t="s">
        <v>9</v>
      </c>
      <c r="Y71" s="142" t="s">
        <v>8</v>
      </c>
      <c r="Z71" s="143" t="s">
        <v>9</v>
      </c>
      <c r="AA71" s="776"/>
      <c r="AB71" s="776"/>
      <c r="AC71" s="127"/>
      <c r="AD71" s="813"/>
      <c r="AE71" s="813"/>
      <c r="AF71" s="813"/>
      <c r="AG71" s="831"/>
      <c r="AH71" s="831"/>
      <c r="AI71" s="831"/>
      <c r="AJ71" s="129"/>
      <c r="AK71" s="301"/>
      <c r="AL71" s="301"/>
      <c r="AM71" s="301"/>
      <c r="AN71" s="26"/>
    </row>
    <row r="72" spans="1:43" ht="54.95" customHeight="1">
      <c r="A72" s="783" t="s">
        <v>28</v>
      </c>
      <c r="B72" s="784"/>
      <c r="C72" s="92">
        <f>SUM(C36:C39)</f>
        <v>0</v>
      </c>
      <c r="D72" s="93">
        <f t="shared" ref="D72:Z72" si="24">SUM(D36:D39)</f>
        <v>0</v>
      </c>
      <c r="E72" s="94">
        <f t="shared" si="24"/>
        <v>0</v>
      </c>
      <c r="F72" s="95">
        <f t="shared" si="24"/>
        <v>0</v>
      </c>
      <c r="G72" s="92">
        <f t="shared" si="24"/>
        <v>0</v>
      </c>
      <c r="H72" s="93">
        <f t="shared" si="24"/>
        <v>0</v>
      </c>
      <c r="I72" s="94">
        <f t="shared" si="24"/>
        <v>0</v>
      </c>
      <c r="J72" s="95">
        <f t="shared" si="24"/>
        <v>0</v>
      </c>
      <c r="K72" s="92">
        <f t="shared" si="24"/>
        <v>0</v>
      </c>
      <c r="L72" s="93">
        <f t="shared" si="24"/>
        <v>1</v>
      </c>
      <c r="M72" s="94">
        <f t="shared" si="24"/>
        <v>0</v>
      </c>
      <c r="N72" s="95">
        <f t="shared" si="24"/>
        <v>0</v>
      </c>
      <c r="O72" s="92">
        <f t="shared" si="24"/>
        <v>0</v>
      </c>
      <c r="P72" s="93">
        <f t="shared" si="24"/>
        <v>0</v>
      </c>
      <c r="Q72" s="94">
        <f t="shared" si="24"/>
        <v>0</v>
      </c>
      <c r="R72" s="95">
        <f t="shared" si="24"/>
        <v>0</v>
      </c>
      <c r="S72" s="92">
        <f t="shared" si="24"/>
        <v>0</v>
      </c>
      <c r="T72" s="93">
        <f t="shared" si="24"/>
        <v>0</v>
      </c>
      <c r="U72" s="94">
        <f t="shared" si="24"/>
        <v>0</v>
      </c>
      <c r="V72" s="95">
        <f t="shared" si="24"/>
        <v>0</v>
      </c>
      <c r="W72" s="92">
        <f t="shared" si="24"/>
        <v>0</v>
      </c>
      <c r="X72" s="93">
        <f t="shared" si="24"/>
        <v>0</v>
      </c>
      <c r="Y72" s="94">
        <f t="shared" si="24"/>
        <v>0</v>
      </c>
      <c r="Z72" s="95">
        <f t="shared" si="24"/>
        <v>0</v>
      </c>
      <c r="AA72" s="776"/>
      <c r="AB72" s="776"/>
      <c r="AC72" s="127"/>
      <c r="AD72" s="253">
        <f>(C60+E60+G60+I60+K60+M60+O60+Q60+S60+U60+W60+Y60+C72+E72+G72+I72+K72+M72+O72+Q72+S72+U72+W72+Y72)</f>
        <v>1</v>
      </c>
      <c r="AE72" s="253">
        <f>(E60+F60+I60+J60+M60+N60+Q60+R60+U60+V60+Y60+Z60+E72+F72+I72+J72+M72+N72+Q72+R72+U72+V72+Y72+Z72)</f>
        <v>1</v>
      </c>
      <c r="AF72" s="253">
        <f>(E60+I60+M60+Q60+U60+Y60+E72+I72+M72+Q72+U72+Y72)</f>
        <v>0</v>
      </c>
      <c r="AG72" s="244">
        <f t="shared" ref="AG72:AG78" si="25">SUM(C60:F60,S60:V60,W72:Z72)</f>
        <v>8</v>
      </c>
      <c r="AH72" s="244">
        <f>SUM(O60:Z60)</f>
        <v>3</v>
      </c>
      <c r="AI72" s="244">
        <f>SUM(C60:N60)</f>
        <v>5</v>
      </c>
      <c r="AJ72" s="129"/>
      <c r="AK72" s="301"/>
      <c r="AL72" s="301"/>
      <c r="AM72" s="301"/>
      <c r="AN72" s="26"/>
    </row>
    <row r="73" spans="1:43" ht="54.95" customHeight="1">
      <c r="A73" s="774" t="s">
        <v>11</v>
      </c>
      <c r="B73" s="775"/>
      <c r="C73" s="96">
        <f>SUM(C38:C41)</f>
        <v>0</v>
      </c>
      <c r="D73" s="97">
        <f t="shared" ref="D73:Z73" si="26">SUM(D38:D41)</f>
        <v>0</v>
      </c>
      <c r="E73" s="98">
        <f t="shared" si="26"/>
        <v>0</v>
      </c>
      <c r="F73" s="99">
        <f t="shared" si="26"/>
        <v>0</v>
      </c>
      <c r="G73" s="96">
        <f t="shared" si="26"/>
        <v>0</v>
      </c>
      <c r="H73" s="97">
        <f t="shared" si="26"/>
        <v>0</v>
      </c>
      <c r="I73" s="98">
        <f t="shared" si="26"/>
        <v>0</v>
      </c>
      <c r="J73" s="99">
        <f t="shared" si="26"/>
        <v>0</v>
      </c>
      <c r="K73" s="96">
        <f t="shared" si="26"/>
        <v>0</v>
      </c>
      <c r="L73" s="97">
        <f t="shared" si="26"/>
        <v>1</v>
      </c>
      <c r="M73" s="98">
        <f t="shared" si="26"/>
        <v>0</v>
      </c>
      <c r="N73" s="99">
        <f t="shared" si="26"/>
        <v>0</v>
      </c>
      <c r="O73" s="96">
        <f t="shared" si="26"/>
        <v>0</v>
      </c>
      <c r="P73" s="97">
        <f t="shared" si="26"/>
        <v>0</v>
      </c>
      <c r="Q73" s="98">
        <f t="shared" si="26"/>
        <v>0</v>
      </c>
      <c r="R73" s="99">
        <f t="shared" si="26"/>
        <v>0</v>
      </c>
      <c r="S73" s="96">
        <f t="shared" si="26"/>
        <v>0</v>
      </c>
      <c r="T73" s="97">
        <f t="shared" si="26"/>
        <v>0</v>
      </c>
      <c r="U73" s="98">
        <f t="shared" si="26"/>
        <v>0</v>
      </c>
      <c r="V73" s="99">
        <f t="shared" si="26"/>
        <v>0</v>
      </c>
      <c r="W73" s="96">
        <f t="shared" si="26"/>
        <v>0</v>
      </c>
      <c r="X73" s="97">
        <f t="shared" si="26"/>
        <v>0</v>
      </c>
      <c r="Y73" s="98">
        <f t="shared" si="26"/>
        <v>0</v>
      </c>
      <c r="Z73" s="99">
        <f t="shared" si="26"/>
        <v>0</v>
      </c>
      <c r="AA73" s="776"/>
      <c r="AB73" s="776"/>
      <c r="AC73" s="127"/>
      <c r="AD73" s="254">
        <f t="shared" ref="AD73:AD78" si="27">(C61+E61+G61+I61+K61+M61+O61+Q61+S61+U61+W61+Y61+C73+E73+G73+I73+K73+M73+O73+Q73+S73+U73+W73+Y73)</f>
        <v>2</v>
      </c>
      <c r="AE73" s="254">
        <f t="shared" ref="AE73:AE78" si="28">(E61+F61+I61+J61+M61+N61+Q61+R61+U61+V61+Y61+Z61+E73+F73+I73+J73+M73+N73+Q73+R73+U73+V73+Y73+Z73)</f>
        <v>1</v>
      </c>
      <c r="AF73" s="254">
        <f t="shared" ref="AF73:AF78" si="29">(E61+I61+M61+Q61+U61+Y61+E73+I73+M73+Q73+U73+Y73)</f>
        <v>0</v>
      </c>
      <c r="AG73" s="246">
        <f t="shared" si="25"/>
        <v>9</v>
      </c>
      <c r="AH73" s="246">
        <f t="shared" ref="AH73:AH78" si="30">SUM(O61:Z61)</f>
        <v>4</v>
      </c>
      <c r="AI73" s="246">
        <f t="shared" ref="AI73:AI78" si="31">SUM(C61:N61)</f>
        <v>5</v>
      </c>
      <c r="AJ73" s="129"/>
      <c r="AK73" s="301"/>
      <c r="AL73" s="301"/>
      <c r="AM73" s="301"/>
      <c r="AN73" s="26"/>
    </row>
    <row r="74" spans="1:43" ht="54.95" customHeight="1">
      <c r="A74" s="774" t="s">
        <v>17</v>
      </c>
      <c r="B74" s="775"/>
      <c r="C74" s="96">
        <f>SUM(C40:C43)</f>
        <v>0</v>
      </c>
      <c r="D74" s="97">
        <f t="shared" ref="D74:Z74" si="32">SUM(D40:D43)</f>
        <v>0</v>
      </c>
      <c r="E74" s="98">
        <f t="shared" si="32"/>
        <v>0</v>
      </c>
      <c r="F74" s="99">
        <f t="shared" si="32"/>
        <v>0</v>
      </c>
      <c r="G74" s="96">
        <f t="shared" si="32"/>
        <v>0</v>
      </c>
      <c r="H74" s="97">
        <f t="shared" si="32"/>
        <v>0</v>
      </c>
      <c r="I74" s="98">
        <f t="shared" si="32"/>
        <v>0</v>
      </c>
      <c r="J74" s="99">
        <f t="shared" si="32"/>
        <v>0</v>
      </c>
      <c r="K74" s="96">
        <f t="shared" si="32"/>
        <v>0</v>
      </c>
      <c r="L74" s="97">
        <f t="shared" si="32"/>
        <v>0</v>
      </c>
      <c r="M74" s="98">
        <f t="shared" si="32"/>
        <v>0</v>
      </c>
      <c r="N74" s="99">
        <f t="shared" si="32"/>
        <v>0</v>
      </c>
      <c r="O74" s="96">
        <f t="shared" si="32"/>
        <v>0</v>
      </c>
      <c r="P74" s="97">
        <f t="shared" si="32"/>
        <v>0</v>
      </c>
      <c r="Q74" s="98">
        <f t="shared" si="32"/>
        <v>0</v>
      </c>
      <c r="R74" s="99">
        <f t="shared" si="32"/>
        <v>0</v>
      </c>
      <c r="S74" s="96">
        <f t="shared" si="32"/>
        <v>0</v>
      </c>
      <c r="T74" s="97">
        <f t="shared" si="32"/>
        <v>0</v>
      </c>
      <c r="U74" s="98">
        <f t="shared" si="32"/>
        <v>0</v>
      </c>
      <c r="V74" s="99">
        <f t="shared" si="32"/>
        <v>0</v>
      </c>
      <c r="W74" s="96">
        <f t="shared" si="32"/>
        <v>0</v>
      </c>
      <c r="X74" s="97">
        <f t="shared" si="32"/>
        <v>0</v>
      </c>
      <c r="Y74" s="98">
        <f t="shared" si="32"/>
        <v>0</v>
      </c>
      <c r="Z74" s="99">
        <f t="shared" si="32"/>
        <v>0</v>
      </c>
      <c r="AA74" s="776"/>
      <c r="AB74" s="776"/>
      <c r="AC74" s="127"/>
      <c r="AD74" s="254">
        <f t="shared" si="27"/>
        <v>3</v>
      </c>
      <c r="AE74" s="254">
        <f t="shared" si="28"/>
        <v>2</v>
      </c>
      <c r="AF74" s="254">
        <f t="shared" si="29"/>
        <v>2</v>
      </c>
      <c r="AG74" s="246">
        <f t="shared" si="25"/>
        <v>5</v>
      </c>
      <c r="AH74" s="246">
        <f t="shared" si="30"/>
        <v>3</v>
      </c>
      <c r="AI74" s="246">
        <f t="shared" si="31"/>
        <v>2</v>
      </c>
      <c r="AJ74" s="129"/>
      <c r="AK74" s="301"/>
      <c r="AL74" s="301"/>
      <c r="AM74" s="301"/>
      <c r="AN74" s="26"/>
    </row>
    <row r="75" spans="1:43" ht="54.95" customHeight="1">
      <c r="A75" s="774" t="s">
        <v>10</v>
      </c>
      <c r="B75" s="775"/>
      <c r="C75" s="96">
        <f>SUM(C42:C45)</f>
        <v>0</v>
      </c>
      <c r="D75" s="97">
        <f t="shared" ref="D75:Z75" si="33">SUM(D42:D45)</f>
        <v>0</v>
      </c>
      <c r="E75" s="98">
        <f t="shared" si="33"/>
        <v>0</v>
      </c>
      <c r="F75" s="99">
        <f t="shared" si="33"/>
        <v>0</v>
      </c>
      <c r="G75" s="96">
        <f t="shared" si="33"/>
        <v>0</v>
      </c>
      <c r="H75" s="97">
        <f t="shared" si="33"/>
        <v>0</v>
      </c>
      <c r="I75" s="98">
        <f t="shared" si="33"/>
        <v>0</v>
      </c>
      <c r="J75" s="99">
        <f t="shared" si="33"/>
        <v>0</v>
      </c>
      <c r="K75" s="96">
        <f t="shared" si="33"/>
        <v>0</v>
      </c>
      <c r="L75" s="97">
        <f t="shared" si="33"/>
        <v>0</v>
      </c>
      <c r="M75" s="98">
        <f t="shared" si="33"/>
        <v>0</v>
      </c>
      <c r="N75" s="99">
        <f t="shared" si="33"/>
        <v>0</v>
      </c>
      <c r="O75" s="96">
        <f t="shared" si="33"/>
        <v>0</v>
      </c>
      <c r="P75" s="97">
        <f t="shared" si="33"/>
        <v>0</v>
      </c>
      <c r="Q75" s="98">
        <f t="shared" si="33"/>
        <v>0</v>
      </c>
      <c r="R75" s="99">
        <f t="shared" si="33"/>
        <v>0</v>
      </c>
      <c r="S75" s="96">
        <f t="shared" si="33"/>
        <v>0</v>
      </c>
      <c r="T75" s="97">
        <f t="shared" si="33"/>
        <v>0</v>
      </c>
      <c r="U75" s="98">
        <f t="shared" si="33"/>
        <v>0</v>
      </c>
      <c r="V75" s="99">
        <f t="shared" si="33"/>
        <v>0</v>
      </c>
      <c r="W75" s="96">
        <f t="shared" si="33"/>
        <v>0</v>
      </c>
      <c r="X75" s="97">
        <f t="shared" si="33"/>
        <v>0</v>
      </c>
      <c r="Y75" s="98">
        <f t="shared" si="33"/>
        <v>0</v>
      </c>
      <c r="Z75" s="99">
        <f t="shared" si="33"/>
        <v>0</v>
      </c>
      <c r="AA75" s="776"/>
      <c r="AB75" s="776"/>
      <c r="AC75" s="127"/>
      <c r="AD75" s="254">
        <f t="shared" si="27"/>
        <v>2</v>
      </c>
      <c r="AE75" s="254">
        <f t="shared" si="28"/>
        <v>2</v>
      </c>
      <c r="AF75" s="254">
        <f t="shared" si="29"/>
        <v>2</v>
      </c>
      <c r="AG75" s="246">
        <f t="shared" si="25"/>
        <v>4</v>
      </c>
      <c r="AH75" s="246">
        <f t="shared" si="30"/>
        <v>2</v>
      </c>
      <c r="AI75" s="246">
        <f t="shared" si="31"/>
        <v>2</v>
      </c>
      <c r="AJ75" s="129"/>
      <c r="AK75" s="301"/>
      <c r="AL75" s="301"/>
      <c r="AM75" s="301"/>
      <c r="AN75" s="26"/>
    </row>
    <row r="76" spans="1:43" ht="54.95" customHeight="1">
      <c r="A76" s="777" t="s">
        <v>29</v>
      </c>
      <c r="B76" s="778"/>
      <c r="C76" s="100">
        <f>SUM(C44:C47)</f>
        <v>0</v>
      </c>
      <c r="D76" s="101">
        <f t="shared" ref="D76:Z76" si="34">SUM(D44:D47)</f>
        <v>0</v>
      </c>
      <c r="E76" s="102">
        <f t="shared" si="34"/>
        <v>0</v>
      </c>
      <c r="F76" s="103">
        <f t="shared" si="34"/>
        <v>0</v>
      </c>
      <c r="G76" s="100">
        <f t="shared" si="34"/>
        <v>0</v>
      </c>
      <c r="H76" s="101">
        <f t="shared" si="34"/>
        <v>0</v>
      </c>
      <c r="I76" s="102">
        <f t="shared" si="34"/>
        <v>0</v>
      </c>
      <c r="J76" s="103">
        <f t="shared" si="34"/>
        <v>0</v>
      </c>
      <c r="K76" s="100">
        <f t="shared" si="34"/>
        <v>0</v>
      </c>
      <c r="L76" s="101">
        <f t="shared" si="34"/>
        <v>0</v>
      </c>
      <c r="M76" s="102">
        <f t="shared" si="34"/>
        <v>0</v>
      </c>
      <c r="N76" s="103">
        <f t="shared" si="34"/>
        <v>0</v>
      </c>
      <c r="O76" s="100">
        <f t="shared" si="34"/>
        <v>0</v>
      </c>
      <c r="P76" s="101">
        <f t="shared" si="34"/>
        <v>0</v>
      </c>
      <c r="Q76" s="102">
        <f t="shared" si="34"/>
        <v>0</v>
      </c>
      <c r="R76" s="103">
        <f t="shared" si="34"/>
        <v>0</v>
      </c>
      <c r="S76" s="100">
        <f t="shared" si="34"/>
        <v>0</v>
      </c>
      <c r="T76" s="101">
        <f t="shared" si="34"/>
        <v>0</v>
      </c>
      <c r="U76" s="102">
        <f t="shared" si="34"/>
        <v>0</v>
      </c>
      <c r="V76" s="103">
        <f t="shared" si="34"/>
        <v>0</v>
      </c>
      <c r="W76" s="100">
        <f t="shared" si="34"/>
        <v>0</v>
      </c>
      <c r="X76" s="101">
        <f t="shared" si="34"/>
        <v>0</v>
      </c>
      <c r="Y76" s="102">
        <f t="shared" si="34"/>
        <v>0</v>
      </c>
      <c r="Z76" s="103">
        <f t="shared" si="34"/>
        <v>0</v>
      </c>
      <c r="AA76" s="776"/>
      <c r="AB76" s="776"/>
      <c r="AC76" s="127"/>
      <c r="AD76" s="255">
        <f t="shared" si="27"/>
        <v>0</v>
      </c>
      <c r="AE76" s="255">
        <f t="shared" si="28"/>
        <v>0</v>
      </c>
      <c r="AF76" s="255">
        <f t="shared" si="29"/>
        <v>0</v>
      </c>
      <c r="AG76" s="248">
        <f t="shared" si="25"/>
        <v>0</v>
      </c>
      <c r="AH76" s="248">
        <f t="shared" si="30"/>
        <v>0</v>
      </c>
      <c r="AI76" s="248">
        <f t="shared" si="31"/>
        <v>0</v>
      </c>
      <c r="AJ76" s="129"/>
      <c r="AK76" s="301"/>
      <c r="AL76" s="301"/>
      <c r="AM76" s="301"/>
      <c r="AN76" s="26"/>
    </row>
    <row r="77" spans="1:43" ht="54.95" customHeight="1">
      <c r="A77" s="779" t="s">
        <v>12</v>
      </c>
      <c r="B77" s="780"/>
      <c r="C77" s="104">
        <f>SUM(C36:C47)</f>
        <v>0</v>
      </c>
      <c r="D77" s="105">
        <f t="shared" ref="D77:Z77" si="35">SUM(D36:D47)</f>
        <v>0</v>
      </c>
      <c r="E77" s="106">
        <f t="shared" si="35"/>
        <v>0</v>
      </c>
      <c r="F77" s="107">
        <f t="shared" si="35"/>
        <v>0</v>
      </c>
      <c r="G77" s="104">
        <f t="shared" si="35"/>
        <v>0</v>
      </c>
      <c r="H77" s="105">
        <f t="shared" si="35"/>
        <v>0</v>
      </c>
      <c r="I77" s="106">
        <f t="shared" si="35"/>
        <v>0</v>
      </c>
      <c r="J77" s="107">
        <f t="shared" si="35"/>
        <v>0</v>
      </c>
      <c r="K77" s="104">
        <f t="shared" si="35"/>
        <v>0</v>
      </c>
      <c r="L77" s="105">
        <f t="shared" si="35"/>
        <v>1</v>
      </c>
      <c r="M77" s="106">
        <f t="shared" si="35"/>
        <v>0</v>
      </c>
      <c r="N77" s="107">
        <f t="shared" si="35"/>
        <v>0</v>
      </c>
      <c r="O77" s="104">
        <f t="shared" si="35"/>
        <v>0</v>
      </c>
      <c r="P77" s="105">
        <f t="shared" si="35"/>
        <v>0</v>
      </c>
      <c r="Q77" s="106">
        <f t="shared" si="35"/>
        <v>0</v>
      </c>
      <c r="R77" s="107">
        <f t="shared" si="35"/>
        <v>0</v>
      </c>
      <c r="S77" s="104">
        <f t="shared" si="35"/>
        <v>0</v>
      </c>
      <c r="T77" s="105">
        <f t="shared" si="35"/>
        <v>0</v>
      </c>
      <c r="U77" s="106">
        <f t="shared" si="35"/>
        <v>0</v>
      </c>
      <c r="V77" s="107">
        <f t="shared" si="35"/>
        <v>0</v>
      </c>
      <c r="W77" s="104">
        <f t="shared" si="35"/>
        <v>0</v>
      </c>
      <c r="X77" s="105">
        <f t="shared" si="35"/>
        <v>0</v>
      </c>
      <c r="Y77" s="106">
        <f t="shared" si="35"/>
        <v>0</v>
      </c>
      <c r="Z77" s="107">
        <f t="shared" si="35"/>
        <v>0</v>
      </c>
      <c r="AA77" s="130"/>
      <c r="AB77" s="130"/>
      <c r="AC77" s="130"/>
      <c r="AD77" s="314">
        <f t="shared" si="27"/>
        <v>4</v>
      </c>
      <c r="AE77" s="314">
        <f t="shared" si="28"/>
        <v>3</v>
      </c>
      <c r="AF77" s="314">
        <f t="shared" si="29"/>
        <v>2</v>
      </c>
      <c r="AG77" s="315">
        <f t="shared" si="25"/>
        <v>13</v>
      </c>
      <c r="AH77" s="315">
        <f t="shared" si="30"/>
        <v>6</v>
      </c>
      <c r="AI77" s="315">
        <f t="shared" si="31"/>
        <v>7</v>
      </c>
      <c r="AJ77" s="130"/>
      <c r="AK77" s="301"/>
      <c r="AL77" s="301"/>
      <c r="AM77" s="301"/>
      <c r="AN77" s="26"/>
    </row>
    <row r="78" spans="1:43" ht="54.95" customHeight="1" thickBot="1">
      <c r="A78" s="781" t="str">
        <f>IF($AC$60=MAX($AC$60:$AC$64),A72,IF($AC$61=MAX($AC$60:$AC$64),A73,IF($AC$62=MAX($AC$60:$AC$64),A74,IF($AC$63=MAX($AC$60:$AC$64),A75,A76))))</f>
        <v>de 7:00 à 8:00</v>
      </c>
      <c r="B78" s="782"/>
      <c r="C78" s="115">
        <f t="shared" ref="C78:Z78" si="36">IF($AC$60=MAX($AC$60:$AC$64),C72,IF($AC$61=MAX($AC$60:$AC$64),C73,IF($AC$62=MAX($AC$60:$AC$64),C74,IF($AC$63=MAX($AC$60:$AC$64),C75,C76))))</f>
        <v>0</v>
      </c>
      <c r="D78" s="116">
        <f t="shared" si="36"/>
        <v>0</v>
      </c>
      <c r="E78" s="117">
        <f t="shared" si="36"/>
        <v>0</v>
      </c>
      <c r="F78" s="118">
        <f t="shared" si="36"/>
        <v>0</v>
      </c>
      <c r="G78" s="115">
        <f t="shared" si="36"/>
        <v>0</v>
      </c>
      <c r="H78" s="116">
        <f t="shared" si="36"/>
        <v>0</v>
      </c>
      <c r="I78" s="117">
        <f t="shared" si="36"/>
        <v>0</v>
      </c>
      <c r="J78" s="118">
        <f t="shared" si="36"/>
        <v>0</v>
      </c>
      <c r="K78" s="115">
        <f t="shared" si="36"/>
        <v>0</v>
      </c>
      <c r="L78" s="116">
        <f t="shared" si="36"/>
        <v>1</v>
      </c>
      <c r="M78" s="117">
        <f t="shared" si="36"/>
        <v>0</v>
      </c>
      <c r="N78" s="118">
        <f t="shared" si="36"/>
        <v>0</v>
      </c>
      <c r="O78" s="115">
        <f t="shared" si="36"/>
        <v>0</v>
      </c>
      <c r="P78" s="116">
        <f t="shared" si="36"/>
        <v>0</v>
      </c>
      <c r="Q78" s="117">
        <f t="shared" si="36"/>
        <v>0</v>
      </c>
      <c r="R78" s="118">
        <f t="shared" si="36"/>
        <v>0</v>
      </c>
      <c r="S78" s="115">
        <f t="shared" si="36"/>
        <v>0</v>
      </c>
      <c r="T78" s="116">
        <f t="shared" si="36"/>
        <v>0</v>
      </c>
      <c r="U78" s="117">
        <f t="shared" si="36"/>
        <v>0</v>
      </c>
      <c r="V78" s="118">
        <f t="shared" si="36"/>
        <v>0</v>
      </c>
      <c r="W78" s="115">
        <f t="shared" si="36"/>
        <v>0</v>
      </c>
      <c r="X78" s="116">
        <f t="shared" si="36"/>
        <v>0</v>
      </c>
      <c r="Y78" s="117">
        <f t="shared" si="36"/>
        <v>0</v>
      </c>
      <c r="Z78" s="118">
        <f t="shared" si="36"/>
        <v>0</v>
      </c>
      <c r="AA78" s="130"/>
      <c r="AB78" s="130"/>
      <c r="AC78" s="130"/>
      <c r="AD78" s="316">
        <f t="shared" si="27"/>
        <v>2</v>
      </c>
      <c r="AE78" s="316">
        <f t="shared" si="28"/>
        <v>1</v>
      </c>
      <c r="AF78" s="316">
        <f t="shared" si="29"/>
        <v>0</v>
      </c>
      <c r="AG78" s="317">
        <f t="shared" si="25"/>
        <v>9</v>
      </c>
      <c r="AH78" s="317">
        <f t="shared" si="30"/>
        <v>4</v>
      </c>
      <c r="AI78" s="317">
        <f t="shared" si="31"/>
        <v>5</v>
      </c>
      <c r="AJ78" s="130"/>
      <c r="AK78" s="301"/>
      <c r="AL78" s="301"/>
      <c r="AM78" s="301"/>
      <c r="AN78" s="26"/>
    </row>
    <row r="79" spans="1:43" ht="9" customHeight="1" thickTop="1">
      <c r="A79" s="13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131"/>
      <c r="AB79" s="71"/>
      <c r="AC79" s="71"/>
      <c r="AD79" s="71"/>
      <c r="AE79" s="71"/>
      <c r="AF79" s="71"/>
      <c r="AG79" s="71"/>
      <c r="AH79" s="71"/>
      <c r="AI79" s="71"/>
      <c r="AJ79" s="71"/>
      <c r="AK79" s="300"/>
      <c r="AL79" s="313"/>
      <c r="AM79" s="300"/>
      <c r="AN79" s="7"/>
      <c r="AO79" s="7"/>
      <c r="AP79" s="7"/>
      <c r="AQ79" s="7"/>
    </row>
  </sheetData>
  <mergeCells count="135">
    <mergeCell ref="AD68:AD71"/>
    <mergeCell ref="AE68:AE71"/>
    <mergeCell ref="AF68:AF71"/>
    <mergeCell ref="AH68:AH71"/>
    <mergeCell ref="AH56:AH59"/>
    <mergeCell ref="AI56:AI59"/>
    <mergeCell ref="AJ56:AM59"/>
    <mergeCell ref="AJ60:AM60"/>
    <mergeCell ref="AJ61:AM61"/>
    <mergeCell ref="AJ62:AM62"/>
    <mergeCell ref="AJ63:AM63"/>
    <mergeCell ref="AJ64:AM64"/>
    <mergeCell ref="AJ65:AM65"/>
    <mergeCell ref="AJ66:AM66"/>
    <mergeCell ref="AI68:AI71"/>
    <mergeCell ref="AG56:AG59"/>
    <mergeCell ref="AG68:AG71"/>
    <mergeCell ref="C8:N8"/>
    <mergeCell ref="O8:Z8"/>
    <mergeCell ref="C9:F9"/>
    <mergeCell ref="G9:J9"/>
    <mergeCell ref="K9:N9"/>
    <mergeCell ref="O9:R9"/>
    <mergeCell ref="S9:V9"/>
    <mergeCell ref="W9:Z9"/>
    <mergeCell ref="C32:N32"/>
    <mergeCell ref="O32:Z32"/>
    <mergeCell ref="C33:F33"/>
    <mergeCell ref="G33:J33"/>
    <mergeCell ref="K33:N33"/>
    <mergeCell ref="O33:R33"/>
    <mergeCell ref="S33:V33"/>
    <mergeCell ref="W33:Z33"/>
    <mergeCell ref="O10:P10"/>
    <mergeCell ref="Q10:R10"/>
    <mergeCell ref="S10:T10"/>
    <mergeCell ref="U10:V10"/>
    <mergeCell ref="W10:X10"/>
    <mergeCell ref="Y10:Z10"/>
    <mergeCell ref="C10:D10"/>
    <mergeCell ref="E10:F10"/>
    <mergeCell ref="G10:H10"/>
    <mergeCell ref="I10:J10"/>
    <mergeCell ref="K10:L10"/>
    <mergeCell ref="M10:N10"/>
    <mergeCell ref="O34:P34"/>
    <mergeCell ref="Q34:R34"/>
    <mergeCell ref="S34:T34"/>
    <mergeCell ref="U34:V34"/>
    <mergeCell ref="W34:X34"/>
    <mergeCell ref="Y34:Z34"/>
    <mergeCell ref="C34:D34"/>
    <mergeCell ref="E34:F34"/>
    <mergeCell ref="G34:H34"/>
    <mergeCell ref="I34:J34"/>
    <mergeCell ref="K34:L34"/>
    <mergeCell ref="M34:N34"/>
    <mergeCell ref="AC56:AC59"/>
    <mergeCell ref="AD56:AD59"/>
    <mergeCell ref="AE56:AE59"/>
    <mergeCell ref="AF56:AF59"/>
    <mergeCell ref="E58:F58"/>
    <mergeCell ref="G58:H58"/>
    <mergeCell ref="I58:J58"/>
    <mergeCell ref="K58:L58"/>
    <mergeCell ref="Y58:Z58"/>
    <mergeCell ref="C57:F57"/>
    <mergeCell ref="G57:J57"/>
    <mergeCell ref="K57:N57"/>
    <mergeCell ref="O57:R57"/>
    <mergeCell ref="S57:V57"/>
    <mergeCell ref="W57:Z57"/>
    <mergeCell ref="C58:D58"/>
    <mergeCell ref="C56:N56"/>
    <mergeCell ref="O56:Z56"/>
    <mergeCell ref="A59:B59"/>
    <mergeCell ref="AA59:AB59"/>
    <mergeCell ref="A60:B60"/>
    <mergeCell ref="AA60:AB60"/>
    <mergeCell ref="A61:B61"/>
    <mergeCell ref="AA61:AB61"/>
    <mergeCell ref="M58:N58"/>
    <mergeCell ref="O58:P58"/>
    <mergeCell ref="Q58:R58"/>
    <mergeCell ref="S58:T58"/>
    <mergeCell ref="U58:V58"/>
    <mergeCell ref="W58:X58"/>
    <mergeCell ref="A65:B65"/>
    <mergeCell ref="AA65:AB65"/>
    <mergeCell ref="A66:B66"/>
    <mergeCell ref="AA66:AB66"/>
    <mergeCell ref="AA67:AB67"/>
    <mergeCell ref="C68:N68"/>
    <mergeCell ref="O68:Z68"/>
    <mergeCell ref="AA68:AB68"/>
    <mergeCell ref="A62:B62"/>
    <mergeCell ref="AA62:AB62"/>
    <mergeCell ref="A63:B63"/>
    <mergeCell ref="AA63:AB63"/>
    <mergeCell ref="A64:B64"/>
    <mergeCell ref="AA64:AB64"/>
    <mergeCell ref="U70:V70"/>
    <mergeCell ref="W70:X70"/>
    <mergeCell ref="Y70:Z70"/>
    <mergeCell ref="AA70:AB70"/>
    <mergeCell ref="A71:B71"/>
    <mergeCell ref="AA71:AB71"/>
    <mergeCell ref="AA69:AB69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C69:F69"/>
    <mergeCell ref="G69:J69"/>
    <mergeCell ref="K69:N69"/>
    <mergeCell ref="O69:R69"/>
    <mergeCell ref="S69:V69"/>
    <mergeCell ref="W69:Z69"/>
    <mergeCell ref="A75:B75"/>
    <mergeCell ref="AA75:AB75"/>
    <mergeCell ref="A76:B76"/>
    <mergeCell ref="AA76:AB76"/>
    <mergeCell ref="A77:B77"/>
    <mergeCell ref="A78:B78"/>
    <mergeCell ref="A72:B72"/>
    <mergeCell ref="AA72:AB72"/>
    <mergeCell ref="A73:B73"/>
    <mergeCell ref="AA73:AB73"/>
    <mergeCell ref="A74:B74"/>
    <mergeCell ref="AA74:AB74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2" manualBreakCount="2">
    <brk id="48" max="16383" man="1"/>
    <brk id="79" max="27" man="1"/>
  </rowBreaks>
  <colBreaks count="1" manualBreakCount="1">
    <brk id="26" min="48" max="7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Q65"/>
  <sheetViews>
    <sheetView view="pageBreakPreview" zoomScale="50" zoomScaleNormal="40" zoomScaleSheetLayoutView="50" workbookViewId="0">
      <selection activeCell="H13" sqref="H13"/>
    </sheetView>
  </sheetViews>
  <sheetFormatPr baseColWidth="10" defaultRowHeight="14.25"/>
  <cols>
    <col min="1" max="1" width="9.125" style="169" customWidth="1"/>
    <col min="2" max="2" width="13.75" style="169" customWidth="1"/>
    <col min="3" max="26" width="10.875" style="169" customWidth="1"/>
    <col min="27" max="27" width="9.125" style="169" customWidth="1"/>
    <col min="28" max="28" width="13.75" style="169" customWidth="1"/>
    <col min="29" max="36" width="21.125" style="169" customWidth="1"/>
    <col min="37" max="37" width="82.625" style="169" customWidth="1"/>
    <col min="38" max="38" width="21.125" style="169" customWidth="1"/>
    <col min="39" max="43" width="10.625" style="169" customWidth="1"/>
    <col min="44" max="16384" width="11" style="169"/>
  </cols>
  <sheetData>
    <row r="1" spans="1:36" ht="52.5" customHeight="1" thickBot="1">
      <c r="A1" s="500" t="s">
        <v>89</v>
      </c>
      <c r="B1" s="168" t="s">
        <v>133</v>
      </c>
      <c r="C1" s="501"/>
      <c r="D1" s="501"/>
      <c r="E1" s="501"/>
      <c r="F1" s="502"/>
      <c r="G1" s="502"/>
      <c r="H1" s="501"/>
      <c r="I1" s="501"/>
      <c r="J1" s="502"/>
      <c r="K1" s="502"/>
      <c r="L1" s="503"/>
      <c r="M1" s="504" t="s">
        <v>30</v>
      </c>
      <c r="N1" s="443" t="s">
        <v>141</v>
      </c>
      <c r="O1" s="501"/>
      <c r="P1" s="501"/>
      <c r="Q1" s="501"/>
      <c r="R1" s="501"/>
      <c r="S1" s="501"/>
      <c r="T1" s="501"/>
      <c r="U1" s="501"/>
      <c r="V1" s="505"/>
      <c r="W1" s="506"/>
      <c r="X1" s="506"/>
      <c r="Y1" s="506"/>
      <c r="Z1" s="507"/>
    </row>
    <row r="2" spans="1:36" ht="52.5" customHeight="1" thickBot="1">
      <c r="A2" s="508" t="s">
        <v>2</v>
      </c>
      <c r="B2" s="509"/>
      <c r="C2" s="509"/>
      <c r="D2" s="509"/>
      <c r="E2" s="509"/>
      <c r="F2" s="509"/>
      <c r="G2" s="168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5"/>
      <c r="W2" s="509"/>
      <c r="X2" s="509"/>
      <c r="Y2" s="509"/>
      <c r="Z2" s="509"/>
    </row>
    <row r="3" spans="1:36" ht="52.5" customHeight="1" thickBot="1">
      <c r="A3" s="508" t="s">
        <v>3</v>
      </c>
      <c r="B3" s="509"/>
      <c r="C3" s="168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5"/>
      <c r="W3" s="509"/>
      <c r="X3" s="509"/>
      <c r="Y3" s="509"/>
      <c r="Z3" s="510"/>
    </row>
    <row r="4" spans="1:36" ht="52.5" customHeight="1" thickBot="1">
      <c r="A4" s="508" t="s">
        <v>27</v>
      </c>
      <c r="B4" s="509"/>
      <c r="C4" s="168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  <c r="P4" s="501"/>
      <c r="Q4" s="501"/>
      <c r="R4" s="501"/>
      <c r="S4" s="501"/>
      <c r="T4" s="501"/>
      <c r="U4" s="501"/>
      <c r="V4" s="505"/>
      <c r="W4" s="509"/>
      <c r="X4" s="509"/>
      <c r="Y4" s="509"/>
      <c r="Z4" s="510"/>
    </row>
    <row r="5" spans="1:36" ht="25.5" customHeight="1">
      <c r="A5" s="508" t="s">
        <v>71</v>
      </c>
      <c r="B5" s="509"/>
      <c r="C5" s="509" t="s">
        <v>72</v>
      </c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10"/>
      <c r="S5" s="509"/>
      <c r="T5" s="509"/>
      <c r="U5" s="509"/>
      <c r="V5" s="509"/>
      <c r="W5" s="509"/>
      <c r="X5" s="509"/>
      <c r="Y5" s="509"/>
      <c r="Z5" s="510"/>
    </row>
    <row r="6" spans="1:36" ht="25.5" customHeight="1">
      <c r="A6" s="511"/>
      <c r="B6" s="509"/>
      <c r="C6" s="509" t="s">
        <v>91</v>
      </c>
      <c r="D6" s="509"/>
      <c r="E6" s="509"/>
      <c r="F6" s="509"/>
      <c r="G6" s="509"/>
      <c r="H6" s="509"/>
      <c r="I6" s="509"/>
      <c r="J6" s="509"/>
      <c r="K6" s="509"/>
      <c r="L6" s="509"/>
      <c r="M6" s="509"/>
      <c r="N6" s="509"/>
      <c r="O6" s="509"/>
      <c r="P6" s="509"/>
      <c r="Q6" s="509"/>
      <c r="R6" s="510"/>
      <c r="S6" s="509"/>
      <c r="T6" s="509"/>
      <c r="U6" s="509"/>
      <c r="V6" s="509"/>
      <c r="W6" s="509"/>
      <c r="X6" s="509"/>
      <c r="Y6" s="509"/>
      <c r="Z6" s="510"/>
    </row>
    <row r="7" spans="1:36" ht="25.5" customHeight="1" thickBot="1">
      <c r="A7" s="511"/>
      <c r="B7" s="509"/>
      <c r="C7" s="509"/>
      <c r="D7" s="509"/>
      <c r="E7" s="509"/>
      <c r="F7" s="509"/>
      <c r="G7" s="509"/>
      <c r="H7" s="509"/>
      <c r="I7" s="509"/>
      <c r="J7" s="509"/>
      <c r="K7" s="509"/>
      <c r="L7" s="509"/>
      <c r="M7" s="509"/>
      <c r="N7" s="509"/>
      <c r="O7" s="509"/>
      <c r="P7" s="509"/>
      <c r="Q7" s="509"/>
      <c r="R7" s="510"/>
      <c r="S7" s="509"/>
      <c r="T7" s="509"/>
      <c r="U7" s="509"/>
      <c r="V7" s="509"/>
      <c r="W7" s="509"/>
      <c r="X7" s="509"/>
      <c r="Y7" s="509"/>
      <c r="Z7" s="510"/>
    </row>
    <row r="8" spans="1:36" ht="32.25" customHeight="1" thickTop="1">
      <c r="A8" s="512"/>
      <c r="B8" s="513"/>
      <c r="C8" s="856" t="s">
        <v>85</v>
      </c>
      <c r="D8" s="857"/>
      <c r="E8" s="857"/>
      <c r="F8" s="857"/>
      <c r="G8" s="857"/>
      <c r="H8" s="857"/>
      <c r="I8" s="857"/>
      <c r="J8" s="857"/>
      <c r="K8" s="857" t="s">
        <v>59</v>
      </c>
      <c r="L8" s="857"/>
      <c r="M8" s="857"/>
      <c r="N8" s="857"/>
      <c r="O8" s="857"/>
      <c r="P8" s="857"/>
      <c r="Q8" s="857"/>
      <c r="R8" s="858"/>
      <c r="S8" s="857" t="s">
        <v>134</v>
      </c>
      <c r="T8" s="857"/>
      <c r="U8" s="857"/>
      <c r="V8" s="857"/>
      <c r="W8" s="857"/>
      <c r="X8" s="857"/>
      <c r="Y8" s="857"/>
      <c r="Z8" s="858"/>
      <c r="AA8" s="170"/>
      <c r="AB8" s="170"/>
      <c r="AD8" s="171"/>
      <c r="AE8" s="171"/>
      <c r="AF8" s="171"/>
      <c r="AG8" s="171"/>
      <c r="AH8" s="171"/>
      <c r="AI8" s="171"/>
      <c r="AJ8" s="171"/>
    </row>
    <row r="9" spans="1:36" ht="22.7" customHeight="1">
      <c r="A9" s="512"/>
      <c r="B9" s="513"/>
      <c r="C9" s="859" t="s">
        <v>37</v>
      </c>
      <c r="D9" s="860"/>
      <c r="E9" s="860"/>
      <c r="F9" s="860"/>
      <c r="G9" s="861" t="s">
        <v>135</v>
      </c>
      <c r="H9" s="861"/>
      <c r="I9" s="861"/>
      <c r="J9" s="861"/>
      <c r="K9" s="860" t="s">
        <v>86</v>
      </c>
      <c r="L9" s="860"/>
      <c r="M9" s="860"/>
      <c r="N9" s="860"/>
      <c r="O9" s="861" t="s">
        <v>135</v>
      </c>
      <c r="P9" s="861"/>
      <c r="Q9" s="861"/>
      <c r="R9" s="862"/>
      <c r="S9" s="860" t="s">
        <v>53</v>
      </c>
      <c r="T9" s="860"/>
      <c r="U9" s="860"/>
      <c r="V9" s="860"/>
      <c r="W9" s="861" t="s">
        <v>86</v>
      </c>
      <c r="X9" s="861"/>
      <c r="Y9" s="861"/>
      <c r="Z9" s="862"/>
      <c r="AA9" s="170"/>
      <c r="AB9" s="170"/>
    </row>
    <row r="10" spans="1:36" ht="18.600000000000001" customHeight="1" thickBot="1">
      <c r="A10" s="512"/>
      <c r="B10" s="513"/>
      <c r="C10" s="865" t="s">
        <v>4</v>
      </c>
      <c r="D10" s="866"/>
      <c r="E10" s="863" t="s">
        <v>5</v>
      </c>
      <c r="F10" s="867"/>
      <c r="G10" s="868" t="s">
        <v>4</v>
      </c>
      <c r="H10" s="866"/>
      <c r="I10" s="863" t="s">
        <v>5</v>
      </c>
      <c r="J10" s="867"/>
      <c r="K10" s="868" t="s">
        <v>4</v>
      </c>
      <c r="L10" s="866"/>
      <c r="M10" s="863" t="s">
        <v>5</v>
      </c>
      <c r="N10" s="867"/>
      <c r="O10" s="868" t="s">
        <v>4</v>
      </c>
      <c r="P10" s="866"/>
      <c r="Q10" s="863" t="s">
        <v>5</v>
      </c>
      <c r="R10" s="864"/>
      <c r="S10" s="868" t="s">
        <v>4</v>
      </c>
      <c r="T10" s="866"/>
      <c r="U10" s="863" t="s">
        <v>5</v>
      </c>
      <c r="V10" s="867"/>
      <c r="W10" s="868" t="s">
        <v>4</v>
      </c>
      <c r="X10" s="866"/>
      <c r="Y10" s="863" t="s">
        <v>5</v>
      </c>
      <c r="Z10" s="864"/>
      <c r="AA10" s="170"/>
      <c r="AB10" s="170"/>
    </row>
    <row r="11" spans="1:36" ht="21" thickTop="1">
      <c r="A11" s="514" t="s">
        <v>6</v>
      </c>
      <c r="B11" s="515" t="s">
        <v>7</v>
      </c>
      <c r="C11" s="516" t="s">
        <v>8</v>
      </c>
      <c r="D11" s="517" t="s">
        <v>9</v>
      </c>
      <c r="E11" s="518" t="s">
        <v>8</v>
      </c>
      <c r="F11" s="519" t="s">
        <v>9</v>
      </c>
      <c r="G11" s="520" t="s">
        <v>8</v>
      </c>
      <c r="H11" s="517" t="s">
        <v>9</v>
      </c>
      <c r="I11" s="518" t="s">
        <v>8</v>
      </c>
      <c r="J11" s="519" t="s">
        <v>9</v>
      </c>
      <c r="K11" s="520" t="s">
        <v>8</v>
      </c>
      <c r="L11" s="517" t="s">
        <v>9</v>
      </c>
      <c r="M11" s="518" t="s">
        <v>8</v>
      </c>
      <c r="N11" s="519" t="s">
        <v>9</v>
      </c>
      <c r="O11" s="520" t="s">
        <v>8</v>
      </c>
      <c r="P11" s="517" t="s">
        <v>9</v>
      </c>
      <c r="Q11" s="518" t="s">
        <v>8</v>
      </c>
      <c r="R11" s="521" t="s">
        <v>9</v>
      </c>
      <c r="S11" s="520" t="s">
        <v>8</v>
      </c>
      <c r="T11" s="517" t="s">
        <v>9</v>
      </c>
      <c r="U11" s="518" t="s">
        <v>8</v>
      </c>
      <c r="V11" s="519" t="s">
        <v>9</v>
      </c>
      <c r="W11" s="520" t="s">
        <v>8</v>
      </c>
      <c r="X11" s="517" t="s">
        <v>9</v>
      </c>
      <c r="Y11" s="518" t="s">
        <v>8</v>
      </c>
      <c r="Z11" s="521" t="s">
        <v>9</v>
      </c>
      <c r="AA11" s="170"/>
      <c r="AB11" s="170"/>
      <c r="AC11" s="172"/>
    </row>
    <row r="12" spans="1:36" ht="54.95" customHeight="1">
      <c r="A12" s="522">
        <v>6</v>
      </c>
      <c r="B12" s="523" t="s">
        <v>25</v>
      </c>
      <c r="C12" s="173"/>
      <c r="D12" s="174"/>
      <c r="E12" s="175"/>
      <c r="F12" s="176"/>
      <c r="G12" s="177"/>
      <c r="H12" s="174"/>
      <c r="I12" s="175"/>
      <c r="J12" s="176"/>
      <c r="K12" s="177"/>
      <c r="L12" s="174"/>
      <c r="M12" s="175"/>
      <c r="N12" s="176"/>
      <c r="O12" s="177"/>
      <c r="P12" s="174"/>
      <c r="Q12" s="175"/>
      <c r="R12" s="178"/>
      <c r="S12" s="177"/>
      <c r="T12" s="174"/>
      <c r="U12" s="175"/>
      <c r="V12" s="176"/>
      <c r="W12" s="177"/>
      <c r="X12" s="174"/>
      <c r="Y12" s="175"/>
      <c r="Z12" s="178"/>
      <c r="AA12" s="170"/>
      <c r="AB12" s="170"/>
      <c r="AC12" s="179"/>
      <c r="AD12" s="179"/>
      <c r="AE12" s="179"/>
      <c r="AF12" s="179"/>
      <c r="AG12" s="179"/>
      <c r="AH12" s="179"/>
      <c r="AI12" s="179"/>
      <c r="AJ12" s="179"/>
    </row>
    <row r="13" spans="1:36" ht="54.95" customHeight="1">
      <c r="A13" s="522"/>
      <c r="B13" s="523" t="s">
        <v>26</v>
      </c>
      <c r="C13" s="173"/>
      <c r="D13" s="174"/>
      <c r="E13" s="175"/>
      <c r="F13" s="176"/>
      <c r="G13" s="177"/>
      <c r="H13" s="174"/>
      <c r="I13" s="175"/>
      <c r="J13" s="176"/>
      <c r="K13" s="177"/>
      <c r="L13" s="174"/>
      <c r="M13" s="175"/>
      <c r="N13" s="176"/>
      <c r="O13" s="177"/>
      <c r="P13" s="174"/>
      <c r="Q13" s="175"/>
      <c r="R13" s="178"/>
      <c r="S13" s="177"/>
      <c r="T13" s="174"/>
      <c r="U13" s="175"/>
      <c r="V13" s="176"/>
      <c r="W13" s="177"/>
      <c r="X13" s="174"/>
      <c r="Y13" s="175"/>
      <c r="Z13" s="178"/>
      <c r="AA13" s="170"/>
      <c r="AB13" s="170"/>
      <c r="AC13" s="179"/>
      <c r="AD13" s="179"/>
      <c r="AE13" s="179"/>
      <c r="AF13" s="179"/>
      <c r="AG13" s="179"/>
      <c r="AH13" s="179"/>
      <c r="AI13" s="179"/>
      <c r="AJ13" s="179"/>
    </row>
    <row r="14" spans="1:36" ht="54.95" customHeight="1">
      <c r="A14" s="522">
        <v>7</v>
      </c>
      <c r="B14" s="523" t="s">
        <v>23</v>
      </c>
      <c r="C14" s="173"/>
      <c r="D14" s="174"/>
      <c r="E14" s="175"/>
      <c r="F14" s="176"/>
      <c r="G14" s="177"/>
      <c r="H14" s="174"/>
      <c r="I14" s="175"/>
      <c r="J14" s="176"/>
      <c r="K14" s="177"/>
      <c r="L14" s="174"/>
      <c r="M14" s="175"/>
      <c r="N14" s="176"/>
      <c r="O14" s="177"/>
      <c r="P14" s="174"/>
      <c r="Q14" s="175"/>
      <c r="R14" s="178"/>
      <c r="S14" s="177"/>
      <c r="T14" s="174"/>
      <c r="U14" s="175"/>
      <c r="V14" s="176"/>
      <c r="W14" s="177"/>
      <c r="X14" s="174"/>
      <c r="Y14" s="175"/>
      <c r="Z14" s="178"/>
      <c r="AA14" s="170"/>
      <c r="AB14" s="170"/>
      <c r="AC14" s="179"/>
      <c r="AD14" s="179"/>
      <c r="AE14" s="179"/>
      <c r="AF14" s="179"/>
      <c r="AG14" s="179"/>
      <c r="AH14" s="179"/>
      <c r="AI14" s="179"/>
      <c r="AJ14" s="179"/>
    </row>
    <row r="15" spans="1:36" ht="54.95" customHeight="1">
      <c r="A15" s="522"/>
      <c r="B15" s="523" t="s">
        <v>24</v>
      </c>
      <c r="C15" s="173"/>
      <c r="D15" s="174"/>
      <c r="E15" s="175"/>
      <c r="F15" s="176"/>
      <c r="G15" s="177"/>
      <c r="H15" s="174"/>
      <c r="I15" s="175"/>
      <c r="J15" s="176"/>
      <c r="K15" s="177"/>
      <c r="L15" s="174"/>
      <c r="M15" s="175"/>
      <c r="N15" s="176"/>
      <c r="O15" s="177"/>
      <c r="P15" s="174"/>
      <c r="Q15" s="175"/>
      <c r="R15" s="178"/>
      <c r="S15" s="177"/>
      <c r="T15" s="174"/>
      <c r="U15" s="175"/>
      <c r="V15" s="176"/>
      <c r="W15" s="177"/>
      <c r="X15" s="174"/>
      <c r="Y15" s="175"/>
      <c r="Z15" s="178"/>
      <c r="AA15" s="170"/>
      <c r="AB15" s="170"/>
      <c r="AC15" s="179"/>
      <c r="AD15" s="179"/>
      <c r="AE15" s="179"/>
      <c r="AF15" s="179"/>
      <c r="AG15" s="179"/>
      <c r="AH15" s="179"/>
      <c r="AI15" s="179"/>
      <c r="AJ15" s="179"/>
    </row>
    <row r="16" spans="1:36" ht="54.95" hidden="1" customHeight="1">
      <c r="A16" s="522"/>
      <c r="B16" s="523" t="s">
        <v>25</v>
      </c>
      <c r="C16" s="173"/>
      <c r="D16" s="174"/>
      <c r="E16" s="175"/>
      <c r="F16" s="176"/>
      <c r="G16" s="177"/>
      <c r="H16" s="174"/>
      <c r="I16" s="175"/>
      <c r="J16" s="176"/>
      <c r="K16" s="177"/>
      <c r="L16" s="174"/>
      <c r="M16" s="175"/>
      <c r="N16" s="176"/>
      <c r="O16" s="177"/>
      <c r="P16" s="174"/>
      <c r="Q16" s="175"/>
      <c r="R16" s="178"/>
      <c r="S16" s="177"/>
      <c r="T16" s="174"/>
      <c r="U16" s="175"/>
      <c r="V16" s="176"/>
      <c r="W16" s="177"/>
      <c r="X16" s="174"/>
      <c r="Y16" s="175"/>
      <c r="Z16" s="178"/>
      <c r="AA16" s="170"/>
      <c r="AB16" s="170"/>
      <c r="AC16" s="179"/>
      <c r="AD16" s="179"/>
      <c r="AE16" s="179"/>
      <c r="AF16" s="179"/>
      <c r="AG16" s="179"/>
      <c r="AH16" s="179"/>
      <c r="AI16" s="179"/>
      <c r="AJ16" s="179"/>
    </row>
    <row r="17" spans="1:39" ht="54.95" customHeight="1">
      <c r="A17" s="522"/>
      <c r="B17" s="523" t="s">
        <v>26</v>
      </c>
      <c r="C17" s="173"/>
      <c r="D17" s="174"/>
      <c r="E17" s="175"/>
      <c r="F17" s="176"/>
      <c r="G17" s="177"/>
      <c r="H17" s="174"/>
      <c r="I17" s="175"/>
      <c r="J17" s="176"/>
      <c r="K17" s="177"/>
      <c r="L17" s="174"/>
      <c r="M17" s="175"/>
      <c r="N17" s="176"/>
      <c r="O17" s="177"/>
      <c r="P17" s="174"/>
      <c r="Q17" s="175"/>
      <c r="R17" s="178"/>
      <c r="S17" s="177"/>
      <c r="T17" s="174"/>
      <c r="U17" s="175"/>
      <c r="V17" s="176"/>
      <c r="W17" s="177"/>
      <c r="X17" s="174"/>
      <c r="Y17" s="175"/>
      <c r="Z17" s="178"/>
      <c r="AA17" s="170"/>
      <c r="AB17" s="170"/>
      <c r="AC17" s="179"/>
      <c r="AD17" s="179"/>
      <c r="AE17" s="179"/>
      <c r="AF17" s="179"/>
      <c r="AG17" s="179"/>
      <c r="AH17" s="179"/>
      <c r="AI17" s="179"/>
      <c r="AJ17" s="179"/>
    </row>
    <row r="18" spans="1:39" ht="54.95" customHeight="1">
      <c r="A18" s="522">
        <v>8</v>
      </c>
      <c r="B18" s="523" t="s">
        <v>23</v>
      </c>
      <c r="C18" s="173"/>
      <c r="D18" s="174"/>
      <c r="E18" s="175"/>
      <c r="F18" s="176"/>
      <c r="G18" s="177"/>
      <c r="H18" s="174"/>
      <c r="I18" s="175"/>
      <c r="J18" s="176"/>
      <c r="K18" s="177"/>
      <c r="L18" s="174"/>
      <c r="M18" s="175"/>
      <c r="N18" s="176"/>
      <c r="O18" s="177"/>
      <c r="P18" s="174"/>
      <c r="Q18" s="175"/>
      <c r="R18" s="178"/>
      <c r="S18" s="177"/>
      <c r="T18" s="174"/>
      <c r="U18" s="175"/>
      <c r="V18" s="176"/>
      <c r="W18" s="177"/>
      <c r="X18" s="174"/>
      <c r="Y18" s="175"/>
      <c r="Z18" s="178"/>
      <c r="AA18" s="170"/>
      <c r="AB18" s="170"/>
      <c r="AC18" s="179"/>
      <c r="AD18" s="179"/>
      <c r="AE18" s="179"/>
      <c r="AF18" s="179"/>
      <c r="AG18" s="179"/>
      <c r="AH18" s="179"/>
      <c r="AI18" s="179"/>
      <c r="AJ18" s="179"/>
    </row>
    <row r="19" spans="1:39" ht="54.95" customHeight="1">
      <c r="A19" s="522"/>
      <c r="B19" s="523" t="s">
        <v>24</v>
      </c>
      <c r="C19" s="173"/>
      <c r="D19" s="174"/>
      <c r="E19" s="175"/>
      <c r="F19" s="176"/>
      <c r="G19" s="177"/>
      <c r="H19" s="174"/>
      <c r="I19" s="175"/>
      <c r="J19" s="176"/>
      <c r="K19" s="177"/>
      <c r="L19" s="174"/>
      <c r="M19" s="175"/>
      <c r="N19" s="176"/>
      <c r="O19" s="177"/>
      <c r="P19" s="174"/>
      <c r="Q19" s="175"/>
      <c r="R19" s="178"/>
      <c r="S19" s="177"/>
      <c r="T19" s="174"/>
      <c r="U19" s="175"/>
      <c r="V19" s="176"/>
      <c r="W19" s="177"/>
      <c r="X19" s="174"/>
      <c r="Y19" s="175"/>
      <c r="Z19" s="178"/>
      <c r="AA19" s="170"/>
      <c r="AB19" s="170"/>
      <c r="AC19" s="179"/>
      <c r="AD19" s="179"/>
      <c r="AE19" s="179"/>
      <c r="AF19" s="179"/>
      <c r="AG19" s="179"/>
      <c r="AH19" s="179"/>
      <c r="AI19" s="179"/>
      <c r="AJ19" s="179"/>
    </row>
    <row r="20" spans="1:39" ht="54.95" customHeight="1">
      <c r="A20" s="522"/>
      <c r="B20" s="523" t="s">
        <v>25</v>
      </c>
      <c r="C20" s="173"/>
      <c r="D20" s="174"/>
      <c r="E20" s="175"/>
      <c r="F20" s="176"/>
      <c r="G20" s="177"/>
      <c r="H20" s="174"/>
      <c r="I20" s="175"/>
      <c r="J20" s="176"/>
      <c r="K20" s="177"/>
      <c r="L20" s="174"/>
      <c r="M20" s="175"/>
      <c r="N20" s="176"/>
      <c r="O20" s="177"/>
      <c r="P20" s="174"/>
      <c r="Q20" s="175"/>
      <c r="R20" s="178"/>
      <c r="S20" s="177"/>
      <c r="T20" s="174"/>
      <c r="U20" s="175"/>
      <c r="V20" s="176"/>
      <c r="W20" s="177"/>
      <c r="X20" s="174"/>
      <c r="Y20" s="175"/>
      <c r="Z20" s="178"/>
      <c r="AA20" s="170"/>
      <c r="AB20" s="170"/>
      <c r="AC20" s="179"/>
      <c r="AD20" s="179"/>
      <c r="AE20" s="179"/>
      <c r="AF20" s="179"/>
      <c r="AG20" s="179"/>
      <c r="AH20" s="179"/>
      <c r="AI20" s="179"/>
      <c r="AJ20" s="179"/>
    </row>
    <row r="21" spans="1:39" ht="54.95" customHeight="1">
      <c r="A21" s="522"/>
      <c r="B21" s="523" t="s">
        <v>26</v>
      </c>
      <c r="C21" s="173"/>
      <c r="D21" s="174"/>
      <c r="E21" s="175"/>
      <c r="F21" s="176"/>
      <c r="G21" s="177"/>
      <c r="H21" s="174"/>
      <c r="I21" s="175"/>
      <c r="J21" s="176"/>
      <c r="K21" s="177"/>
      <c r="L21" s="174"/>
      <c r="M21" s="175"/>
      <c r="N21" s="176"/>
      <c r="O21" s="177"/>
      <c r="P21" s="174"/>
      <c r="Q21" s="175"/>
      <c r="R21" s="178"/>
      <c r="S21" s="177"/>
      <c r="T21" s="174"/>
      <c r="U21" s="175"/>
      <c r="V21" s="176"/>
      <c r="W21" s="177"/>
      <c r="X21" s="174"/>
      <c r="Y21" s="175"/>
      <c r="Z21" s="178"/>
      <c r="AA21" s="170"/>
      <c r="AB21" s="170"/>
      <c r="AC21" s="179"/>
      <c r="AD21" s="179"/>
      <c r="AE21" s="179"/>
      <c r="AF21" s="179"/>
      <c r="AG21" s="179"/>
      <c r="AH21" s="179"/>
      <c r="AI21" s="179"/>
      <c r="AJ21" s="179"/>
    </row>
    <row r="22" spans="1:39" ht="54.95" customHeight="1">
      <c r="A22" s="522">
        <v>9</v>
      </c>
      <c r="B22" s="523" t="s">
        <v>23</v>
      </c>
      <c r="C22" s="173"/>
      <c r="D22" s="174"/>
      <c r="E22" s="175"/>
      <c r="F22" s="176"/>
      <c r="G22" s="177"/>
      <c r="H22" s="174"/>
      <c r="I22" s="175"/>
      <c r="J22" s="176"/>
      <c r="K22" s="177"/>
      <c r="L22" s="174"/>
      <c r="M22" s="175"/>
      <c r="N22" s="176"/>
      <c r="O22" s="177"/>
      <c r="P22" s="174"/>
      <c r="Q22" s="175"/>
      <c r="R22" s="178"/>
      <c r="S22" s="177"/>
      <c r="T22" s="174"/>
      <c r="U22" s="175"/>
      <c r="V22" s="176"/>
      <c r="W22" s="177"/>
      <c r="X22" s="174"/>
      <c r="Y22" s="175"/>
      <c r="Z22" s="178"/>
      <c r="AA22" s="170"/>
      <c r="AB22" s="170"/>
      <c r="AC22" s="179"/>
      <c r="AD22" s="179"/>
      <c r="AE22" s="179"/>
      <c r="AF22" s="179"/>
      <c r="AG22" s="179"/>
      <c r="AH22" s="179"/>
      <c r="AI22" s="179"/>
      <c r="AJ22" s="179"/>
    </row>
    <row r="23" spans="1:39" ht="54.95" customHeight="1" thickBot="1">
      <c r="A23" s="524"/>
      <c r="B23" s="525" t="s">
        <v>24</v>
      </c>
      <c r="C23" s="180"/>
      <c r="D23" s="181"/>
      <c r="E23" s="182"/>
      <c r="F23" s="183"/>
      <c r="G23" s="184"/>
      <c r="H23" s="181"/>
      <c r="I23" s="182"/>
      <c r="J23" s="183"/>
      <c r="K23" s="184"/>
      <c r="L23" s="181"/>
      <c r="M23" s="182"/>
      <c r="N23" s="183"/>
      <c r="O23" s="184"/>
      <c r="P23" s="181"/>
      <c r="Q23" s="182"/>
      <c r="R23" s="185"/>
      <c r="S23" s="184"/>
      <c r="T23" s="181"/>
      <c r="U23" s="182"/>
      <c r="V23" s="183"/>
      <c r="W23" s="184"/>
      <c r="X23" s="181"/>
      <c r="Y23" s="182"/>
      <c r="Z23" s="185"/>
      <c r="AA23" s="170"/>
      <c r="AB23" s="170"/>
      <c r="AC23" s="186"/>
      <c r="AD23" s="186"/>
      <c r="AE23" s="186"/>
      <c r="AF23" s="186"/>
      <c r="AG23" s="186"/>
      <c r="AH23" s="186"/>
      <c r="AI23" s="186"/>
      <c r="AJ23" s="186"/>
      <c r="AK23" s="187"/>
      <c r="AL23" s="187"/>
    </row>
    <row r="24" spans="1:39" ht="54.95" customHeight="1" thickTop="1" thickBot="1">
      <c r="A24" s="188"/>
      <c r="B24" s="188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86"/>
      <c r="AD24" s="186"/>
      <c r="AE24" s="186"/>
      <c r="AF24" s="186"/>
      <c r="AG24" s="186"/>
      <c r="AH24" s="186"/>
      <c r="AI24" s="186"/>
      <c r="AJ24" s="186"/>
      <c r="AK24" s="187"/>
      <c r="AL24" s="187"/>
    </row>
    <row r="25" spans="1:39" ht="52.5" customHeight="1" thickBot="1">
      <c r="A25" s="500" t="s">
        <v>0</v>
      </c>
      <c r="B25" s="168" t="str">
        <f>B1</f>
        <v>REIGNIER_Carrefour Rue de la Gare / Rte de Bellecombe (vers Tour d'Ivoire)</v>
      </c>
      <c r="C25" s="501"/>
      <c r="D25" s="501"/>
      <c r="E25" s="501"/>
      <c r="F25" s="502"/>
      <c r="G25" s="502"/>
      <c r="H25" s="501"/>
      <c r="I25" s="501"/>
      <c r="J25" s="502"/>
      <c r="K25" s="502"/>
      <c r="L25" s="503"/>
      <c r="M25" s="504" t="s">
        <v>30</v>
      </c>
      <c r="N25" s="526" t="str">
        <f>N1</f>
        <v>mardi 31 mai 2022</v>
      </c>
      <c r="O25" s="501"/>
      <c r="P25" s="501"/>
      <c r="Q25" s="501"/>
      <c r="R25" s="501"/>
      <c r="S25" s="501"/>
      <c r="T25" s="501"/>
      <c r="U25" s="501"/>
      <c r="V25" s="505"/>
      <c r="W25" s="506"/>
      <c r="X25" s="506"/>
      <c r="Y25" s="506"/>
      <c r="Z25" s="507"/>
      <c r="AA25" s="527" t="s">
        <v>0</v>
      </c>
      <c r="AB25" s="168" t="str">
        <f>B25</f>
        <v>REIGNIER_Carrefour Rue de la Gare / Rte de Bellecombe (vers Tour d'Ivoire)</v>
      </c>
      <c r="AC25" s="501"/>
      <c r="AD25" s="501"/>
      <c r="AE25" s="501"/>
      <c r="AF25" s="528"/>
      <c r="AG25" s="529" t="s">
        <v>1</v>
      </c>
      <c r="AH25" s="526" t="str">
        <f>N25</f>
        <v>mardi 31 mai 2022</v>
      </c>
      <c r="AI25" s="501"/>
      <c r="AJ25" s="501"/>
      <c r="AK25" s="530"/>
      <c r="AL25" s="505"/>
      <c r="AM25" s="531"/>
    </row>
    <row r="26" spans="1:39" ht="52.5" customHeight="1" thickBot="1">
      <c r="A26" s="508" t="s">
        <v>2</v>
      </c>
      <c r="B26" s="509"/>
      <c r="C26" s="509"/>
      <c r="D26" s="509"/>
      <c r="E26" s="509"/>
      <c r="F26" s="509"/>
      <c r="G26" s="168">
        <f>G2</f>
        <v>0</v>
      </c>
      <c r="H26" s="501"/>
      <c r="I26" s="501"/>
      <c r="J26" s="501"/>
      <c r="K26" s="501"/>
      <c r="L26" s="501"/>
      <c r="M26" s="501"/>
      <c r="N26" s="501"/>
      <c r="O26" s="501"/>
      <c r="P26" s="501"/>
      <c r="Q26" s="501"/>
      <c r="R26" s="501"/>
      <c r="S26" s="501"/>
      <c r="T26" s="501"/>
      <c r="U26" s="501"/>
      <c r="V26" s="505"/>
      <c r="W26" s="509"/>
      <c r="X26" s="509"/>
      <c r="Y26" s="509"/>
      <c r="Z26" s="509"/>
      <c r="AA26" s="508" t="s">
        <v>2</v>
      </c>
      <c r="AB26" s="509"/>
      <c r="AC26" s="509"/>
      <c r="AD26" s="509"/>
      <c r="AE26" s="168">
        <f>G26</f>
        <v>0</v>
      </c>
      <c r="AF26" s="501"/>
      <c r="AG26" s="501"/>
      <c r="AH26" s="501"/>
      <c r="AI26" s="501"/>
      <c r="AJ26" s="501"/>
      <c r="AK26" s="501"/>
      <c r="AL26" s="505"/>
      <c r="AM26" s="509"/>
    </row>
    <row r="27" spans="1:39" ht="52.5" customHeight="1" thickBot="1">
      <c r="A27" s="508" t="s">
        <v>3</v>
      </c>
      <c r="B27" s="509"/>
      <c r="C27" s="168">
        <f>C3</f>
        <v>0</v>
      </c>
      <c r="D27" s="501"/>
      <c r="E27" s="501"/>
      <c r="F27" s="501"/>
      <c r="G27" s="501"/>
      <c r="H27" s="501"/>
      <c r="I27" s="501"/>
      <c r="J27" s="501"/>
      <c r="K27" s="501"/>
      <c r="L27" s="501"/>
      <c r="M27" s="501"/>
      <c r="N27" s="501"/>
      <c r="O27" s="501"/>
      <c r="P27" s="501"/>
      <c r="Q27" s="501"/>
      <c r="R27" s="501"/>
      <c r="S27" s="501"/>
      <c r="T27" s="501"/>
      <c r="U27" s="501"/>
      <c r="V27" s="505"/>
      <c r="W27" s="509"/>
      <c r="X27" s="509"/>
      <c r="Y27" s="509"/>
      <c r="Z27" s="510"/>
      <c r="AA27" s="508" t="s">
        <v>3</v>
      </c>
      <c r="AB27" s="509"/>
      <c r="AC27" s="168">
        <f>C27</f>
        <v>0</v>
      </c>
      <c r="AD27" s="501"/>
      <c r="AE27" s="501"/>
      <c r="AF27" s="501"/>
      <c r="AG27" s="501"/>
      <c r="AH27" s="501"/>
      <c r="AI27" s="501"/>
      <c r="AJ27" s="501"/>
      <c r="AK27" s="501"/>
      <c r="AL27" s="505"/>
      <c r="AM27" s="532"/>
    </row>
    <row r="28" spans="1:39" ht="52.5" customHeight="1" thickBot="1">
      <c r="A28" s="508" t="s">
        <v>27</v>
      </c>
      <c r="B28" s="509"/>
      <c r="C28" s="168">
        <f>C4</f>
        <v>0</v>
      </c>
      <c r="D28" s="501"/>
      <c r="E28" s="501"/>
      <c r="F28" s="501"/>
      <c r="G28" s="501"/>
      <c r="H28" s="501"/>
      <c r="I28" s="501"/>
      <c r="J28" s="501"/>
      <c r="K28" s="501"/>
      <c r="L28" s="501"/>
      <c r="M28" s="501"/>
      <c r="N28" s="501"/>
      <c r="O28" s="501"/>
      <c r="P28" s="501"/>
      <c r="Q28" s="501"/>
      <c r="R28" s="501"/>
      <c r="S28" s="501"/>
      <c r="T28" s="501"/>
      <c r="U28" s="501"/>
      <c r="V28" s="505"/>
      <c r="W28" s="509"/>
      <c r="X28" s="509"/>
      <c r="Y28" s="509"/>
      <c r="Z28" s="510"/>
      <c r="AA28" s="508" t="s">
        <v>27</v>
      </c>
      <c r="AB28" s="509"/>
      <c r="AC28" s="168">
        <f>C28</f>
        <v>0</v>
      </c>
      <c r="AD28" s="501"/>
      <c r="AE28" s="501"/>
      <c r="AF28" s="501"/>
      <c r="AG28" s="501"/>
      <c r="AH28" s="501"/>
      <c r="AI28" s="501"/>
      <c r="AJ28" s="501"/>
      <c r="AK28" s="501"/>
      <c r="AL28" s="505"/>
      <c r="AM28" s="532"/>
    </row>
    <row r="29" spans="1:39" ht="25.5" customHeight="1">
      <c r="A29" s="511"/>
      <c r="B29" s="509"/>
      <c r="C29" s="509"/>
      <c r="D29" s="509"/>
      <c r="E29" s="509"/>
      <c r="F29" s="509"/>
      <c r="G29" s="509"/>
      <c r="H29" s="509"/>
      <c r="I29" s="509"/>
      <c r="J29" s="509"/>
      <c r="K29" s="509"/>
      <c r="L29" s="509"/>
      <c r="M29" s="509"/>
      <c r="N29" s="509"/>
      <c r="O29" s="509"/>
      <c r="P29" s="509"/>
      <c r="Q29" s="509"/>
      <c r="R29" s="510"/>
      <c r="S29" s="509"/>
      <c r="T29" s="509"/>
      <c r="U29" s="509"/>
      <c r="V29" s="509"/>
      <c r="W29" s="509"/>
      <c r="X29" s="509"/>
      <c r="Y29" s="509"/>
      <c r="Z29" s="510"/>
      <c r="AA29" s="511"/>
      <c r="AB29" s="509"/>
      <c r="AC29" s="509"/>
      <c r="AD29" s="509"/>
      <c r="AE29" s="509"/>
      <c r="AF29" s="509"/>
      <c r="AG29" s="509"/>
      <c r="AH29" s="509"/>
      <c r="AI29" s="509"/>
      <c r="AJ29" s="509"/>
      <c r="AK29" s="509"/>
      <c r="AL29" s="509"/>
      <c r="AM29" s="509"/>
    </row>
    <row r="30" spans="1:39" ht="25.5" customHeight="1">
      <c r="A30" s="511"/>
      <c r="B30" s="509"/>
      <c r="C30" s="509"/>
      <c r="D30" s="509"/>
      <c r="E30" s="509"/>
      <c r="F30" s="509"/>
      <c r="G30" s="509"/>
      <c r="H30" s="509"/>
      <c r="I30" s="509"/>
      <c r="J30" s="509"/>
      <c r="K30" s="509"/>
      <c r="L30" s="509"/>
      <c r="M30" s="509"/>
      <c r="N30" s="509"/>
      <c r="O30" s="509"/>
      <c r="P30" s="509"/>
      <c r="Q30" s="509"/>
      <c r="R30" s="510"/>
      <c r="S30" s="509"/>
      <c r="T30" s="509"/>
      <c r="U30" s="509"/>
      <c r="V30" s="509"/>
      <c r="W30" s="509"/>
      <c r="X30" s="509"/>
      <c r="Y30" s="509"/>
      <c r="Z30" s="510"/>
      <c r="AA30" s="511"/>
      <c r="AB30" s="509"/>
      <c r="AC30" s="509"/>
      <c r="AD30" s="509"/>
      <c r="AE30" s="509"/>
      <c r="AF30" s="509"/>
      <c r="AG30" s="509"/>
      <c r="AH30" s="509"/>
      <c r="AI30" s="509"/>
      <c r="AJ30" s="509"/>
      <c r="AK30" s="509"/>
      <c r="AL30" s="510"/>
      <c r="AM30" s="510"/>
    </row>
    <row r="31" spans="1:39" ht="25.5" customHeight="1" thickBot="1">
      <c r="A31" s="511"/>
      <c r="B31" s="509"/>
      <c r="C31" s="509"/>
      <c r="D31" s="509"/>
      <c r="E31" s="509"/>
      <c r="F31" s="509"/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509"/>
      <c r="R31" s="510"/>
      <c r="S31" s="509"/>
      <c r="T31" s="509"/>
      <c r="U31" s="509"/>
      <c r="V31" s="509"/>
      <c r="W31" s="509"/>
      <c r="X31" s="509"/>
      <c r="Y31" s="509"/>
      <c r="Z31" s="510"/>
      <c r="AA31" s="510"/>
      <c r="AB31" s="510"/>
      <c r="AC31" s="510"/>
      <c r="AD31" s="510"/>
      <c r="AE31" s="510"/>
      <c r="AF31" s="510"/>
      <c r="AG31" s="510"/>
      <c r="AH31" s="510"/>
      <c r="AI31" s="510"/>
      <c r="AJ31" s="510"/>
      <c r="AK31" s="510"/>
      <c r="AL31" s="510"/>
      <c r="AM31" s="510"/>
    </row>
    <row r="32" spans="1:39" ht="32.25" customHeight="1" thickTop="1">
      <c r="A32" s="512"/>
      <c r="B32" s="513"/>
      <c r="C32" s="856" t="str">
        <f>C8</f>
        <v>Depuis 'Pers-Jussy'</v>
      </c>
      <c r="D32" s="857"/>
      <c r="E32" s="857"/>
      <c r="F32" s="857"/>
      <c r="G32" s="857"/>
      <c r="H32" s="857"/>
      <c r="I32" s="857"/>
      <c r="J32" s="857"/>
      <c r="K32" s="857" t="str">
        <f>K8</f>
        <v>Depuis 'Reignier-centre'</v>
      </c>
      <c r="L32" s="857"/>
      <c r="M32" s="857"/>
      <c r="N32" s="857"/>
      <c r="O32" s="857"/>
      <c r="P32" s="857"/>
      <c r="Q32" s="857"/>
      <c r="R32" s="858"/>
      <c r="S32" s="857" t="str">
        <f>S8</f>
        <v>Depuis 'Gare'</v>
      </c>
      <c r="T32" s="857"/>
      <c r="U32" s="857"/>
      <c r="V32" s="857"/>
      <c r="W32" s="857"/>
      <c r="X32" s="857"/>
      <c r="Y32" s="857"/>
      <c r="Z32" s="858"/>
      <c r="AA32" s="512"/>
      <c r="AB32" s="513"/>
      <c r="AC32" s="873" t="s">
        <v>12</v>
      </c>
      <c r="AD32" s="875" t="s">
        <v>14</v>
      </c>
      <c r="AE32" s="869" t="s">
        <v>15</v>
      </c>
      <c r="AF32" s="878" t="s">
        <v>18</v>
      </c>
      <c r="AG32" s="875" t="s">
        <v>16</v>
      </c>
      <c r="AH32" s="875" t="s">
        <v>79</v>
      </c>
      <c r="AI32" s="875" t="s">
        <v>118</v>
      </c>
      <c r="AJ32" s="881" t="s">
        <v>31</v>
      </c>
      <c r="AK32" s="882"/>
      <c r="AL32" s="882"/>
      <c r="AM32" s="883"/>
    </row>
    <row r="33" spans="1:39" ht="22.7" customHeight="1">
      <c r="A33" s="512"/>
      <c r="B33" s="513"/>
      <c r="C33" s="859" t="str">
        <f>C9</f>
        <v>vers 'Reignier'</v>
      </c>
      <c r="D33" s="860"/>
      <c r="E33" s="860"/>
      <c r="F33" s="860"/>
      <c r="G33" s="859" t="str">
        <f t="shared" ref="G33" si="0">G9</f>
        <v>vers 'Gare'</v>
      </c>
      <c r="H33" s="860"/>
      <c r="I33" s="860"/>
      <c r="J33" s="860"/>
      <c r="K33" s="859" t="str">
        <f t="shared" ref="K33" si="1">K9</f>
        <v>vers 'Pers-Jussy'</v>
      </c>
      <c r="L33" s="860"/>
      <c r="M33" s="860"/>
      <c r="N33" s="860"/>
      <c r="O33" s="859" t="str">
        <f t="shared" ref="O33" si="2">O9</f>
        <v>vers 'Gare'</v>
      </c>
      <c r="P33" s="860"/>
      <c r="Q33" s="860"/>
      <c r="R33" s="860"/>
      <c r="S33" s="859" t="str">
        <f t="shared" ref="S33" si="3">S9</f>
        <v>vers 'Reignier-centre'</v>
      </c>
      <c r="T33" s="860"/>
      <c r="U33" s="860"/>
      <c r="V33" s="860"/>
      <c r="W33" s="859" t="str">
        <f t="shared" ref="W33" si="4">W9</f>
        <v>vers 'Pers-Jussy'</v>
      </c>
      <c r="X33" s="860"/>
      <c r="Y33" s="860"/>
      <c r="Z33" s="872"/>
      <c r="AA33" s="512"/>
      <c r="AB33" s="513"/>
      <c r="AC33" s="874"/>
      <c r="AD33" s="876"/>
      <c r="AE33" s="870"/>
      <c r="AF33" s="879"/>
      <c r="AG33" s="876"/>
      <c r="AH33" s="876"/>
      <c r="AI33" s="876"/>
      <c r="AJ33" s="884"/>
      <c r="AK33" s="885"/>
      <c r="AL33" s="885"/>
      <c r="AM33" s="886"/>
    </row>
    <row r="34" spans="1:39" ht="18.600000000000001" customHeight="1" thickBot="1">
      <c r="A34" s="512"/>
      <c r="B34" s="513"/>
      <c r="C34" s="865" t="s">
        <v>4</v>
      </c>
      <c r="D34" s="866"/>
      <c r="E34" s="863" t="s">
        <v>5</v>
      </c>
      <c r="F34" s="867"/>
      <c r="G34" s="868" t="s">
        <v>4</v>
      </c>
      <c r="H34" s="866"/>
      <c r="I34" s="863" t="s">
        <v>5</v>
      </c>
      <c r="J34" s="867"/>
      <c r="K34" s="868" t="s">
        <v>4</v>
      </c>
      <c r="L34" s="866"/>
      <c r="M34" s="863" t="s">
        <v>5</v>
      </c>
      <c r="N34" s="867"/>
      <c r="O34" s="868" t="s">
        <v>4</v>
      </c>
      <c r="P34" s="866"/>
      <c r="Q34" s="863" t="s">
        <v>5</v>
      </c>
      <c r="R34" s="864"/>
      <c r="S34" s="868" t="s">
        <v>4</v>
      </c>
      <c r="T34" s="866"/>
      <c r="U34" s="863" t="s">
        <v>5</v>
      </c>
      <c r="V34" s="867"/>
      <c r="W34" s="868" t="s">
        <v>4</v>
      </c>
      <c r="X34" s="866"/>
      <c r="Y34" s="890" t="s">
        <v>5</v>
      </c>
      <c r="Z34" s="891"/>
      <c r="AA34" s="512"/>
      <c r="AB34" s="513"/>
      <c r="AC34" s="874"/>
      <c r="AD34" s="876"/>
      <c r="AE34" s="870"/>
      <c r="AF34" s="879"/>
      <c r="AG34" s="876"/>
      <c r="AH34" s="876"/>
      <c r="AI34" s="876"/>
      <c r="AJ34" s="884"/>
      <c r="AK34" s="885"/>
      <c r="AL34" s="885"/>
      <c r="AM34" s="886"/>
    </row>
    <row r="35" spans="1:39" ht="21" thickTop="1">
      <c r="A35" s="892" t="s">
        <v>13</v>
      </c>
      <c r="B35" s="893"/>
      <c r="C35" s="516" t="s">
        <v>8</v>
      </c>
      <c r="D35" s="517" t="s">
        <v>9</v>
      </c>
      <c r="E35" s="518" t="s">
        <v>8</v>
      </c>
      <c r="F35" s="519" t="s">
        <v>9</v>
      </c>
      <c r="G35" s="520" t="s">
        <v>8</v>
      </c>
      <c r="H35" s="517" t="s">
        <v>9</v>
      </c>
      <c r="I35" s="518" t="s">
        <v>8</v>
      </c>
      <c r="J35" s="519" t="s">
        <v>9</v>
      </c>
      <c r="K35" s="520" t="s">
        <v>8</v>
      </c>
      <c r="L35" s="517" t="s">
        <v>9</v>
      </c>
      <c r="M35" s="518" t="s">
        <v>8</v>
      </c>
      <c r="N35" s="519" t="s">
        <v>9</v>
      </c>
      <c r="O35" s="520" t="s">
        <v>8</v>
      </c>
      <c r="P35" s="517" t="s">
        <v>9</v>
      </c>
      <c r="Q35" s="518" t="s">
        <v>8</v>
      </c>
      <c r="R35" s="521" t="s">
        <v>9</v>
      </c>
      <c r="S35" s="520" t="s">
        <v>8</v>
      </c>
      <c r="T35" s="517" t="s">
        <v>9</v>
      </c>
      <c r="U35" s="518" t="s">
        <v>8</v>
      </c>
      <c r="V35" s="519" t="s">
        <v>9</v>
      </c>
      <c r="W35" s="520" t="s">
        <v>8</v>
      </c>
      <c r="X35" s="517" t="s">
        <v>9</v>
      </c>
      <c r="Y35" s="518" t="s">
        <v>8</v>
      </c>
      <c r="Z35" s="521" t="s">
        <v>9</v>
      </c>
      <c r="AA35" s="894" t="s">
        <v>13</v>
      </c>
      <c r="AB35" s="895"/>
      <c r="AC35" s="874"/>
      <c r="AD35" s="877"/>
      <c r="AE35" s="871"/>
      <c r="AF35" s="880"/>
      <c r="AG35" s="877"/>
      <c r="AH35" s="877"/>
      <c r="AI35" s="877"/>
      <c r="AJ35" s="887"/>
      <c r="AK35" s="888"/>
      <c r="AL35" s="888"/>
      <c r="AM35" s="889"/>
    </row>
    <row r="36" spans="1:39" ht="54.95" customHeight="1">
      <c r="A36" s="906" t="s">
        <v>28</v>
      </c>
      <c r="B36" s="907"/>
      <c r="C36" s="533">
        <f>SUM(C12:C15)</f>
        <v>0</v>
      </c>
      <c r="D36" s="534">
        <f t="shared" ref="D36:Z36" si="5">SUM(D12:D15)</f>
        <v>0</v>
      </c>
      <c r="E36" s="535">
        <f t="shared" si="5"/>
        <v>0</v>
      </c>
      <c r="F36" s="536">
        <f t="shared" si="5"/>
        <v>0</v>
      </c>
      <c r="G36" s="537">
        <f t="shared" si="5"/>
        <v>0</v>
      </c>
      <c r="H36" s="534">
        <f t="shared" si="5"/>
        <v>0</v>
      </c>
      <c r="I36" s="535">
        <f t="shared" si="5"/>
        <v>0</v>
      </c>
      <c r="J36" s="536">
        <f t="shared" si="5"/>
        <v>0</v>
      </c>
      <c r="K36" s="537">
        <f t="shared" si="5"/>
        <v>0</v>
      </c>
      <c r="L36" s="534">
        <f t="shared" si="5"/>
        <v>0</v>
      </c>
      <c r="M36" s="535">
        <f t="shared" si="5"/>
        <v>0</v>
      </c>
      <c r="N36" s="536">
        <f t="shared" si="5"/>
        <v>0</v>
      </c>
      <c r="O36" s="537">
        <f t="shared" si="5"/>
        <v>0</v>
      </c>
      <c r="P36" s="534">
        <f t="shared" si="5"/>
        <v>0</v>
      </c>
      <c r="Q36" s="535">
        <f t="shared" si="5"/>
        <v>0</v>
      </c>
      <c r="R36" s="538">
        <f t="shared" si="5"/>
        <v>0</v>
      </c>
      <c r="S36" s="537">
        <f t="shared" si="5"/>
        <v>0</v>
      </c>
      <c r="T36" s="534">
        <f t="shared" si="5"/>
        <v>0</v>
      </c>
      <c r="U36" s="535">
        <f t="shared" si="5"/>
        <v>0</v>
      </c>
      <c r="V36" s="536">
        <f t="shared" si="5"/>
        <v>0</v>
      </c>
      <c r="W36" s="537">
        <f t="shared" si="5"/>
        <v>0</v>
      </c>
      <c r="X36" s="534">
        <f t="shared" si="5"/>
        <v>0</v>
      </c>
      <c r="Y36" s="535">
        <f t="shared" si="5"/>
        <v>0</v>
      </c>
      <c r="Z36" s="538">
        <f t="shared" si="5"/>
        <v>0</v>
      </c>
      <c r="AA36" s="908" t="s">
        <v>28</v>
      </c>
      <c r="AB36" s="909"/>
      <c r="AC36" s="539">
        <f t="shared" ref="AC36:AC42" si="6">SUM(C36:Z36)</f>
        <v>0</v>
      </c>
      <c r="AD36" s="540">
        <f>IF(AC36=0,0,AD48/AC36)</f>
        <v>0</v>
      </c>
      <c r="AE36" s="540">
        <f>IF(AC36=0,0,AE48/AC36)</f>
        <v>0</v>
      </c>
      <c r="AF36" s="540">
        <f>IF(AE48=0,0,AF48/AE48)</f>
        <v>0</v>
      </c>
      <c r="AG36" s="540">
        <f t="shared" ref="AG36:AG42" si="7">IF(AC36=0,0,AG48/AC36)</f>
        <v>0</v>
      </c>
      <c r="AH36" s="540">
        <f>IF(AC36=0,0,AH48/AC36)</f>
        <v>0</v>
      </c>
      <c r="AI36" s="540">
        <f>IF(AC36=0,0,AI48/AC36)</f>
        <v>0</v>
      </c>
      <c r="AJ36" s="896"/>
      <c r="AK36" s="897"/>
      <c r="AL36" s="897"/>
      <c r="AM36" s="898"/>
    </row>
    <row r="37" spans="1:39" ht="54.95" customHeight="1">
      <c r="A37" s="899" t="s">
        <v>11</v>
      </c>
      <c r="B37" s="900"/>
      <c r="C37" s="541">
        <f>SUM(C14:C17)</f>
        <v>0</v>
      </c>
      <c r="D37" s="542">
        <f t="shared" ref="D37:Z37" si="8">SUM(D14:D17)</f>
        <v>0</v>
      </c>
      <c r="E37" s="543">
        <f t="shared" si="8"/>
        <v>0</v>
      </c>
      <c r="F37" s="544">
        <f t="shared" si="8"/>
        <v>0</v>
      </c>
      <c r="G37" s="545">
        <f t="shared" si="8"/>
        <v>0</v>
      </c>
      <c r="H37" s="542">
        <f t="shared" si="8"/>
        <v>0</v>
      </c>
      <c r="I37" s="543">
        <f t="shared" si="8"/>
        <v>0</v>
      </c>
      <c r="J37" s="544">
        <f t="shared" si="8"/>
        <v>0</v>
      </c>
      <c r="K37" s="545">
        <f t="shared" si="8"/>
        <v>0</v>
      </c>
      <c r="L37" s="542">
        <f t="shared" si="8"/>
        <v>0</v>
      </c>
      <c r="M37" s="543">
        <f t="shared" si="8"/>
        <v>0</v>
      </c>
      <c r="N37" s="544">
        <f t="shared" si="8"/>
        <v>0</v>
      </c>
      <c r="O37" s="545">
        <f t="shared" si="8"/>
        <v>0</v>
      </c>
      <c r="P37" s="542">
        <f t="shared" si="8"/>
        <v>0</v>
      </c>
      <c r="Q37" s="543">
        <f t="shared" si="8"/>
        <v>0</v>
      </c>
      <c r="R37" s="546">
        <f t="shared" si="8"/>
        <v>0</v>
      </c>
      <c r="S37" s="545">
        <f t="shared" si="8"/>
        <v>0</v>
      </c>
      <c r="T37" s="542">
        <f t="shared" si="8"/>
        <v>0</v>
      </c>
      <c r="U37" s="543">
        <f t="shared" si="8"/>
        <v>0</v>
      </c>
      <c r="V37" s="544">
        <f t="shared" si="8"/>
        <v>0</v>
      </c>
      <c r="W37" s="545">
        <f t="shared" si="8"/>
        <v>0</v>
      </c>
      <c r="X37" s="542">
        <f t="shared" si="8"/>
        <v>0</v>
      </c>
      <c r="Y37" s="543">
        <f t="shared" si="8"/>
        <v>0</v>
      </c>
      <c r="Z37" s="546">
        <f t="shared" si="8"/>
        <v>0</v>
      </c>
      <c r="AA37" s="901" t="s">
        <v>11</v>
      </c>
      <c r="AB37" s="902"/>
      <c r="AC37" s="547">
        <f t="shared" si="6"/>
        <v>0</v>
      </c>
      <c r="AD37" s="548">
        <f t="shared" ref="AD37:AD42" si="9">IF(AC37=0,0,AD49/AC37)</f>
        <v>0</v>
      </c>
      <c r="AE37" s="548">
        <f t="shared" ref="AE37:AE42" si="10">IF(AC37=0,0,AE49/AC37)</f>
        <v>0</v>
      </c>
      <c r="AF37" s="548">
        <f t="shared" ref="AF37:AF42" si="11">IF(AE49=0,0,AF49/AE49)</f>
        <v>0</v>
      </c>
      <c r="AG37" s="548">
        <f t="shared" si="7"/>
        <v>0</v>
      </c>
      <c r="AH37" s="548">
        <f t="shared" ref="AH37:AH42" si="12">IF(AC37=0,0,AH49/AC37)</f>
        <v>0</v>
      </c>
      <c r="AI37" s="548">
        <f t="shared" ref="AI37:AI42" si="13">IF(AC37=0,0,AI49/AC37)</f>
        <v>0</v>
      </c>
      <c r="AJ37" s="903"/>
      <c r="AK37" s="904"/>
      <c r="AL37" s="904"/>
      <c r="AM37" s="905"/>
    </row>
    <row r="38" spans="1:39" ht="54.95" customHeight="1">
      <c r="A38" s="899" t="s">
        <v>17</v>
      </c>
      <c r="B38" s="900"/>
      <c r="C38" s="541">
        <f>SUM(C16:C19)</f>
        <v>0</v>
      </c>
      <c r="D38" s="542">
        <f t="shared" ref="D38:Z38" si="14">SUM(D16:D19)</f>
        <v>0</v>
      </c>
      <c r="E38" s="543">
        <f t="shared" si="14"/>
        <v>0</v>
      </c>
      <c r="F38" s="544">
        <f t="shared" si="14"/>
        <v>0</v>
      </c>
      <c r="G38" s="545">
        <f t="shared" si="14"/>
        <v>0</v>
      </c>
      <c r="H38" s="542">
        <f t="shared" si="14"/>
        <v>0</v>
      </c>
      <c r="I38" s="543">
        <f t="shared" si="14"/>
        <v>0</v>
      </c>
      <c r="J38" s="544">
        <f t="shared" si="14"/>
        <v>0</v>
      </c>
      <c r="K38" s="545">
        <f t="shared" si="14"/>
        <v>0</v>
      </c>
      <c r="L38" s="542">
        <f t="shared" si="14"/>
        <v>0</v>
      </c>
      <c r="M38" s="543">
        <f t="shared" si="14"/>
        <v>0</v>
      </c>
      <c r="N38" s="544">
        <f t="shared" si="14"/>
        <v>0</v>
      </c>
      <c r="O38" s="545">
        <f t="shared" si="14"/>
        <v>0</v>
      </c>
      <c r="P38" s="542">
        <f t="shared" si="14"/>
        <v>0</v>
      </c>
      <c r="Q38" s="543">
        <f t="shared" si="14"/>
        <v>0</v>
      </c>
      <c r="R38" s="546">
        <f t="shared" si="14"/>
        <v>0</v>
      </c>
      <c r="S38" s="545">
        <f t="shared" si="14"/>
        <v>0</v>
      </c>
      <c r="T38" s="542">
        <f t="shared" si="14"/>
        <v>0</v>
      </c>
      <c r="U38" s="543">
        <f t="shared" si="14"/>
        <v>0</v>
      </c>
      <c r="V38" s="544">
        <f t="shared" si="14"/>
        <v>0</v>
      </c>
      <c r="W38" s="545">
        <f t="shared" si="14"/>
        <v>0</v>
      </c>
      <c r="X38" s="542">
        <f t="shared" si="14"/>
        <v>0</v>
      </c>
      <c r="Y38" s="543">
        <f t="shared" si="14"/>
        <v>0</v>
      </c>
      <c r="Z38" s="546">
        <f t="shared" si="14"/>
        <v>0</v>
      </c>
      <c r="AA38" s="901" t="s">
        <v>17</v>
      </c>
      <c r="AB38" s="902"/>
      <c r="AC38" s="547">
        <f t="shared" si="6"/>
        <v>0</v>
      </c>
      <c r="AD38" s="548">
        <f t="shared" si="9"/>
        <v>0</v>
      </c>
      <c r="AE38" s="548">
        <f t="shared" si="10"/>
        <v>0</v>
      </c>
      <c r="AF38" s="548">
        <f t="shared" si="11"/>
        <v>0</v>
      </c>
      <c r="AG38" s="548">
        <f t="shared" si="7"/>
        <v>0</v>
      </c>
      <c r="AH38" s="548">
        <f t="shared" si="12"/>
        <v>0</v>
      </c>
      <c r="AI38" s="548">
        <f t="shared" si="13"/>
        <v>0</v>
      </c>
      <c r="AJ38" s="903"/>
      <c r="AK38" s="904"/>
      <c r="AL38" s="904"/>
      <c r="AM38" s="905"/>
    </row>
    <row r="39" spans="1:39" ht="54.95" customHeight="1">
      <c r="A39" s="899" t="s">
        <v>10</v>
      </c>
      <c r="B39" s="900"/>
      <c r="C39" s="541">
        <f>SUM(C18:C21)</f>
        <v>0</v>
      </c>
      <c r="D39" s="542">
        <f t="shared" ref="D39:Z39" si="15">SUM(D18:D21)</f>
        <v>0</v>
      </c>
      <c r="E39" s="543">
        <f t="shared" si="15"/>
        <v>0</v>
      </c>
      <c r="F39" s="544">
        <f t="shared" si="15"/>
        <v>0</v>
      </c>
      <c r="G39" s="545">
        <f t="shared" si="15"/>
        <v>0</v>
      </c>
      <c r="H39" s="542">
        <f t="shared" si="15"/>
        <v>0</v>
      </c>
      <c r="I39" s="543">
        <f t="shared" si="15"/>
        <v>0</v>
      </c>
      <c r="J39" s="544">
        <f t="shared" si="15"/>
        <v>0</v>
      </c>
      <c r="K39" s="545">
        <f t="shared" si="15"/>
        <v>0</v>
      </c>
      <c r="L39" s="542">
        <f t="shared" si="15"/>
        <v>0</v>
      </c>
      <c r="M39" s="543">
        <f t="shared" si="15"/>
        <v>0</v>
      </c>
      <c r="N39" s="544">
        <f t="shared" si="15"/>
        <v>0</v>
      </c>
      <c r="O39" s="545">
        <f t="shared" si="15"/>
        <v>0</v>
      </c>
      <c r="P39" s="542">
        <f t="shared" si="15"/>
        <v>0</v>
      </c>
      <c r="Q39" s="543">
        <f t="shared" si="15"/>
        <v>0</v>
      </c>
      <c r="R39" s="546">
        <f t="shared" si="15"/>
        <v>0</v>
      </c>
      <c r="S39" s="545">
        <f t="shared" si="15"/>
        <v>0</v>
      </c>
      <c r="T39" s="542">
        <f t="shared" si="15"/>
        <v>0</v>
      </c>
      <c r="U39" s="543">
        <f t="shared" si="15"/>
        <v>0</v>
      </c>
      <c r="V39" s="544">
        <f t="shared" si="15"/>
        <v>0</v>
      </c>
      <c r="W39" s="545">
        <f t="shared" si="15"/>
        <v>0</v>
      </c>
      <c r="X39" s="542">
        <f t="shared" si="15"/>
        <v>0</v>
      </c>
      <c r="Y39" s="543">
        <f t="shared" si="15"/>
        <v>0</v>
      </c>
      <c r="Z39" s="546">
        <f t="shared" si="15"/>
        <v>0</v>
      </c>
      <c r="AA39" s="901" t="s">
        <v>10</v>
      </c>
      <c r="AB39" s="902"/>
      <c r="AC39" s="547">
        <f t="shared" si="6"/>
        <v>0</v>
      </c>
      <c r="AD39" s="548">
        <f t="shared" si="9"/>
        <v>0</v>
      </c>
      <c r="AE39" s="548">
        <f t="shared" si="10"/>
        <v>0</v>
      </c>
      <c r="AF39" s="548">
        <f t="shared" si="11"/>
        <v>0</v>
      </c>
      <c r="AG39" s="548">
        <f t="shared" si="7"/>
        <v>0</v>
      </c>
      <c r="AH39" s="548">
        <f t="shared" si="12"/>
        <v>0</v>
      </c>
      <c r="AI39" s="548">
        <f t="shared" si="13"/>
        <v>0</v>
      </c>
      <c r="AJ39" s="903"/>
      <c r="AK39" s="904"/>
      <c r="AL39" s="904"/>
      <c r="AM39" s="905"/>
    </row>
    <row r="40" spans="1:39" ht="54.95" customHeight="1">
      <c r="A40" s="910" t="s">
        <v>29</v>
      </c>
      <c r="B40" s="911"/>
      <c r="C40" s="549">
        <f>SUM(C20:C23)</f>
        <v>0</v>
      </c>
      <c r="D40" s="550">
        <f t="shared" ref="D40:Z40" si="16">SUM(D20:D23)</f>
        <v>0</v>
      </c>
      <c r="E40" s="551">
        <f t="shared" si="16"/>
        <v>0</v>
      </c>
      <c r="F40" s="552">
        <f t="shared" si="16"/>
        <v>0</v>
      </c>
      <c r="G40" s="553">
        <f t="shared" si="16"/>
        <v>0</v>
      </c>
      <c r="H40" s="550">
        <f t="shared" si="16"/>
        <v>0</v>
      </c>
      <c r="I40" s="551">
        <f t="shared" si="16"/>
        <v>0</v>
      </c>
      <c r="J40" s="552">
        <f t="shared" si="16"/>
        <v>0</v>
      </c>
      <c r="K40" s="553">
        <f t="shared" si="16"/>
        <v>0</v>
      </c>
      <c r="L40" s="550">
        <f t="shared" si="16"/>
        <v>0</v>
      </c>
      <c r="M40" s="551">
        <f t="shared" si="16"/>
        <v>0</v>
      </c>
      <c r="N40" s="552">
        <f t="shared" si="16"/>
        <v>0</v>
      </c>
      <c r="O40" s="553">
        <f t="shared" si="16"/>
        <v>0</v>
      </c>
      <c r="P40" s="550">
        <f t="shared" si="16"/>
        <v>0</v>
      </c>
      <c r="Q40" s="551">
        <f t="shared" si="16"/>
        <v>0</v>
      </c>
      <c r="R40" s="554">
        <f t="shared" si="16"/>
        <v>0</v>
      </c>
      <c r="S40" s="553">
        <f t="shared" si="16"/>
        <v>0</v>
      </c>
      <c r="T40" s="550">
        <f t="shared" si="16"/>
        <v>0</v>
      </c>
      <c r="U40" s="551">
        <f t="shared" si="16"/>
        <v>0</v>
      </c>
      <c r="V40" s="552">
        <f t="shared" si="16"/>
        <v>0</v>
      </c>
      <c r="W40" s="553">
        <f t="shared" si="16"/>
        <v>0</v>
      </c>
      <c r="X40" s="550">
        <f t="shared" si="16"/>
        <v>0</v>
      </c>
      <c r="Y40" s="551">
        <f t="shared" si="16"/>
        <v>0</v>
      </c>
      <c r="Z40" s="554">
        <f t="shared" si="16"/>
        <v>0</v>
      </c>
      <c r="AA40" s="912" t="s">
        <v>29</v>
      </c>
      <c r="AB40" s="913"/>
      <c r="AC40" s="555">
        <f t="shared" si="6"/>
        <v>0</v>
      </c>
      <c r="AD40" s="556">
        <f t="shared" si="9"/>
        <v>0</v>
      </c>
      <c r="AE40" s="556">
        <f t="shared" si="10"/>
        <v>0</v>
      </c>
      <c r="AF40" s="556">
        <f t="shared" si="11"/>
        <v>0</v>
      </c>
      <c r="AG40" s="556">
        <f t="shared" si="7"/>
        <v>0</v>
      </c>
      <c r="AH40" s="556">
        <f t="shared" si="12"/>
        <v>0</v>
      </c>
      <c r="AI40" s="556">
        <f t="shared" si="13"/>
        <v>0</v>
      </c>
      <c r="AJ40" s="914"/>
      <c r="AK40" s="915"/>
      <c r="AL40" s="915"/>
      <c r="AM40" s="916"/>
    </row>
    <row r="41" spans="1:39" ht="54.95" customHeight="1">
      <c r="A41" s="920" t="s">
        <v>12</v>
      </c>
      <c r="B41" s="921"/>
      <c r="C41" s="557">
        <f>SUM(C12:C23)</f>
        <v>0</v>
      </c>
      <c r="D41" s="558">
        <f t="shared" ref="D41:Z41" si="17">SUM(D12:D23)</f>
        <v>0</v>
      </c>
      <c r="E41" s="559">
        <f t="shared" si="17"/>
        <v>0</v>
      </c>
      <c r="F41" s="560">
        <f t="shared" si="17"/>
        <v>0</v>
      </c>
      <c r="G41" s="561">
        <f t="shared" si="17"/>
        <v>0</v>
      </c>
      <c r="H41" s="558">
        <f t="shared" si="17"/>
        <v>0</v>
      </c>
      <c r="I41" s="559">
        <f t="shared" si="17"/>
        <v>0</v>
      </c>
      <c r="J41" s="560">
        <f t="shared" si="17"/>
        <v>0</v>
      </c>
      <c r="K41" s="561">
        <f t="shared" si="17"/>
        <v>0</v>
      </c>
      <c r="L41" s="558">
        <f t="shared" si="17"/>
        <v>0</v>
      </c>
      <c r="M41" s="559">
        <f t="shared" si="17"/>
        <v>0</v>
      </c>
      <c r="N41" s="560">
        <f t="shared" si="17"/>
        <v>0</v>
      </c>
      <c r="O41" s="561">
        <f t="shared" si="17"/>
        <v>0</v>
      </c>
      <c r="P41" s="558">
        <f t="shared" si="17"/>
        <v>0</v>
      </c>
      <c r="Q41" s="559">
        <f t="shared" si="17"/>
        <v>0</v>
      </c>
      <c r="R41" s="562">
        <f t="shared" si="17"/>
        <v>0</v>
      </c>
      <c r="S41" s="561">
        <f t="shared" si="17"/>
        <v>0</v>
      </c>
      <c r="T41" s="558">
        <f t="shared" si="17"/>
        <v>0</v>
      </c>
      <c r="U41" s="559">
        <f t="shared" si="17"/>
        <v>0</v>
      </c>
      <c r="V41" s="560">
        <f t="shared" si="17"/>
        <v>0</v>
      </c>
      <c r="W41" s="561">
        <f t="shared" si="17"/>
        <v>0</v>
      </c>
      <c r="X41" s="558">
        <f t="shared" si="17"/>
        <v>0</v>
      </c>
      <c r="Y41" s="559">
        <f t="shared" si="17"/>
        <v>0</v>
      </c>
      <c r="Z41" s="562">
        <f t="shared" si="17"/>
        <v>0</v>
      </c>
      <c r="AA41" s="922" t="s">
        <v>12</v>
      </c>
      <c r="AB41" s="923"/>
      <c r="AC41" s="563">
        <f t="shared" si="6"/>
        <v>0</v>
      </c>
      <c r="AD41" s="564">
        <f t="shared" si="9"/>
        <v>0</v>
      </c>
      <c r="AE41" s="564">
        <f t="shared" si="10"/>
        <v>0</v>
      </c>
      <c r="AF41" s="564">
        <f t="shared" si="11"/>
        <v>0</v>
      </c>
      <c r="AG41" s="564">
        <f t="shared" si="7"/>
        <v>0</v>
      </c>
      <c r="AH41" s="564">
        <f t="shared" si="12"/>
        <v>0</v>
      </c>
      <c r="AI41" s="564">
        <f t="shared" si="13"/>
        <v>0</v>
      </c>
      <c r="AJ41" s="924"/>
      <c r="AK41" s="925"/>
      <c r="AL41" s="925"/>
      <c r="AM41" s="926"/>
    </row>
    <row r="42" spans="1:39" ht="54.95" customHeight="1" thickBot="1">
      <c r="A42" s="927" t="str">
        <f>IF($AC$36=MAX($AC$36:$AC$40),A36,IF($AC$37=MAX($AC$36:$AC$40),A37,IF($AC$38=MAX($AC$36:$AC$40),A38,IF($AC$39=MAX($AC$36:$AC$40),A39,A40))))</f>
        <v>de 6:30 à 7:30</v>
      </c>
      <c r="B42" s="928"/>
      <c r="C42" s="565">
        <f>IF($AC$36=MAX($AC$36:$AC$40),C36,IF($AC$37=MAX($AC$36:$AC$40),C37,IF($AC$38=MAX($AC$36:$AC$40),C38,IF($AC$39=MAX($AC$36:$AC$40),C39,C40))))</f>
        <v>0</v>
      </c>
      <c r="D42" s="566">
        <f t="shared" ref="D42:Z42" si="18">IF($AC$36=MAX($AC$36:$AC$40),D36,IF($AC$37=MAX($AC$36:$AC$40),D37,IF($AC$38=MAX($AC$36:$AC$40),D38,IF($AC$39=MAX($AC$36:$AC$40),D39,D40))))</f>
        <v>0</v>
      </c>
      <c r="E42" s="567">
        <f t="shared" si="18"/>
        <v>0</v>
      </c>
      <c r="F42" s="568">
        <f t="shared" si="18"/>
        <v>0</v>
      </c>
      <c r="G42" s="569">
        <f t="shared" si="18"/>
        <v>0</v>
      </c>
      <c r="H42" s="566">
        <f t="shared" si="18"/>
        <v>0</v>
      </c>
      <c r="I42" s="567">
        <f t="shared" si="18"/>
        <v>0</v>
      </c>
      <c r="J42" s="568">
        <f t="shared" si="18"/>
        <v>0</v>
      </c>
      <c r="K42" s="569">
        <f t="shared" si="18"/>
        <v>0</v>
      </c>
      <c r="L42" s="566">
        <f t="shared" si="18"/>
        <v>0</v>
      </c>
      <c r="M42" s="567">
        <f t="shared" si="18"/>
        <v>0</v>
      </c>
      <c r="N42" s="568">
        <f t="shared" si="18"/>
        <v>0</v>
      </c>
      <c r="O42" s="569">
        <f t="shared" si="18"/>
        <v>0</v>
      </c>
      <c r="P42" s="566">
        <f t="shared" si="18"/>
        <v>0</v>
      </c>
      <c r="Q42" s="567">
        <f t="shared" si="18"/>
        <v>0</v>
      </c>
      <c r="R42" s="570">
        <f t="shared" si="18"/>
        <v>0</v>
      </c>
      <c r="S42" s="569">
        <f t="shared" si="18"/>
        <v>0</v>
      </c>
      <c r="T42" s="566">
        <f t="shared" si="18"/>
        <v>0</v>
      </c>
      <c r="U42" s="567">
        <f t="shared" si="18"/>
        <v>0</v>
      </c>
      <c r="V42" s="568">
        <f t="shared" si="18"/>
        <v>0</v>
      </c>
      <c r="W42" s="569">
        <f t="shared" si="18"/>
        <v>0</v>
      </c>
      <c r="X42" s="566">
        <f t="shared" si="18"/>
        <v>0</v>
      </c>
      <c r="Y42" s="567">
        <f t="shared" si="18"/>
        <v>0</v>
      </c>
      <c r="Z42" s="570">
        <f t="shared" si="18"/>
        <v>0</v>
      </c>
      <c r="AA42" s="929" t="str">
        <f>A42</f>
        <v>de 6:30 à 7:30</v>
      </c>
      <c r="AB42" s="930"/>
      <c r="AC42" s="571">
        <f t="shared" si="6"/>
        <v>0</v>
      </c>
      <c r="AD42" s="572">
        <f t="shared" si="9"/>
        <v>0</v>
      </c>
      <c r="AE42" s="572">
        <f t="shared" si="10"/>
        <v>0</v>
      </c>
      <c r="AF42" s="572">
        <f t="shared" si="11"/>
        <v>0</v>
      </c>
      <c r="AG42" s="572">
        <f t="shared" si="7"/>
        <v>0</v>
      </c>
      <c r="AH42" s="572">
        <f t="shared" si="12"/>
        <v>0</v>
      </c>
      <c r="AI42" s="572">
        <f t="shared" si="13"/>
        <v>0</v>
      </c>
      <c r="AJ42" s="931"/>
      <c r="AK42" s="932"/>
      <c r="AL42" s="932"/>
      <c r="AM42" s="933"/>
    </row>
    <row r="43" spans="1:39" ht="12.75" customHeight="1" thickTop="1" thickBot="1">
      <c r="A43" s="573"/>
      <c r="B43" s="574"/>
      <c r="C43" s="574"/>
      <c r="D43" s="574"/>
      <c r="E43" s="574"/>
      <c r="F43" s="574"/>
      <c r="G43" s="574"/>
      <c r="H43" s="574"/>
      <c r="I43" s="574"/>
      <c r="J43" s="574"/>
      <c r="K43" s="574"/>
      <c r="L43" s="574"/>
      <c r="M43" s="574"/>
      <c r="N43" s="574"/>
      <c r="O43" s="574"/>
      <c r="P43" s="574"/>
      <c r="Q43" s="574"/>
      <c r="R43" s="574"/>
      <c r="S43" s="573"/>
      <c r="T43" s="574"/>
      <c r="U43" s="574"/>
      <c r="V43" s="574"/>
      <c r="W43" s="574"/>
      <c r="X43" s="574"/>
      <c r="Y43" s="574"/>
      <c r="Z43" s="574"/>
      <c r="AA43" s="575"/>
      <c r="AB43" s="575"/>
      <c r="AC43" s="574"/>
      <c r="AD43" s="574"/>
      <c r="AE43" s="573"/>
      <c r="AF43" s="574"/>
      <c r="AG43" s="574"/>
      <c r="AH43" s="574"/>
      <c r="AI43" s="574"/>
      <c r="AJ43" s="576"/>
      <c r="AK43" s="575"/>
      <c r="AL43" s="577"/>
      <c r="AM43" s="577"/>
    </row>
    <row r="44" spans="1:39" ht="32.25" customHeight="1" thickTop="1">
      <c r="A44" s="578"/>
      <c r="B44" s="576"/>
      <c r="C44" s="579"/>
      <c r="D44" s="579"/>
      <c r="E44" s="579"/>
      <c r="F44" s="579"/>
      <c r="G44" s="579"/>
      <c r="H44" s="579"/>
      <c r="I44" s="579"/>
      <c r="J44" s="579"/>
      <c r="K44" s="579"/>
      <c r="L44" s="579"/>
      <c r="M44" s="579"/>
      <c r="N44" s="579"/>
      <c r="O44" s="579"/>
      <c r="P44" s="579"/>
      <c r="Q44" s="579"/>
      <c r="R44" s="579"/>
      <c r="S44" s="579"/>
      <c r="T44" s="579"/>
      <c r="U44" s="579"/>
      <c r="V44" s="579"/>
      <c r="W44" s="579"/>
      <c r="X44" s="579"/>
      <c r="Y44" s="579"/>
      <c r="Z44" s="579"/>
      <c r="AA44" s="578"/>
      <c r="AB44" s="576"/>
      <c r="AC44" s="580"/>
      <c r="AD44" s="917" t="s">
        <v>115</v>
      </c>
      <c r="AE44" s="917" t="s">
        <v>116</v>
      </c>
      <c r="AF44" s="917" t="s">
        <v>117</v>
      </c>
      <c r="AG44" s="917" t="s">
        <v>19</v>
      </c>
      <c r="AH44" s="917" t="s">
        <v>20</v>
      </c>
      <c r="AI44" s="917" t="s">
        <v>83</v>
      </c>
      <c r="AJ44" s="581"/>
      <c r="AK44" s="582"/>
      <c r="AL44" s="582"/>
      <c r="AM44" s="577"/>
    </row>
    <row r="45" spans="1:39" ht="22.7" customHeight="1">
      <c r="A45" s="578"/>
      <c r="B45" s="576"/>
      <c r="C45" s="583"/>
      <c r="D45" s="583"/>
      <c r="E45" s="583"/>
      <c r="F45" s="583"/>
      <c r="G45" s="583"/>
      <c r="H45" s="583"/>
      <c r="I45" s="583"/>
      <c r="J45" s="583"/>
      <c r="K45" s="583"/>
      <c r="L45" s="583"/>
      <c r="M45" s="583"/>
      <c r="N45" s="583"/>
      <c r="O45" s="583"/>
      <c r="P45" s="583"/>
      <c r="Q45" s="583"/>
      <c r="R45" s="583"/>
      <c r="S45" s="583"/>
      <c r="T45" s="583"/>
      <c r="U45" s="583"/>
      <c r="V45" s="583"/>
      <c r="W45" s="583"/>
      <c r="X45" s="583"/>
      <c r="Y45" s="583"/>
      <c r="Z45" s="583"/>
      <c r="AA45" s="578"/>
      <c r="AB45" s="576"/>
      <c r="AC45" s="580"/>
      <c r="AD45" s="918"/>
      <c r="AE45" s="918"/>
      <c r="AF45" s="918"/>
      <c r="AG45" s="918"/>
      <c r="AH45" s="918"/>
      <c r="AI45" s="918"/>
      <c r="AJ45" s="581"/>
      <c r="AK45" s="582"/>
      <c r="AL45" s="582"/>
      <c r="AM45" s="577"/>
    </row>
    <row r="46" spans="1:39" ht="18.600000000000001" customHeight="1">
      <c r="A46" s="578"/>
      <c r="B46" s="576"/>
      <c r="C46" s="584"/>
      <c r="D46" s="584"/>
      <c r="E46" s="584"/>
      <c r="F46" s="584"/>
      <c r="G46" s="584"/>
      <c r="H46" s="584"/>
      <c r="I46" s="584"/>
      <c r="J46" s="584"/>
      <c r="K46" s="584"/>
      <c r="L46" s="584"/>
      <c r="M46" s="584"/>
      <c r="N46" s="584"/>
      <c r="O46" s="584"/>
      <c r="P46" s="584"/>
      <c r="Q46" s="584"/>
      <c r="R46" s="584"/>
      <c r="S46" s="584"/>
      <c r="T46" s="584"/>
      <c r="U46" s="584"/>
      <c r="V46" s="584"/>
      <c r="W46" s="584"/>
      <c r="X46" s="584"/>
      <c r="Y46" s="584"/>
      <c r="Z46" s="584"/>
      <c r="AA46" s="578"/>
      <c r="AB46" s="576"/>
      <c r="AC46" s="580"/>
      <c r="AD46" s="918"/>
      <c r="AE46" s="918"/>
      <c r="AF46" s="918"/>
      <c r="AG46" s="918"/>
      <c r="AH46" s="918"/>
      <c r="AI46" s="918"/>
      <c r="AJ46" s="581"/>
      <c r="AK46" s="582"/>
      <c r="AL46" s="582"/>
      <c r="AM46" s="577"/>
    </row>
    <row r="47" spans="1:39" ht="20.25">
      <c r="A47" s="585"/>
      <c r="B47" s="585"/>
      <c r="C47" s="586"/>
      <c r="D47" s="586"/>
      <c r="E47" s="586"/>
      <c r="F47" s="586"/>
      <c r="G47" s="586"/>
      <c r="H47" s="586"/>
      <c r="I47" s="586"/>
      <c r="J47" s="586"/>
      <c r="K47" s="586"/>
      <c r="L47" s="586"/>
      <c r="M47" s="586"/>
      <c r="N47" s="586"/>
      <c r="O47" s="586"/>
      <c r="P47" s="586"/>
      <c r="Q47" s="586"/>
      <c r="R47" s="586"/>
      <c r="S47" s="586"/>
      <c r="T47" s="586"/>
      <c r="U47" s="586"/>
      <c r="V47" s="586"/>
      <c r="W47" s="586"/>
      <c r="X47" s="586"/>
      <c r="Y47" s="586"/>
      <c r="Z47" s="586"/>
      <c r="AA47" s="585"/>
      <c r="AB47" s="585"/>
      <c r="AC47" s="580"/>
      <c r="AD47" s="919"/>
      <c r="AE47" s="919"/>
      <c r="AF47" s="919"/>
      <c r="AG47" s="919"/>
      <c r="AH47" s="919"/>
      <c r="AI47" s="919"/>
      <c r="AJ47" s="581"/>
      <c r="AK47" s="582"/>
      <c r="AL47" s="582"/>
      <c r="AM47" s="577"/>
    </row>
    <row r="48" spans="1:39" ht="54.95" customHeight="1">
      <c r="A48" s="585"/>
      <c r="B48" s="585"/>
      <c r="C48" s="587"/>
      <c r="D48" s="587"/>
      <c r="E48" s="587"/>
      <c r="F48" s="587"/>
      <c r="G48" s="587"/>
      <c r="H48" s="587"/>
      <c r="I48" s="587"/>
      <c r="J48" s="587"/>
      <c r="K48" s="587"/>
      <c r="L48" s="587"/>
      <c r="M48" s="587"/>
      <c r="N48" s="587"/>
      <c r="O48" s="587"/>
      <c r="P48" s="587"/>
      <c r="Q48" s="587"/>
      <c r="R48" s="587"/>
      <c r="S48" s="587"/>
      <c r="T48" s="587"/>
      <c r="U48" s="587"/>
      <c r="V48" s="587"/>
      <c r="W48" s="587"/>
      <c r="X48" s="587"/>
      <c r="Y48" s="587"/>
      <c r="Z48" s="587"/>
      <c r="AA48" s="585"/>
      <c r="AB48" s="585"/>
      <c r="AC48" s="588"/>
      <c r="AD48" s="589">
        <f>(C36+E36+G36+I36+K36+M36+O36+Q36+S36+U36+W36+Y36)</f>
        <v>0</v>
      </c>
      <c r="AE48" s="589">
        <f>(E36+F36+I36+J36+M36+N36+Q36+R36+U36+V36+Y36+Z36)</f>
        <v>0</v>
      </c>
      <c r="AF48" s="589">
        <f>(E36+I36+M36+Q36+U36+Y36)</f>
        <v>0</v>
      </c>
      <c r="AG48" s="589">
        <f>SUM(G36:J36,O36:R36)</f>
        <v>0</v>
      </c>
      <c r="AH48" s="589">
        <f>SUM(K36:R36)</f>
        <v>0</v>
      </c>
      <c r="AI48" s="589">
        <f>SUM(C36:J36)</f>
        <v>0</v>
      </c>
      <c r="AJ48" s="590"/>
      <c r="AK48" s="591"/>
      <c r="AL48" s="591"/>
      <c r="AM48" s="577"/>
    </row>
    <row r="49" spans="1:43" ht="54.95" customHeight="1">
      <c r="A49" s="585"/>
      <c r="B49" s="585"/>
      <c r="C49" s="587"/>
      <c r="D49" s="587"/>
      <c r="E49" s="587"/>
      <c r="F49" s="587"/>
      <c r="G49" s="587"/>
      <c r="H49" s="587"/>
      <c r="I49" s="587"/>
      <c r="J49" s="587"/>
      <c r="K49" s="587"/>
      <c r="L49" s="587"/>
      <c r="M49" s="587"/>
      <c r="N49" s="587"/>
      <c r="O49" s="587"/>
      <c r="P49" s="587"/>
      <c r="Q49" s="587"/>
      <c r="R49" s="587"/>
      <c r="S49" s="587"/>
      <c r="T49" s="587"/>
      <c r="U49" s="587"/>
      <c r="V49" s="587"/>
      <c r="W49" s="587"/>
      <c r="X49" s="587"/>
      <c r="Y49" s="587"/>
      <c r="Z49" s="587"/>
      <c r="AA49" s="585"/>
      <c r="AB49" s="585"/>
      <c r="AC49" s="588"/>
      <c r="AD49" s="592">
        <f t="shared" ref="AD49:AD54" si="19">(C37+E37+G37+I37+K37+M37+O37+Q37+S37+U37+W37+Y37)</f>
        <v>0</v>
      </c>
      <c r="AE49" s="592">
        <f t="shared" ref="AE49:AE54" si="20">(E37+F37+I37+J37+M37+N37+Q37+R37+U37+V37+Y37+Z37)</f>
        <v>0</v>
      </c>
      <c r="AF49" s="592">
        <f t="shared" ref="AF49:AF54" si="21">(E37+I37+M37+Q37+U37+Y37)</f>
        <v>0</v>
      </c>
      <c r="AG49" s="592">
        <f t="shared" ref="AG49:AG54" si="22">SUM(G37:J37,O37:R37)</f>
        <v>0</v>
      </c>
      <c r="AH49" s="592">
        <f t="shared" ref="AH49:AH54" si="23">SUM(K37:R37)</f>
        <v>0</v>
      </c>
      <c r="AI49" s="592">
        <f t="shared" ref="AI49:AI54" si="24">SUM(C37:J37)</f>
        <v>0</v>
      </c>
      <c r="AJ49" s="590"/>
      <c r="AK49" s="591"/>
      <c r="AL49" s="591"/>
      <c r="AM49" s="577"/>
    </row>
    <row r="50" spans="1:43" ht="54.95" customHeight="1">
      <c r="A50" s="585"/>
      <c r="B50" s="585"/>
      <c r="C50" s="587"/>
      <c r="D50" s="587"/>
      <c r="E50" s="587"/>
      <c r="F50" s="587"/>
      <c r="G50" s="587"/>
      <c r="H50" s="587"/>
      <c r="I50" s="587"/>
      <c r="J50" s="587"/>
      <c r="K50" s="587"/>
      <c r="L50" s="587"/>
      <c r="M50" s="587"/>
      <c r="N50" s="587"/>
      <c r="O50" s="587"/>
      <c r="P50" s="587"/>
      <c r="Q50" s="587"/>
      <c r="R50" s="587"/>
      <c r="S50" s="587"/>
      <c r="T50" s="587"/>
      <c r="U50" s="587"/>
      <c r="V50" s="587"/>
      <c r="W50" s="587"/>
      <c r="X50" s="587"/>
      <c r="Y50" s="587"/>
      <c r="Z50" s="587"/>
      <c r="AA50" s="585"/>
      <c r="AB50" s="585"/>
      <c r="AC50" s="588"/>
      <c r="AD50" s="592">
        <f t="shared" si="19"/>
        <v>0</v>
      </c>
      <c r="AE50" s="592">
        <f t="shared" si="20"/>
        <v>0</v>
      </c>
      <c r="AF50" s="592">
        <f t="shared" si="21"/>
        <v>0</v>
      </c>
      <c r="AG50" s="592">
        <f t="shared" si="22"/>
        <v>0</v>
      </c>
      <c r="AH50" s="592">
        <f t="shared" si="23"/>
        <v>0</v>
      </c>
      <c r="AI50" s="592">
        <f t="shared" si="24"/>
        <v>0</v>
      </c>
      <c r="AJ50" s="590"/>
      <c r="AK50" s="591"/>
      <c r="AL50" s="591"/>
      <c r="AM50" s="577"/>
    </row>
    <row r="51" spans="1:43" ht="54.95" customHeight="1">
      <c r="A51" s="585"/>
      <c r="B51" s="585"/>
      <c r="C51" s="587"/>
      <c r="D51" s="587"/>
      <c r="E51" s="587"/>
      <c r="F51" s="587"/>
      <c r="G51" s="587"/>
      <c r="H51" s="587"/>
      <c r="I51" s="587"/>
      <c r="J51" s="587"/>
      <c r="K51" s="587"/>
      <c r="L51" s="587"/>
      <c r="M51" s="587"/>
      <c r="N51" s="587"/>
      <c r="O51" s="587"/>
      <c r="P51" s="587"/>
      <c r="Q51" s="587"/>
      <c r="R51" s="587"/>
      <c r="S51" s="587"/>
      <c r="T51" s="587"/>
      <c r="U51" s="587"/>
      <c r="V51" s="587"/>
      <c r="W51" s="587"/>
      <c r="X51" s="587"/>
      <c r="Y51" s="587"/>
      <c r="Z51" s="587"/>
      <c r="AA51" s="585"/>
      <c r="AB51" s="585"/>
      <c r="AC51" s="588"/>
      <c r="AD51" s="592">
        <f t="shared" si="19"/>
        <v>0</v>
      </c>
      <c r="AE51" s="592">
        <f t="shared" si="20"/>
        <v>0</v>
      </c>
      <c r="AF51" s="592">
        <f t="shared" si="21"/>
        <v>0</v>
      </c>
      <c r="AG51" s="592">
        <f t="shared" si="22"/>
        <v>0</v>
      </c>
      <c r="AH51" s="592">
        <f t="shared" si="23"/>
        <v>0</v>
      </c>
      <c r="AI51" s="592">
        <f t="shared" si="24"/>
        <v>0</v>
      </c>
      <c r="AJ51" s="590"/>
      <c r="AK51" s="591"/>
      <c r="AL51" s="591"/>
      <c r="AM51" s="577"/>
    </row>
    <row r="52" spans="1:43" ht="54.95" customHeight="1">
      <c r="A52" s="585"/>
      <c r="B52" s="585"/>
      <c r="C52" s="587"/>
      <c r="D52" s="587"/>
      <c r="E52" s="587"/>
      <c r="F52" s="587"/>
      <c r="G52" s="587"/>
      <c r="H52" s="587"/>
      <c r="I52" s="587"/>
      <c r="J52" s="587"/>
      <c r="K52" s="587"/>
      <c r="L52" s="587"/>
      <c r="M52" s="587"/>
      <c r="N52" s="587"/>
      <c r="O52" s="587"/>
      <c r="P52" s="587"/>
      <c r="Q52" s="587"/>
      <c r="R52" s="587"/>
      <c r="S52" s="587"/>
      <c r="T52" s="587"/>
      <c r="U52" s="587"/>
      <c r="V52" s="587"/>
      <c r="W52" s="587"/>
      <c r="X52" s="587"/>
      <c r="Y52" s="587"/>
      <c r="Z52" s="587"/>
      <c r="AA52" s="585"/>
      <c r="AB52" s="585"/>
      <c r="AC52" s="588"/>
      <c r="AD52" s="593">
        <f t="shared" si="19"/>
        <v>0</v>
      </c>
      <c r="AE52" s="593">
        <f t="shared" si="20"/>
        <v>0</v>
      </c>
      <c r="AF52" s="593">
        <f t="shared" si="21"/>
        <v>0</v>
      </c>
      <c r="AG52" s="593">
        <f t="shared" si="22"/>
        <v>0</v>
      </c>
      <c r="AH52" s="593">
        <f t="shared" si="23"/>
        <v>0</v>
      </c>
      <c r="AI52" s="593">
        <f t="shared" si="24"/>
        <v>0</v>
      </c>
      <c r="AJ52" s="590"/>
      <c r="AK52" s="591"/>
      <c r="AL52" s="591"/>
      <c r="AM52" s="577"/>
    </row>
    <row r="53" spans="1:43" ht="54.95" customHeight="1">
      <c r="A53" s="585"/>
      <c r="B53" s="585"/>
      <c r="C53" s="587"/>
      <c r="D53" s="587"/>
      <c r="E53" s="587"/>
      <c r="F53" s="587"/>
      <c r="G53" s="587"/>
      <c r="H53" s="587"/>
      <c r="I53" s="587"/>
      <c r="J53" s="587"/>
      <c r="K53" s="587"/>
      <c r="L53" s="587"/>
      <c r="M53" s="587"/>
      <c r="N53" s="587"/>
      <c r="O53" s="587"/>
      <c r="P53" s="587"/>
      <c r="Q53" s="587"/>
      <c r="R53" s="587"/>
      <c r="S53" s="587"/>
      <c r="T53" s="587"/>
      <c r="U53" s="587"/>
      <c r="V53" s="587"/>
      <c r="W53" s="587"/>
      <c r="X53" s="587"/>
      <c r="Y53" s="587"/>
      <c r="Z53" s="587"/>
      <c r="AA53" s="585"/>
      <c r="AB53" s="585"/>
      <c r="AC53" s="588"/>
      <c r="AD53" s="594">
        <f t="shared" si="19"/>
        <v>0</v>
      </c>
      <c r="AE53" s="594">
        <f t="shared" si="20"/>
        <v>0</v>
      </c>
      <c r="AF53" s="594">
        <f t="shared" si="21"/>
        <v>0</v>
      </c>
      <c r="AG53" s="594">
        <f t="shared" si="22"/>
        <v>0</v>
      </c>
      <c r="AH53" s="594">
        <f t="shared" si="23"/>
        <v>0</v>
      </c>
      <c r="AI53" s="594">
        <f t="shared" si="24"/>
        <v>0</v>
      </c>
      <c r="AJ53" s="590"/>
      <c r="AK53" s="591"/>
      <c r="AL53" s="591"/>
      <c r="AM53" s="577"/>
    </row>
    <row r="54" spans="1:43" ht="54.95" customHeight="1" thickBot="1">
      <c r="A54" s="585"/>
      <c r="B54" s="585"/>
      <c r="C54" s="587"/>
      <c r="D54" s="587"/>
      <c r="E54" s="587"/>
      <c r="F54" s="587"/>
      <c r="G54" s="587"/>
      <c r="H54" s="587"/>
      <c r="I54" s="587"/>
      <c r="J54" s="587"/>
      <c r="K54" s="587"/>
      <c r="L54" s="587"/>
      <c r="M54" s="587"/>
      <c r="N54" s="587"/>
      <c r="O54" s="587"/>
      <c r="P54" s="587"/>
      <c r="Q54" s="587"/>
      <c r="R54" s="587"/>
      <c r="S54" s="587"/>
      <c r="T54" s="587"/>
      <c r="U54" s="587"/>
      <c r="V54" s="587"/>
      <c r="W54" s="587"/>
      <c r="X54" s="587"/>
      <c r="Y54" s="587"/>
      <c r="Z54" s="587"/>
      <c r="AA54" s="585"/>
      <c r="AB54" s="585"/>
      <c r="AC54" s="588"/>
      <c r="AD54" s="595">
        <f t="shared" si="19"/>
        <v>0</v>
      </c>
      <c r="AE54" s="595">
        <f t="shared" si="20"/>
        <v>0</v>
      </c>
      <c r="AF54" s="595">
        <f t="shared" si="21"/>
        <v>0</v>
      </c>
      <c r="AG54" s="595">
        <f t="shared" si="22"/>
        <v>0</v>
      </c>
      <c r="AH54" s="595">
        <f t="shared" si="23"/>
        <v>0</v>
      </c>
      <c r="AI54" s="595">
        <f t="shared" si="24"/>
        <v>0</v>
      </c>
      <c r="AJ54" s="590"/>
      <c r="AK54" s="591"/>
      <c r="AL54" s="591"/>
      <c r="AM54" s="577"/>
    </row>
    <row r="55" spans="1:43" s="187" customFormat="1" ht="24" thickTop="1">
      <c r="A55" s="596"/>
      <c r="B55" s="596"/>
      <c r="C55" s="597"/>
      <c r="D55" s="597"/>
      <c r="E55" s="597"/>
      <c r="F55" s="597"/>
      <c r="G55" s="597"/>
      <c r="H55" s="597"/>
      <c r="I55" s="597"/>
      <c r="J55" s="597"/>
      <c r="K55" s="597"/>
      <c r="L55" s="597"/>
      <c r="M55" s="597"/>
      <c r="N55" s="597"/>
      <c r="O55" s="597"/>
      <c r="P55" s="597"/>
      <c r="Q55" s="597"/>
      <c r="R55" s="597"/>
      <c r="S55" s="597"/>
      <c r="T55" s="597"/>
      <c r="U55" s="597"/>
      <c r="V55" s="597"/>
      <c r="W55" s="597"/>
      <c r="X55" s="597"/>
      <c r="Y55" s="597"/>
      <c r="Z55" s="597"/>
      <c r="AA55" s="596"/>
      <c r="AB55" s="596"/>
      <c r="AC55" s="598"/>
      <c r="AD55" s="599"/>
      <c r="AE55" s="600"/>
      <c r="AF55" s="599"/>
      <c r="AG55" s="599"/>
      <c r="AH55" s="289"/>
      <c r="AI55" s="289"/>
      <c r="AJ55" s="289"/>
      <c r="AK55" s="289"/>
    </row>
    <row r="56" spans="1:43" s="187" customFormat="1" ht="20.25">
      <c r="A56" s="288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8"/>
      <c r="T56" s="289"/>
      <c r="U56" s="289"/>
      <c r="V56" s="289"/>
      <c r="W56" s="289"/>
      <c r="X56" s="289"/>
      <c r="Y56" s="289"/>
      <c r="Z56" s="289"/>
      <c r="AA56" s="289"/>
      <c r="AB56" s="289"/>
      <c r="AC56" s="289"/>
      <c r="AD56" s="289"/>
      <c r="AE56" s="288"/>
      <c r="AF56" s="289"/>
      <c r="AG56" s="289"/>
      <c r="AH56" s="289"/>
      <c r="AI56" s="289"/>
      <c r="AJ56" s="289"/>
      <c r="AK56" s="289"/>
    </row>
    <row r="57" spans="1:43" ht="20.25">
      <c r="A57" s="190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90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90"/>
      <c r="AF57" s="189"/>
      <c r="AG57" s="189"/>
      <c r="AH57" s="189"/>
      <c r="AI57" s="189"/>
      <c r="AJ57" s="189"/>
      <c r="AK57" s="189"/>
    </row>
    <row r="58" spans="1:43" ht="20.25">
      <c r="A58" s="190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90"/>
      <c r="AD58" s="189"/>
      <c r="AE58" s="189"/>
      <c r="AF58" s="189"/>
      <c r="AG58" s="189"/>
      <c r="AH58" s="189"/>
      <c r="AI58" s="189"/>
      <c r="AJ58" s="189"/>
      <c r="AK58" s="189"/>
      <c r="AL58" s="190"/>
      <c r="AM58" s="189"/>
      <c r="AN58" s="189"/>
      <c r="AO58" s="189"/>
      <c r="AP58" s="189"/>
      <c r="AQ58" s="189"/>
    </row>
    <row r="59" spans="1:43" ht="20.25">
      <c r="A59" s="190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90"/>
      <c r="AD59" s="189"/>
      <c r="AE59" s="189"/>
      <c r="AF59" s="189"/>
      <c r="AG59" s="189"/>
      <c r="AH59" s="189"/>
      <c r="AI59" s="189"/>
      <c r="AJ59" s="189"/>
      <c r="AK59" s="189"/>
      <c r="AL59" s="190"/>
      <c r="AM59" s="189"/>
      <c r="AN59" s="189"/>
      <c r="AO59" s="189"/>
      <c r="AP59" s="189"/>
      <c r="AQ59" s="189"/>
    </row>
    <row r="60" spans="1:43" ht="20.25">
      <c r="A60" s="190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90"/>
      <c r="AD60" s="189"/>
      <c r="AE60" s="189"/>
      <c r="AF60" s="189"/>
      <c r="AG60" s="189"/>
      <c r="AH60" s="189"/>
      <c r="AI60" s="189"/>
      <c r="AJ60" s="189"/>
      <c r="AK60" s="189"/>
      <c r="AL60" s="190"/>
      <c r="AM60" s="189"/>
      <c r="AN60" s="189"/>
      <c r="AO60" s="189"/>
      <c r="AP60" s="189"/>
      <c r="AQ60" s="189"/>
    </row>
    <row r="61" spans="1:43" ht="20.25">
      <c r="A61" s="190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90"/>
      <c r="AD61" s="189"/>
      <c r="AE61" s="189"/>
      <c r="AF61" s="189"/>
      <c r="AG61" s="189"/>
      <c r="AH61" s="189"/>
      <c r="AI61" s="189"/>
      <c r="AJ61" s="189"/>
      <c r="AK61" s="189"/>
      <c r="AL61" s="190"/>
      <c r="AM61" s="189"/>
      <c r="AN61" s="189"/>
      <c r="AO61" s="189"/>
      <c r="AP61" s="189"/>
      <c r="AQ61" s="189"/>
    </row>
    <row r="62" spans="1:43" ht="20.25">
      <c r="A62" s="190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90"/>
      <c r="AD62" s="189"/>
      <c r="AE62" s="189"/>
      <c r="AF62" s="189"/>
      <c r="AG62" s="189"/>
      <c r="AH62" s="189"/>
      <c r="AI62" s="189"/>
      <c r="AJ62" s="189"/>
      <c r="AK62" s="189"/>
      <c r="AL62" s="190"/>
      <c r="AM62" s="189"/>
      <c r="AN62" s="189"/>
      <c r="AO62" s="189"/>
      <c r="AP62" s="189"/>
      <c r="AQ62" s="189"/>
    </row>
    <row r="63" spans="1:43" ht="20.25">
      <c r="A63" s="190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90"/>
      <c r="AD63" s="189"/>
      <c r="AE63" s="189"/>
      <c r="AF63" s="189"/>
      <c r="AG63" s="189"/>
      <c r="AH63" s="189"/>
      <c r="AI63" s="189"/>
      <c r="AJ63" s="189"/>
      <c r="AK63" s="189"/>
      <c r="AL63" s="190"/>
      <c r="AM63" s="189"/>
      <c r="AN63" s="189"/>
      <c r="AO63" s="189"/>
      <c r="AP63" s="189"/>
      <c r="AQ63" s="189"/>
    </row>
    <row r="64" spans="1:43" ht="20.25">
      <c r="F64" s="189"/>
      <c r="G64" s="189"/>
      <c r="H64" s="189"/>
      <c r="I64" s="189"/>
      <c r="J64" s="189"/>
      <c r="K64" s="189"/>
      <c r="L64" s="189"/>
      <c r="M64" s="189"/>
      <c r="S64" s="189"/>
      <c r="T64" s="189"/>
      <c r="U64" s="189"/>
    </row>
    <row r="65" spans="6:21" ht="20.25">
      <c r="F65" s="189"/>
      <c r="G65" s="189"/>
      <c r="H65" s="189"/>
      <c r="I65" s="189"/>
      <c r="J65" s="189"/>
      <c r="K65" s="189"/>
      <c r="L65" s="189"/>
      <c r="M65" s="189"/>
      <c r="S65" s="189"/>
      <c r="T65" s="189"/>
      <c r="U65" s="189"/>
    </row>
  </sheetData>
  <mergeCells count="79">
    <mergeCell ref="AI44:AI47"/>
    <mergeCell ref="A41:B41"/>
    <mergeCell ref="AA41:AB41"/>
    <mergeCell ref="AJ41:AM41"/>
    <mergeCell ref="A42:B42"/>
    <mergeCell ref="AA42:AB42"/>
    <mergeCell ref="AJ42:AM42"/>
    <mergeCell ref="AD44:AD47"/>
    <mergeCell ref="AE44:AE47"/>
    <mergeCell ref="AF44:AF47"/>
    <mergeCell ref="AG44:AG47"/>
    <mergeCell ref="AH44:AH47"/>
    <mergeCell ref="A39:B39"/>
    <mergeCell ref="AA39:AB39"/>
    <mergeCell ref="AJ39:AM39"/>
    <mergeCell ref="A40:B40"/>
    <mergeCell ref="AA40:AB40"/>
    <mergeCell ref="AJ40:AM40"/>
    <mergeCell ref="AJ36:AM36"/>
    <mergeCell ref="A37:B37"/>
    <mergeCell ref="AA37:AB37"/>
    <mergeCell ref="AJ37:AM37"/>
    <mergeCell ref="A38:B38"/>
    <mergeCell ref="AA38:AB38"/>
    <mergeCell ref="AJ38:AM38"/>
    <mergeCell ref="A36:B36"/>
    <mergeCell ref="AA36:AB36"/>
    <mergeCell ref="W34:X34"/>
    <mergeCell ref="Y34:Z34"/>
    <mergeCell ref="A35:B35"/>
    <mergeCell ref="AA35:AB35"/>
    <mergeCell ref="I34:J34"/>
    <mergeCell ref="K34:L34"/>
    <mergeCell ref="M34:N34"/>
    <mergeCell ref="O34:P34"/>
    <mergeCell ref="Q34:R34"/>
    <mergeCell ref="S34:T34"/>
    <mergeCell ref="AF32:AF35"/>
    <mergeCell ref="AG32:AG35"/>
    <mergeCell ref="AH32:AH35"/>
    <mergeCell ref="AI32:AI35"/>
    <mergeCell ref="AJ32:AM35"/>
    <mergeCell ref="AE32:AE35"/>
    <mergeCell ref="W33:Z33"/>
    <mergeCell ref="C34:D34"/>
    <mergeCell ref="E34:F34"/>
    <mergeCell ref="G34:H34"/>
    <mergeCell ref="C32:J32"/>
    <mergeCell ref="K32:R32"/>
    <mergeCell ref="S32:Z32"/>
    <mergeCell ref="AC32:AC35"/>
    <mergeCell ref="AD32:AD35"/>
    <mergeCell ref="C33:F33"/>
    <mergeCell ref="G33:J33"/>
    <mergeCell ref="K33:N33"/>
    <mergeCell ref="O33:R33"/>
    <mergeCell ref="S33:V33"/>
    <mergeCell ref="U34:V34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C8:J8"/>
    <mergeCell ref="K8:R8"/>
    <mergeCell ref="S8:Z8"/>
    <mergeCell ref="C9:F9"/>
    <mergeCell ref="G9:J9"/>
    <mergeCell ref="K9:N9"/>
    <mergeCell ref="O9:R9"/>
    <mergeCell ref="S9:V9"/>
    <mergeCell ref="W9:Z9"/>
  </mergeCells>
  <pageMargins left="0.39370078740157483" right="0.39370078740157483" top="0.39370078740157483" bottom="0.39370078740157483" header="0.59055118110236227" footer="0.59055118110236227"/>
  <pageSetup paperSize="9" scale="41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Q79"/>
  <sheetViews>
    <sheetView view="pageBreakPreview" zoomScale="50" zoomScaleNormal="55" zoomScaleSheetLayoutView="50" workbookViewId="0">
      <selection activeCell="H13" sqref="H13"/>
    </sheetView>
  </sheetViews>
  <sheetFormatPr baseColWidth="10" defaultRowHeight="14.25"/>
  <cols>
    <col min="1" max="1" width="9.125" style="169" customWidth="1"/>
    <col min="2" max="2" width="13.75" style="169" customWidth="1"/>
    <col min="3" max="26" width="10.875" style="169" customWidth="1"/>
    <col min="27" max="27" width="9.125" style="169" customWidth="1"/>
    <col min="28" max="28" width="13.75" style="169" customWidth="1"/>
    <col min="29" max="34" width="21.125" style="169" customWidth="1"/>
    <col min="35" max="35" width="123.625" style="169" customWidth="1"/>
    <col min="36" max="36" width="21.125" style="169" customWidth="1"/>
    <col min="37" max="43" width="10.625" style="169" customWidth="1"/>
    <col min="44" max="16384" width="11" style="169"/>
  </cols>
  <sheetData>
    <row r="1" spans="1:32" ht="52.5" customHeight="1" thickBot="1">
      <c r="A1" s="500" t="s">
        <v>89</v>
      </c>
      <c r="B1" s="168" t="s">
        <v>132</v>
      </c>
      <c r="C1" s="501"/>
      <c r="D1" s="501"/>
      <c r="E1" s="501"/>
      <c r="F1" s="502"/>
      <c r="G1" s="502"/>
      <c r="H1" s="501"/>
      <c r="I1" s="501"/>
      <c r="J1" s="502"/>
      <c r="K1" s="502"/>
      <c r="L1" s="503"/>
      <c r="M1" s="504" t="s">
        <v>30</v>
      </c>
      <c r="N1" s="443" t="s">
        <v>141</v>
      </c>
      <c r="O1" s="501"/>
      <c r="P1" s="501"/>
      <c r="Q1" s="501"/>
      <c r="R1" s="501"/>
      <c r="S1" s="501"/>
      <c r="T1" s="501"/>
      <c r="U1" s="501"/>
      <c r="V1" s="505"/>
      <c r="W1" s="506"/>
      <c r="X1" s="506"/>
      <c r="Y1" s="506"/>
      <c r="Z1" s="507"/>
    </row>
    <row r="2" spans="1:32" ht="52.5" customHeight="1" thickBot="1">
      <c r="A2" s="508" t="s">
        <v>2</v>
      </c>
      <c r="B2" s="509"/>
      <c r="C2" s="509"/>
      <c r="D2" s="509"/>
      <c r="E2" s="509"/>
      <c r="F2" s="509"/>
      <c r="G2" s="168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5"/>
      <c r="W2" s="509"/>
      <c r="X2" s="509"/>
      <c r="Y2" s="509"/>
      <c r="Z2" s="509"/>
    </row>
    <row r="3" spans="1:32" ht="52.5" customHeight="1" thickBot="1">
      <c r="A3" s="508" t="s">
        <v>3</v>
      </c>
      <c r="B3" s="509"/>
      <c r="C3" s="168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5"/>
      <c r="W3" s="509"/>
      <c r="X3" s="509"/>
      <c r="Y3" s="509"/>
      <c r="Z3" s="510"/>
    </row>
    <row r="4" spans="1:32" ht="52.5" customHeight="1" thickBot="1">
      <c r="A4" s="508" t="s">
        <v>27</v>
      </c>
      <c r="B4" s="509"/>
      <c r="C4" s="168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  <c r="P4" s="501"/>
      <c r="Q4" s="501"/>
      <c r="R4" s="501"/>
      <c r="S4" s="501"/>
      <c r="T4" s="501"/>
      <c r="U4" s="501"/>
      <c r="V4" s="505"/>
      <c r="W4" s="509"/>
      <c r="X4" s="509"/>
      <c r="Y4" s="509"/>
      <c r="Z4" s="510"/>
    </row>
    <row r="5" spans="1:32" ht="25.5" customHeight="1">
      <c r="A5" s="508" t="s">
        <v>71</v>
      </c>
      <c r="B5" s="509"/>
      <c r="C5" s="509" t="s">
        <v>72</v>
      </c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10"/>
    </row>
    <row r="6" spans="1:32" ht="25.5" customHeight="1">
      <c r="A6" s="511"/>
      <c r="B6" s="509"/>
      <c r="C6" s="509" t="s">
        <v>91</v>
      </c>
      <c r="D6" s="509"/>
      <c r="E6" s="509"/>
      <c r="F6" s="509"/>
      <c r="G6" s="509"/>
      <c r="H6" s="509"/>
      <c r="I6" s="509"/>
      <c r="J6" s="509"/>
      <c r="K6" s="509"/>
      <c r="L6" s="509"/>
      <c r="M6" s="509"/>
      <c r="N6" s="509"/>
      <c r="O6" s="509"/>
      <c r="P6" s="509"/>
      <c r="Q6" s="509"/>
      <c r="R6" s="509"/>
      <c r="S6" s="509"/>
      <c r="T6" s="509"/>
      <c r="U6" s="509"/>
      <c r="V6" s="509"/>
      <c r="W6" s="509"/>
      <c r="X6" s="509"/>
      <c r="Y6" s="509"/>
      <c r="Z6" s="510"/>
    </row>
    <row r="7" spans="1:32" ht="25.5" customHeight="1" thickBot="1">
      <c r="A7" s="511"/>
      <c r="B7" s="509"/>
      <c r="C7" s="509"/>
      <c r="D7" s="509"/>
      <c r="E7" s="509"/>
      <c r="F7" s="509"/>
      <c r="G7" s="509"/>
      <c r="H7" s="509"/>
      <c r="I7" s="509"/>
      <c r="J7" s="509"/>
      <c r="K7" s="509"/>
      <c r="L7" s="509"/>
      <c r="M7" s="509"/>
      <c r="N7" s="509"/>
      <c r="O7" s="509"/>
      <c r="P7" s="509"/>
      <c r="Q7" s="509"/>
      <c r="R7" s="509"/>
      <c r="S7" s="509"/>
      <c r="T7" s="509"/>
      <c r="U7" s="509"/>
      <c r="V7" s="509"/>
      <c r="W7" s="509"/>
      <c r="X7" s="509"/>
      <c r="Y7" s="509"/>
      <c r="Z7" s="510"/>
    </row>
    <row r="8" spans="1:32" ht="32.25" customHeight="1" thickTop="1">
      <c r="A8" s="512"/>
      <c r="B8" s="513"/>
      <c r="C8" s="856" t="s">
        <v>52</v>
      </c>
      <c r="D8" s="857"/>
      <c r="E8" s="857"/>
      <c r="F8" s="857"/>
      <c r="G8" s="857"/>
      <c r="H8" s="857"/>
      <c r="I8" s="857"/>
      <c r="J8" s="857"/>
      <c r="K8" s="857"/>
      <c r="L8" s="857"/>
      <c r="M8" s="857"/>
      <c r="N8" s="857"/>
      <c r="O8" s="856" t="s">
        <v>128</v>
      </c>
      <c r="P8" s="857"/>
      <c r="Q8" s="857"/>
      <c r="R8" s="857"/>
      <c r="S8" s="857"/>
      <c r="T8" s="857"/>
      <c r="U8" s="857"/>
      <c r="V8" s="857"/>
      <c r="W8" s="857"/>
      <c r="X8" s="857"/>
      <c r="Y8" s="857"/>
      <c r="Z8" s="858"/>
      <c r="AB8" s="171"/>
      <c r="AC8" s="171"/>
      <c r="AD8" s="171"/>
      <c r="AE8" s="171"/>
      <c r="AF8" s="171"/>
    </row>
    <row r="9" spans="1:32" ht="22.7" customHeight="1">
      <c r="A9" s="512"/>
      <c r="B9" s="513"/>
      <c r="C9" s="859" t="s">
        <v>130</v>
      </c>
      <c r="D9" s="860"/>
      <c r="E9" s="860"/>
      <c r="F9" s="860"/>
      <c r="G9" s="860" t="s">
        <v>86</v>
      </c>
      <c r="H9" s="860"/>
      <c r="I9" s="860"/>
      <c r="J9" s="860"/>
      <c r="K9" s="860" t="s">
        <v>131</v>
      </c>
      <c r="L9" s="860"/>
      <c r="M9" s="860"/>
      <c r="N9" s="860"/>
      <c r="O9" s="859" t="s">
        <v>86</v>
      </c>
      <c r="P9" s="860"/>
      <c r="Q9" s="860"/>
      <c r="R9" s="860"/>
      <c r="S9" s="860" t="s">
        <v>131</v>
      </c>
      <c r="T9" s="860"/>
      <c r="U9" s="860"/>
      <c r="V9" s="860"/>
      <c r="W9" s="860" t="s">
        <v>55</v>
      </c>
      <c r="X9" s="860"/>
      <c r="Y9" s="860"/>
      <c r="Z9" s="872"/>
    </row>
    <row r="10" spans="1:32" ht="18.600000000000001" customHeight="1" thickBot="1">
      <c r="A10" s="512"/>
      <c r="B10" s="513"/>
      <c r="C10" s="934" t="s">
        <v>4</v>
      </c>
      <c r="D10" s="935"/>
      <c r="E10" s="936" t="s">
        <v>5</v>
      </c>
      <c r="F10" s="937"/>
      <c r="G10" s="937" t="s">
        <v>4</v>
      </c>
      <c r="H10" s="938"/>
      <c r="I10" s="936" t="s">
        <v>5</v>
      </c>
      <c r="J10" s="937"/>
      <c r="K10" s="937" t="s">
        <v>4</v>
      </c>
      <c r="L10" s="939"/>
      <c r="M10" s="863" t="s">
        <v>5</v>
      </c>
      <c r="N10" s="867"/>
      <c r="O10" s="934" t="s">
        <v>4</v>
      </c>
      <c r="P10" s="935"/>
      <c r="Q10" s="936" t="s">
        <v>5</v>
      </c>
      <c r="R10" s="937"/>
      <c r="S10" s="937" t="s">
        <v>4</v>
      </c>
      <c r="T10" s="938"/>
      <c r="U10" s="936" t="s">
        <v>5</v>
      </c>
      <c r="V10" s="937"/>
      <c r="W10" s="937" t="s">
        <v>4</v>
      </c>
      <c r="X10" s="939"/>
      <c r="Y10" s="863" t="s">
        <v>5</v>
      </c>
      <c r="Z10" s="864"/>
    </row>
    <row r="11" spans="1:32" ht="21" thickTop="1">
      <c r="A11" s="514" t="s">
        <v>6</v>
      </c>
      <c r="B11" s="515" t="s">
        <v>7</v>
      </c>
      <c r="C11" s="601" t="s">
        <v>8</v>
      </c>
      <c r="D11" s="602" t="s">
        <v>9</v>
      </c>
      <c r="E11" s="603" t="s">
        <v>8</v>
      </c>
      <c r="F11" s="604" t="s">
        <v>9</v>
      </c>
      <c r="G11" s="605" t="s">
        <v>8</v>
      </c>
      <c r="H11" s="606" t="s">
        <v>9</v>
      </c>
      <c r="I11" s="603" t="s">
        <v>8</v>
      </c>
      <c r="J11" s="604" t="s">
        <v>9</v>
      </c>
      <c r="K11" s="520" t="s">
        <v>8</v>
      </c>
      <c r="L11" s="517" t="s">
        <v>9</v>
      </c>
      <c r="M11" s="518" t="s">
        <v>8</v>
      </c>
      <c r="N11" s="519" t="s">
        <v>9</v>
      </c>
      <c r="O11" s="601" t="s">
        <v>8</v>
      </c>
      <c r="P11" s="602" t="s">
        <v>9</v>
      </c>
      <c r="Q11" s="603" t="s">
        <v>8</v>
      </c>
      <c r="R11" s="604" t="s">
        <v>9</v>
      </c>
      <c r="S11" s="605" t="s">
        <v>8</v>
      </c>
      <c r="T11" s="606" t="s">
        <v>9</v>
      </c>
      <c r="U11" s="603" t="s">
        <v>8</v>
      </c>
      <c r="V11" s="604" t="s">
        <v>9</v>
      </c>
      <c r="W11" s="520" t="s">
        <v>8</v>
      </c>
      <c r="X11" s="517" t="s">
        <v>9</v>
      </c>
      <c r="Y11" s="518" t="s">
        <v>8</v>
      </c>
      <c r="Z11" s="521" t="s">
        <v>9</v>
      </c>
      <c r="AA11" s="172"/>
    </row>
    <row r="12" spans="1:32" ht="54.95" customHeight="1">
      <c r="A12" s="522">
        <v>6</v>
      </c>
      <c r="B12" s="523" t="s">
        <v>25</v>
      </c>
      <c r="C12" s="607"/>
      <c r="D12" s="608"/>
      <c r="E12" s="609"/>
      <c r="F12" s="610"/>
      <c r="G12" s="611"/>
      <c r="H12" s="612"/>
      <c r="I12" s="609"/>
      <c r="J12" s="610"/>
      <c r="K12" s="613"/>
      <c r="L12" s="614"/>
      <c r="M12" s="615"/>
      <c r="N12" s="616"/>
      <c r="O12" s="607"/>
      <c r="P12" s="608"/>
      <c r="Q12" s="609"/>
      <c r="R12" s="610"/>
      <c r="S12" s="611"/>
      <c r="T12" s="612"/>
      <c r="U12" s="609"/>
      <c r="V12" s="610"/>
      <c r="W12" s="613"/>
      <c r="X12" s="614"/>
      <c r="Y12" s="615"/>
      <c r="Z12" s="617"/>
      <c r="AA12" s="179"/>
      <c r="AB12" s="179"/>
      <c r="AC12" s="179"/>
      <c r="AD12" s="179"/>
      <c r="AE12" s="179"/>
      <c r="AF12" s="179"/>
    </row>
    <row r="13" spans="1:32" ht="54.95" customHeight="1">
      <c r="A13" s="522"/>
      <c r="B13" s="523" t="s">
        <v>26</v>
      </c>
      <c r="C13" s="607"/>
      <c r="D13" s="608"/>
      <c r="E13" s="609"/>
      <c r="F13" s="610"/>
      <c r="G13" s="611"/>
      <c r="H13" s="612"/>
      <c r="I13" s="609"/>
      <c r="J13" s="610"/>
      <c r="K13" s="613"/>
      <c r="L13" s="614"/>
      <c r="M13" s="615"/>
      <c r="N13" s="616"/>
      <c r="O13" s="607"/>
      <c r="P13" s="608"/>
      <c r="Q13" s="609"/>
      <c r="R13" s="610"/>
      <c r="S13" s="611"/>
      <c r="T13" s="612"/>
      <c r="U13" s="609"/>
      <c r="V13" s="610"/>
      <c r="W13" s="613"/>
      <c r="X13" s="614"/>
      <c r="Y13" s="615"/>
      <c r="Z13" s="617"/>
      <c r="AA13" s="179"/>
      <c r="AB13" s="179"/>
      <c r="AC13" s="179"/>
      <c r="AD13" s="179"/>
      <c r="AE13" s="179"/>
      <c r="AF13" s="179"/>
    </row>
    <row r="14" spans="1:32" ht="54.95" customHeight="1">
      <c r="A14" s="522">
        <v>7</v>
      </c>
      <c r="B14" s="523" t="s">
        <v>23</v>
      </c>
      <c r="C14" s="607"/>
      <c r="D14" s="608"/>
      <c r="E14" s="609"/>
      <c r="F14" s="610"/>
      <c r="G14" s="611"/>
      <c r="H14" s="612"/>
      <c r="I14" s="609"/>
      <c r="J14" s="610"/>
      <c r="K14" s="613"/>
      <c r="L14" s="614"/>
      <c r="M14" s="615"/>
      <c r="N14" s="616"/>
      <c r="O14" s="607"/>
      <c r="P14" s="608"/>
      <c r="Q14" s="609"/>
      <c r="R14" s="610"/>
      <c r="S14" s="611"/>
      <c r="T14" s="612"/>
      <c r="U14" s="609"/>
      <c r="V14" s="610"/>
      <c r="W14" s="613"/>
      <c r="X14" s="614"/>
      <c r="Y14" s="615"/>
      <c r="Z14" s="617"/>
      <c r="AA14" s="179"/>
      <c r="AB14" s="179"/>
      <c r="AC14" s="179"/>
      <c r="AD14" s="179"/>
      <c r="AE14" s="179"/>
      <c r="AF14" s="179"/>
    </row>
    <row r="15" spans="1:32" ht="54.95" customHeight="1">
      <c r="A15" s="522"/>
      <c r="B15" s="523" t="s">
        <v>24</v>
      </c>
      <c r="C15" s="607"/>
      <c r="D15" s="608"/>
      <c r="E15" s="609"/>
      <c r="F15" s="610"/>
      <c r="G15" s="611"/>
      <c r="H15" s="612"/>
      <c r="I15" s="609"/>
      <c r="J15" s="610"/>
      <c r="K15" s="613"/>
      <c r="L15" s="614"/>
      <c r="M15" s="615"/>
      <c r="N15" s="616"/>
      <c r="O15" s="607"/>
      <c r="P15" s="608"/>
      <c r="Q15" s="609"/>
      <c r="R15" s="610"/>
      <c r="S15" s="611"/>
      <c r="T15" s="612"/>
      <c r="U15" s="609"/>
      <c r="V15" s="610"/>
      <c r="W15" s="613"/>
      <c r="X15" s="614"/>
      <c r="Y15" s="615"/>
      <c r="Z15" s="617"/>
      <c r="AA15" s="179"/>
      <c r="AB15" s="179"/>
      <c r="AC15" s="179"/>
      <c r="AD15" s="179"/>
      <c r="AE15" s="179"/>
      <c r="AF15" s="179"/>
    </row>
    <row r="16" spans="1:32" ht="54.95" hidden="1" customHeight="1">
      <c r="A16" s="522"/>
      <c r="B16" s="523" t="s">
        <v>25</v>
      </c>
      <c r="C16" s="607"/>
      <c r="D16" s="608"/>
      <c r="E16" s="609"/>
      <c r="F16" s="610"/>
      <c r="G16" s="611"/>
      <c r="H16" s="612"/>
      <c r="I16" s="609"/>
      <c r="J16" s="610"/>
      <c r="K16" s="613"/>
      <c r="L16" s="614"/>
      <c r="M16" s="615"/>
      <c r="N16" s="616"/>
      <c r="O16" s="607"/>
      <c r="P16" s="608"/>
      <c r="Q16" s="609"/>
      <c r="R16" s="610"/>
      <c r="S16" s="611"/>
      <c r="T16" s="612"/>
      <c r="U16" s="609"/>
      <c r="V16" s="610"/>
      <c r="W16" s="613"/>
      <c r="X16" s="614"/>
      <c r="Y16" s="615"/>
      <c r="Z16" s="617"/>
      <c r="AA16" s="179"/>
      <c r="AB16" s="179"/>
      <c r="AC16" s="179"/>
      <c r="AD16" s="179"/>
      <c r="AE16" s="179"/>
      <c r="AF16" s="179"/>
    </row>
    <row r="17" spans="1:32" ht="54.95" customHeight="1">
      <c r="A17" s="522"/>
      <c r="B17" s="523" t="s">
        <v>26</v>
      </c>
      <c r="C17" s="607"/>
      <c r="D17" s="608"/>
      <c r="E17" s="609"/>
      <c r="F17" s="610"/>
      <c r="G17" s="611"/>
      <c r="H17" s="612"/>
      <c r="I17" s="609"/>
      <c r="J17" s="610"/>
      <c r="K17" s="613"/>
      <c r="L17" s="614"/>
      <c r="M17" s="615"/>
      <c r="N17" s="616"/>
      <c r="O17" s="607"/>
      <c r="P17" s="608"/>
      <c r="Q17" s="609"/>
      <c r="R17" s="610"/>
      <c r="S17" s="611"/>
      <c r="T17" s="612"/>
      <c r="U17" s="609"/>
      <c r="V17" s="610"/>
      <c r="W17" s="613"/>
      <c r="X17" s="614"/>
      <c r="Y17" s="615"/>
      <c r="Z17" s="617"/>
      <c r="AA17" s="179"/>
      <c r="AB17" s="179"/>
      <c r="AC17" s="179"/>
      <c r="AD17" s="179"/>
      <c r="AE17" s="179"/>
      <c r="AF17" s="179"/>
    </row>
    <row r="18" spans="1:32" ht="54.95" customHeight="1">
      <c r="A18" s="522">
        <v>8</v>
      </c>
      <c r="B18" s="523" t="s">
        <v>23</v>
      </c>
      <c r="C18" s="607"/>
      <c r="D18" s="608"/>
      <c r="E18" s="609"/>
      <c r="F18" s="610"/>
      <c r="G18" s="611"/>
      <c r="H18" s="612"/>
      <c r="I18" s="609"/>
      <c r="J18" s="610"/>
      <c r="K18" s="613"/>
      <c r="L18" s="614"/>
      <c r="M18" s="615"/>
      <c r="N18" s="616"/>
      <c r="O18" s="607"/>
      <c r="P18" s="608"/>
      <c r="Q18" s="609"/>
      <c r="R18" s="610"/>
      <c r="S18" s="611"/>
      <c r="T18" s="612"/>
      <c r="U18" s="609"/>
      <c r="V18" s="610"/>
      <c r="W18" s="613"/>
      <c r="X18" s="614"/>
      <c r="Y18" s="615"/>
      <c r="Z18" s="617"/>
      <c r="AA18" s="179"/>
      <c r="AB18" s="179"/>
      <c r="AC18" s="179"/>
      <c r="AD18" s="179"/>
      <c r="AE18" s="179"/>
      <c r="AF18" s="179"/>
    </row>
    <row r="19" spans="1:32" ht="54.95" customHeight="1">
      <c r="A19" s="522"/>
      <c r="B19" s="523" t="s">
        <v>24</v>
      </c>
      <c r="C19" s="607"/>
      <c r="D19" s="608"/>
      <c r="E19" s="609"/>
      <c r="F19" s="610"/>
      <c r="G19" s="611"/>
      <c r="H19" s="612"/>
      <c r="I19" s="609"/>
      <c r="J19" s="610"/>
      <c r="K19" s="613"/>
      <c r="L19" s="614"/>
      <c r="M19" s="615"/>
      <c r="N19" s="616"/>
      <c r="O19" s="607"/>
      <c r="P19" s="608"/>
      <c r="Q19" s="609"/>
      <c r="R19" s="610"/>
      <c r="S19" s="611"/>
      <c r="T19" s="612"/>
      <c r="U19" s="609"/>
      <c r="V19" s="610"/>
      <c r="W19" s="613"/>
      <c r="X19" s="614"/>
      <c r="Y19" s="615"/>
      <c r="Z19" s="617"/>
      <c r="AA19" s="179"/>
      <c r="AB19" s="179"/>
      <c r="AC19" s="179"/>
      <c r="AD19" s="179"/>
      <c r="AE19" s="179"/>
      <c r="AF19" s="179"/>
    </row>
    <row r="20" spans="1:32" ht="54.95" customHeight="1">
      <c r="A20" s="522"/>
      <c r="B20" s="523" t="s">
        <v>25</v>
      </c>
      <c r="C20" s="607"/>
      <c r="D20" s="608"/>
      <c r="E20" s="609"/>
      <c r="F20" s="610"/>
      <c r="G20" s="611"/>
      <c r="H20" s="612"/>
      <c r="I20" s="609"/>
      <c r="J20" s="610"/>
      <c r="K20" s="613"/>
      <c r="L20" s="614"/>
      <c r="M20" s="615"/>
      <c r="N20" s="616"/>
      <c r="O20" s="607"/>
      <c r="P20" s="608"/>
      <c r="Q20" s="609"/>
      <c r="R20" s="610"/>
      <c r="S20" s="611"/>
      <c r="T20" s="612"/>
      <c r="U20" s="609"/>
      <c r="V20" s="610"/>
      <c r="W20" s="613"/>
      <c r="X20" s="614"/>
      <c r="Y20" s="615"/>
      <c r="Z20" s="617"/>
      <c r="AA20" s="179"/>
      <c r="AB20" s="179"/>
      <c r="AC20" s="179"/>
      <c r="AD20" s="179"/>
      <c r="AE20" s="179"/>
      <c r="AF20" s="179"/>
    </row>
    <row r="21" spans="1:32" ht="54.95" customHeight="1">
      <c r="A21" s="522"/>
      <c r="B21" s="523" t="s">
        <v>26</v>
      </c>
      <c r="C21" s="607"/>
      <c r="D21" s="608"/>
      <c r="E21" s="609"/>
      <c r="F21" s="610"/>
      <c r="G21" s="611"/>
      <c r="H21" s="612"/>
      <c r="I21" s="609"/>
      <c r="J21" s="610"/>
      <c r="K21" s="613"/>
      <c r="L21" s="614"/>
      <c r="M21" s="615"/>
      <c r="N21" s="616"/>
      <c r="O21" s="607"/>
      <c r="P21" s="608"/>
      <c r="Q21" s="609"/>
      <c r="R21" s="610"/>
      <c r="S21" s="611"/>
      <c r="T21" s="612"/>
      <c r="U21" s="609"/>
      <c r="V21" s="610"/>
      <c r="W21" s="613"/>
      <c r="X21" s="614"/>
      <c r="Y21" s="615"/>
      <c r="Z21" s="617"/>
      <c r="AA21" s="179"/>
      <c r="AB21" s="179"/>
      <c r="AC21" s="179"/>
      <c r="AD21" s="179"/>
      <c r="AE21" s="179"/>
      <c r="AF21" s="179"/>
    </row>
    <row r="22" spans="1:32" ht="54.95" customHeight="1">
      <c r="A22" s="522">
        <v>9</v>
      </c>
      <c r="B22" s="523" t="s">
        <v>23</v>
      </c>
      <c r="C22" s="607"/>
      <c r="D22" s="608"/>
      <c r="E22" s="609"/>
      <c r="F22" s="610"/>
      <c r="G22" s="611"/>
      <c r="H22" s="612"/>
      <c r="I22" s="609"/>
      <c r="J22" s="610"/>
      <c r="K22" s="613"/>
      <c r="L22" s="614"/>
      <c r="M22" s="615"/>
      <c r="N22" s="616"/>
      <c r="O22" s="607"/>
      <c r="P22" s="608"/>
      <c r="Q22" s="609"/>
      <c r="R22" s="610"/>
      <c r="S22" s="611"/>
      <c r="T22" s="612"/>
      <c r="U22" s="609"/>
      <c r="V22" s="610"/>
      <c r="W22" s="613"/>
      <c r="X22" s="614"/>
      <c r="Y22" s="615"/>
      <c r="Z22" s="617"/>
      <c r="AA22" s="179"/>
      <c r="AB22" s="179"/>
      <c r="AC22" s="179"/>
      <c r="AD22" s="179"/>
      <c r="AE22" s="179"/>
      <c r="AF22" s="179"/>
    </row>
    <row r="23" spans="1:32" ht="54.95" customHeight="1" thickBot="1">
      <c r="A23" s="524"/>
      <c r="B23" s="525" t="s">
        <v>24</v>
      </c>
      <c r="C23" s="618"/>
      <c r="D23" s="619"/>
      <c r="E23" s="620"/>
      <c r="F23" s="621"/>
      <c r="G23" s="622"/>
      <c r="H23" s="623"/>
      <c r="I23" s="620"/>
      <c r="J23" s="621"/>
      <c r="K23" s="624"/>
      <c r="L23" s="625"/>
      <c r="M23" s="626"/>
      <c r="N23" s="627"/>
      <c r="O23" s="618"/>
      <c r="P23" s="619"/>
      <c r="Q23" s="620"/>
      <c r="R23" s="621"/>
      <c r="S23" s="622"/>
      <c r="T23" s="623"/>
      <c r="U23" s="620"/>
      <c r="V23" s="621"/>
      <c r="W23" s="624"/>
      <c r="X23" s="625"/>
      <c r="Y23" s="626"/>
      <c r="Z23" s="628"/>
      <c r="AA23" s="179"/>
      <c r="AB23" s="179"/>
      <c r="AC23" s="179"/>
      <c r="AD23" s="179"/>
      <c r="AE23" s="179"/>
      <c r="AF23" s="179"/>
    </row>
    <row r="24" spans="1:32" ht="54.95" customHeight="1" thickTop="1" thickBot="1">
      <c r="A24" s="188"/>
      <c r="B24" s="188"/>
      <c r="C24" s="587"/>
      <c r="D24" s="587"/>
      <c r="E24" s="587"/>
      <c r="F24" s="587"/>
      <c r="G24" s="587"/>
      <c r="H24" s="587"/>
      <c r="I24" s="587"/>
      <c r="J24" s="587"/>
      <c r="K24" s="587"/>
      <c r="L24" s="587"/>
      <c r="M24" s="587"/>
      <c r="N24" s="587"/>
      <c r="O24" s="587"/>
      <c r="P24" s="587"/>
      <c r="Q24" s="587"/>
      <c r="R24" s="587"/>
      <c r="S24" s="587"/>
      <c r="T24" s="587"/>
      <c r="U24" s="587"/>
      <c r="V24" s="587"/>
      <c r="W24" s="587"/>
      <c r="X24" s="587"/>
      <c r="Y24" s="587"/>
      <c r="Z24" s="587"/>
      <c r="AA24" s="179"/>
      <c r="AB24" s="179"/>
      <c r="AC24" s="179"/>
      <c r="AD24" s="179"/>
      <c r="AE24" s="179"/>
      <c r="AF24" s="179"/>
    </row>
    <row r="25" spans="1:32" ht="52.5" customHeight="1" thickBot="1">
      <c r="A25" s="500" t="s">
        <v>0</v>
      </c>
      <c r="B25" s="168" t="str">
        <f>B1</f>
        <v>REIGNIER_Giratoire de l'ancienne gendarmerie</v>
      </c>
      <c r="C25" s="501"/>
      <c r="D25" s="501"/>
      <c r="E25" s="501"/>
      <c r="F25" s="502"/>
      <c r="G25" s="502"/>
      <c r="H25" s="501"/>
      <c r="I25" s="501"/>
      <c r="J25" s="502"/>
      <c r="K25" s="502"/>
      <c r="L25" s="503"/>
      <c r="M25" s="504" t="s">
        <v>30</v>
      </c>
      <c r="N25" s="526" t="str">
        <f>N1</f>
        <v>mardi 31 mai 2022</v>
      </c>
      <c r="O25" s="501"/>
      <c r="P25" s="501"/>
      <c r="Q25" s="501"/>
      <c r="R25" s="501"/>
      <c r="S25" s="501"/>
      <c r="T25" s="501"/>
      <c r="U25" s="501"/>
      <c r="V25" s="505"/>
      <c r="W25" s="506"/>
      <c r="X25" s="506"/>
      <c r="Y25" s="506"/>
      <c r="Z25" s="507"/>
    </row>
    <row r="26" spans="1:32" ht="52.5" customHeight="1" thickBot="1">
      <c r="A26" s="508" t="s">
        <v>2</v>
      </c>
      <c r="B26" s="509"/>
      <c r="C26" s="509"/>
      <c r="D26" s="509"/>
      <c r="E26" s="509"/>
      <c r="F26" s="509"/>
      <c r="G26" s="168">
        <f>G2</f>
        <v>0</v>
      </c>
      <c r="H26" s="501"/>
      <c r="I26" s="501"/>
      <c r="J26" s="501"/>
      <c r="K26" s="501"/>
      <c r="L26" s="501"/>
      <c r="M26" s="501"/>
      <c r="N26" s="501"/>
      <c r="O26" s="501"/>
      <c r="P26" s="501"/>
      <c r="Q26" s="501"/>
      <c r="R26" s="501"/>
      <c r="S26" s="501"/>
      <c r="T26" s="501"/>
      <c r="U26" s="501"/>
      <c r="V26" s="505"/>
      <c r="W26" s="509"/>
      <c r="X26" s="509"/>
      <c r="Y26" s="509"/>
      <c r="Z26" s="509"/>
    </row>
    <row r="27" spans="1:32" ht="52.5" customHeight="1" thickBot="1">
      <c r="A27" s="508" t="s">
        <v>3</v>
      </c>
      <c r="B27" s="509"/>
      <c r="C27" s="168">
        <f>C3</f>
        <v>0</v>
      </c>
      <c r="D27" s="501"/>
      <c r="E27" s="501"/>
      <c r="F27" s="501"/>
      <c r="G27" s="501"/>
      <c r="H27" s="501"/>
      <c r="I27" s="501"/>
      <c r="J27" s="501"/>
      <c r="K27" s="501"/>
      <c r="L27" s="501"/>
      <c r="M27" s="501"/>
      <c r="N27" s="501"/>
      <c r="O27" s="501"/>
      <c r="P27" s="501"/>
      <c r="Q27" s="501"/>
      <c r="R27" s="501"/>
      <c r="S27" s="501"/>
      <c r="T27" s="501"/>
      <c r="U27" s="501"/>
      <c r="V27" s="505"/>
      <c r="W27" s="509"/>
      <c r="X27" s="509"/>
      <c r="Y27" s="509"/>
      <c r="Z27" s="510"/>
    </row>
    <row r="28" spans="1:32" ht="52.5" customHeight="1" thickBot="1">
      <c r="A28" s="508" t="s">
        <v>27</v>
      </c>
      <c r="B28" s="509"/>
      <c r="C28" s="168">
        <f>C4</f>
        <v>0</v>
      </c>
      <c r="D28" s="501"/>
      <c r="E28" s="501"/>
      <c r="F28" s="501"/>
      <c r="G28" s="501"/>
      <c r="H28" s="501"/>
      <c r="I28" s="501"/>
      <c r="J28" s="501"/>
      <c r="K28" s="501"/>
      <c r="L28" s="501"/>
      <c r="M28" s="501"/>
      <c r="N28" s="501"/>
      <c r="O28" s="501"/>
      <c r="P28" s="501"/>
      <c r="Q28" s="501"/>
      <c r="R28" s="501"/>
      <c r="S28" s="501"/>
      <c r="T28" s="501"/>
      <c r="U28" s="501"/>
      <c r="V28" s="505"/>
      <c r="W28" s="509"/>
      <c r="X28" s="509"/>
      <c r="Y28" s="509"/>
      <c r="Z28" s="510"/>
    </row>
    <row r="29" spans="1:32" ht="25.5" customHeight="1">
      <c r="A29" s="508" t="str">
        <f>A5</f>
        <v xml:space="preserve">Méthodologie : </v>
      </c>
      <c r="B29" s="509"/>
      <c r="C29" s="509" t="str">
        <f>C5</f>
        <v>Pour chaque intervalle de temps, marquer une seule croix par personne comptée</v>
      </c>
      <c r="D29" s="509"/>
      <c r="E29" s="509"/>
      <c r="F29" s="509"/>
      <c r="G29" s="509"/>
      <c r="H29" s="509"/>
      <c r="I29" s="509"/>
      <c r="J29" s="509"/>
      <c r="K29" s="509"/>
      <c r="L29" s="509"/>
      <c r="M29" s="509"/>
      <c r="N29" s="509"/>
      <c r="O29" s="509"/>
      <c r="P29" s="509"/>
      <c r="Q29" s="509"/>
      <c r="R29" s="509"/>
      <c r="S29" s="509"/>
      <c r="T29" s="509"/>
      <c r="U29" s="509"/>
      <c r="V29" s="509"/>
      <c r="W29" s="509"/>
      <c r="X29" s="509"/>
      <c r="Y29" s="509"/>
      <c r="Z29" s="510"/>
    </row>
    <row r="30" spans="1:32" ht="25.5" customHeight="1">
      <c r="A30" s="511"/>
      <c r="B30" s="509"/>
      <c r="C30" s="509" t="str">
        <f>C6</f>
        <v>Si c'est enfant, remplacer la croix par E, une trottinette T, un piéton P, etc.</v>
      </c>
      <c r="D30" s="509"/>
      <c r="E30" s="509"/>
      <c r="F30" s="509"/>
      <c r="G30" s="509"/>
      <c r="H30" s="509"/>
      <c r="I30" s="509"/>
      <c r="J30" s="509"/>
      <c r="K30" s="509"/>
      <c r="L30" s="509"/>
      <c r="M30" s="509"/>
      <c r="N30" s="509"/>
      <c r="O30" s="509"/>
      <c r="P30" s="509"/>
      <c r="Q30" s="509"/>
      <c r="R30" s="509"/>
      <c r="S30" s="509"/>
      <c r="T30" s="509"/>
      <c r="U30" s="509"/>
      <c r="V30" s="509"/>
      <c r="W30" s="509"/>
      <c r="X30" s="509"/>
      <c r="Y30" s="509"/>
      <c r="Z30" s="510"/>
    </row>
    <row r="31" spans="1:32" ht="25.5" customHeight="1" thickBot="1">
      <c r="A31" s="511"/>
      <c r="B31" s="509"/>
      <c r="C31" s="509"/>
      <c r="D31" s="509"/>
      <c r="E31" s="509"/>
      <c r="F31" s="509"/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509"/>
      <c r="R31" s="509"/>
      <c r="S31" s="509"/>
      <c r="T31" s="509"/>
      <c r="U31" s="509"/>
      <c r="V31" s="509"/>
      <c r="W31" s="509"/>
      <c r="X31" s="509"/>
      <c r="Y31" s="509"/>
      <c r="Z31" s="510"/>
    </row>
    <row r="32" spans="1:32" ht="32.25" customHeight="1" thickTop="1">
      <c r="A32" s="512"/>
      <c r="B32" s="513"/>
      <c r="C32" s="856" t="s">
        <v>85</v>
      </c>
      <c r="D32" s="857"/>
      <c r="E32" s="857"/>
      <c r="F32" s="857"/>
      <c r="G32" s="857"/>
      <c r="H32" s="857"/>
      <c r="I32" s="857"/>
      <c r="J32" s="857"/>
      <c r="K32" s="857"/>
      <c r="L32" s="857"/>
      <c r="M32" s="857"/>
      <c r="N32" s="857"/>
      <c r="O32" s="856" t="s">
        <v>129</v>
      </c>
      <c r="P32" s="857"/>
      <c r="Q32" s="857"/>
      <c r="R32" s="857"/>
      <c r="S32" s="857"/>
      <c r="T32" s="857"/>
      <c r="U32" s="857"/>
      <c r="V32" s="857"/>
      <c r="W32" s="857"/>
      <c r="X32" s="857"/>
      <c r="Y32" s="857"/>
      <c r="Z32" s="858"/>
      <c r="AB32" s="171"/>
      <c r="AC32" s="171"/>
      <c r="AD32" s="171"/>
      <c r="AE32" s="171"/>
      <c r="AF32" s="171"/>
    </row>
    <row r="33" spans="1:32" ht="22.7" customHeight="1">
      <c r="A33" s="512"/>
      <c r="B33" s="513"/>
      <c r="C33" s="860" t="s">
        <v>131</v>
      </c>
      <c r="D33" s="860"/>
      <c r="E33" s="860"/>
      <c r="F33" s="860"/>
      <c r="G33" s="860" t="s">
        <v>55</v>
      </c>
      <c r="H33" s="860"/>
      <c r="I33" s="860"/>
      <c r="J33" s="872"/>
      <c r="K33" s="859" t="s">
        <v>130</v>
      </c>
      <c r="L33" s="860"/>
      <c r="M33" s="860"/>
      <c r="N33" s="860"/>
      <c r="O33" s="860" t="s">
        <v>55</v>
      </c>
      <c r="P33" s="860"/>
      <c r="Q33" s="860"/>
      <c r="R33" s="872"/>
      <c r="S33" s="859" t="s">
        <v>130</v>
      </c>
      <c r="T33" s="860"/>
      <c r="U33" s="860"/>
      <c r="V33" s="860"/>
      <c r="W33" s="859" t="s">
        <v>86</v>
      </c>
      <c r="X33" s="860"/>
      <c r="Y33" s="860"/>
      <c r="Z33" s="860"/>
    </row>
    <row r="34" spans="1:32" ht="18.600000000000001" customHeight="1" thickBot="1">
      <c r="A34" s="512"/>
      <c r="B34" s="513"/>
      <c r="C34" s="934" t="s">
        <v>4</v>
      </c>
      <c r="D34" s="935"/>
      <c r="E34" s="936" t="s">
        <v>5</v>
      </c>
      <c r="F34" s="937"/>
      <c r="G34" s="937" t="s">
        <v>4</v>
      </c>
      <c r="H34" s="938"/>
      <c r="I34" s="936" t="s">
        <v>5</v>
      </c>
      <c r="J34" s="937"/>
      <c r="K34" s="937" t="s">
        <v>4</v>
      </c>
      <c r="L34" s="939"/>
      <c r="M34" s="863" t="s">
        <v>5</v>
      </c>
      <c r="N34" s="867"/>
      <c r="O34" s="934" t="s">
        <v>4</v>
      </c>
      <c r="P34" s="935"/>
      <c r="Q34" s="936" t="s">
        <v>5</v>
      </c>
      <c r="R34" s="937"/>
      <c r="S34" s="937" t="s">
        <v>4</v>
      </c>
      <c r="T34" s="938"/>
      <c r="U34" s="936" t="s">
        <v>5</v>
      </c>
      <c r="V34" s="937"/>
      <c r="W34" s="937" t="s">
        <v>4</v>
      </c>
      <c r="X34" s="939"/>
      <c r="Y34" s="863" t="s">
        <v>5</v>
      </c>
      <c r="Z34" s="864"/>
    </row>
    <row r="35" spans="1:32" ht="21" thickTop="1">
      <c r="A35" s="514" t="s">
        <v>6</v>
      </c>
      <c r="B35" s="515" t="s">
        <v>7</v>
      </c>
      <c r="C35" s="601" t="s">
        <v>8</v>
      </c>
      <c r="D35" s="602" t="s">
        <v>9</v>
      </c>
      <c r="E35" s="603" t="s">
        <v>8</v>
      </c>
      <c r="F35" s="604" t="s">
        <v>9</v>
      </c>
      <c r="G35" s="605" t="s">
        <v>8</v>
      </c>
      <c r="H35" s="606" t="s">
        <v>9</v>
      </c>
      <c r="I35" s="603" t="s">
        <v>8</v>
      </c>
      <c r="J35" s="604" t="s">
        <v>9</v>
      </c>
      <c r="K35" s="520" t="s">
        <v>8</v>
      </c>
      <c r="L35" s="517" t="s">
        <v>9</v>
      </c>
      <c r="M35" s="518" t="s">
        <v>8</v>
      </c>
      <c r="N35" s="519" t="s">
        <v>9</v>
      </c>
      <c r="O35" s="601" t="s">
        <v>8</v>
      </c>
      <c r="P35" s="602" t="s">
        <v>9</v>
      </c>
      <c r="Q35" s="603" t="s">
        <v>8</v>
      </c>
      <c r="R35" s="604" t="s">
        <v>9</v>
      </c>
      <c r="S35" s="605" t="s">
        <v>8</v>
      </c>
      <c r="T35" s="606" t="s">
        <v>9</v>
      </c>
      <c r="U35" s="603" t="s">
        <v>8</v>
      </c>
      <c r="V35" s="604" t="s">
        <v>9</v>
      </c>
      <c r="W35" s="520" t="s">
        <v>8</v>
      </c>
      <c r="X35" s="517" t="s">
        <v>9</v>
      </c>
      <c r="Y35" s="518" t="s">
        <v>8</v>
      </c>
      <c r="Z35" s="521" t="s">
        <v>9</v>
      </c>
      <c r="AA35" s="172"/>
    </row>
    <row r="36" spans="1:32" ht="54.95" customHeight="1">
      <c r="A36" s="522">
        <v>6</v>
      </c>
      <c r="B36" s="523" t="s">
        <v>25</v>
      </c>
      <c r="C36" s="607"/>
      <c r="D36" s="608"/>
      <c r="E36" s="609"/>
      <c r="F36" s="610"/>
      <c r="G36" s="611"/>
      <c r="H36" s="612"/>
      <c r="I36" s="609"/>
      <c r="J36" s="610"/>
      <c r="K36" s="613"/>
      <c r="L36" s="614"/>
      <c r="M36" s="615"/>
      <c r="N36" s="616"/>
      <c r="O36" s="607"/>
      <c r="P36" s="608"/>
      <c r="Q36" s="609"/>
      <c r="R36" s="610"/>
      <c r="S36" s="611"/>
      <c r="T36" s="612"/>
      <c r="U36" s="609"/>
      <c r="V36" s="610"/>
      <c r="W36" s="613"/>
      <c r="X36" s="614"/>
      <c r="Y36" s="615"/>
      <c r="Z36" s="617"/>
      <c r="AA36" s="179"/>
      <c r="AB36" s="179"/>
      <c r="AC36" s="179"/>
      <c r="AD36" s="179"/>
      <c r="AE36" s="179"/>
      <c r="AF36" s="179"/>
    </row>
    <row r="37" spans="1:32" ht="54.95" customHeight="1">
      <c r="A37" s="522"/>
      <c r="B37" s="523" t="s">
        <v>26</v>
      </c>
      <c r="C37" s="607"/>
      <c r="D37" s="608"/>
      <c r="E37" s="609"/>
      <c r="F37" s="610"/>
      <c r="G37" s="611"/>
      <c r="H37" s="612"/>
      <c r="I37" s="609"/>
      <c r="J37" s="610"/>
      <c r="K37" s="613"/>
      <c r="L37" s="614"/>
      <c r="M37" s="615"/>
      <c r="N37" s="616"/>
      <c r="O37" s="607"/>
      <c r="P37" s="608"/>
      <c r="Q37" s="609"/>
      <c r="R37" s="610"/>
      <c r="S37" s="611"/>
      <c r="T37" s="612"/>
      <c r="U37" s="609"/>
      <c r="V37" s="610"/>
      <c r="W37" s="613"/>
      <c r="X37" s="614"/>
      <c r="Y37" s="615"/>
      <c r="Z37" s="617"/>
      <c r="AA37" s="179"/>
      <c r="AB37" s="179"/>
      <c r="AC37" s="179"/>
      <c r="AD37" s="179"/>
      <c r="AE37" s="179"/>
      <c r="AF37" s="179"/>
    </row>
    <row r="38" spans="1:32" ht="54.95" customHeight="1">
      <c r="A38" s="522">
        <v>7</v>
      </c>
      <c r="B38" s="523" t="s">
        <v>23</v>
      </c>
      <c r="C38" s="607"/>
      <c r="D38" s="608"/>
      <c r="E38" s="609"/>
      <c r="F38" s="610"/>
      <c r="G38" s="611"/>
      <c r="H38" s="612"/>
      <c r="I38" s="609"/>
      <c r="J38" s="610"/>
      <c r="K38" s="613"/>
      <c r="L38" s="614"/>
      <c r="M38" s="615"/>
      <c r="N38" s="616"/>
      <c r="O38" s="607"/>
      <c r="P38" s="608"/>
      <c r="Q38" s="609"/>
      <c r="R38" s="610"/>
      <c r="S38" s="611"/>
      <c r="T38" s="612"/>
      <c r="U38" s="609"/>
      <c r="V38" s="610"/>
      <c r="W38" s="613"/>
      <c r="X38" s="614"/>
      <c r="Y38" s="615"/>
      <c r="Z38" s="617"/>
      <c r="AA38" s="179"/>
      <c r="AB38" s="179"/>
      <c r="AC38" s="179"/>
      <c r="AD38" s="179"/>
      <c r="AE38" s="179"/>
      <c r="AF38" s="179"/>
    </row>
    <row r="39" spans="1:32" ht="54.95" customHeight="1">
      <c r="A39" s="522"/>
      <c r="B39" s="523" t="s">
        <v>24</v>
      </c>
      <c r="C39" s="607"/>
      <c r="D39" s="608"/>
      <c r="E39" s="609"/>
      <c r="F39" s="610"/>
      <c r="G39" s="611"/>
      <c r="H39" s="612"/>
      <c r="I39" s="609"/>
      <c r="J39" s="610"/>
      <c r="K39" s="613"/>
      <c r="L39" s="614"/>
      <c r="M39" s="615"/>
      <c r="N39" s="616"/>
      <c r="O39" s="607"/>
      <c r="P39" s="608"/>
      <c r="Q39" s="609"/>
      <c r="R39" s="610"/>
      <c r="S39" s="611"/>
      <c r="T39" s="612"/>
      <c r="U39" s="609"/>
      <c r="V39" s="610"/>
      <c r="W39" s="613"/>
      <c r="X39" s="614"/>
      <c r="Y39" s="615"/>
      <c r="Z39" s="617"/>
      <c r="AA39" s="179"/>
      <c r="AB39" s="179"/>
      <c r="AC39" s="179"/>
      <c r="AD39" s="179"/>
      <c r="AE39" s="179"/>
      <c r="AF39" s="179"/>
    </row>
    <row r="40" spans="1:32" ht="54.95" customHeight="1">
      <c r="A40" s="522"/>
      <c r="B40" s="523" t="s">
        <v>25</v>
      </c>
      <c r="C40" s="607"/>
      <c r="D40" s="608"/>
      <c r="E40" s="609"/>
      <c r="F40" s="610"/>
      <c r="G40" s="611"/>
      <c r="H40" s="612"/>
      <c r="I40" s="609"/>
      <c r="J40" s="610"/>
      <c r="K40" s="613"/>
      <c r="L40" s="614"/>
      <c r="M40" s="615"/>
      <c r="N40" s="616"/>
      <c r="O40" s="607"/>
      <c r="P40" s="608"/>
      <c r="Q40" s="609"/>
      <c r="R40" s="610"/>
      <c r="S40" s="611"/>
      <c r="T40" s="612"/>
      <c r="U40" s="609"/>
      <c r="V40" s="610"/>
      <c r="W40" s="613"/>
      <c r="X40" s="614"/>
      <c r="Y40" s="615"/>
      <c r="Z40" s="617"/>
      <c r="AA40" s="179"/>
      <c r="AB40" s="179"/>
      <c r="AC40" s="179"/>
      <c r="AD40" s="179"/>
      <c r="AE40" s="179"/>
      <c r="AF40" s="179"/>
    </row>
    <row r="41" spans="1:32" ht="54.95" customHeight="1">
      <c r="A41" s="522"/>
      <c r="B41" s="523" t="s">
        <v>26</v>
      </c>
      <c r="C41" s="607"/>
      <c r="D41" s="608"/>
      <c r="E41" s="609"/>
      <c r="F41" s="610"/>
      <c r="G41" s="611"/>
      <c r="H41" s="612"/>
      <c r="I41" s="609"/>
      <c r="J41" s="610"/>
      <c r="K41" s="613"/>
      <c r="L41" s="614"/>
      <c r="M41" s="615"/>
      <c r="N41" s="616"/>
      <c r="O41" s="607"/>
      <c r="P41" s="608"/>
      <c r="Q41" s="609"/>
      <c r="R41" s="610"/>
      <c r="S41" s="611"/>
      <c r="T41" s="612"/>
      <c r="U41" s="609"/>
      <c r="V41" s="610"/>
      <c r="W41" s="613"/>
      <c r="X41" s="614"/>
      <c r="Y41" s="615"/>
      <c r="Z41" s="617"/>
      <c r="AA41" s="179"/>
      <c r="AB41" s="179"/>
      <c r="AC41" s="179"/>
      <c r="AD41" s="179"/>
      <c r="AE41" s="179"/>
      <c r="AF41" s="179"/>
    </row>
    <row r="42" spans="1:32" ht="54.95" customHeight="1">
      <c r="A42" s="522">
        <v>8</v>
      </c>
      <c r="B42" s="523" t="s">
        <v>23</v>
      </c>
      <c r="C42" s="607"/>
      <c r="D42" s="608"/>
      <c r="E42" s="609"/>
      <c r="F42" s="610"/>
      <c r="G42" s="611"/>
      <c r="H42" s="612"/>
      <c r="I42" s="609"/>
      <c r="J42" s="610"/>
      <c r="K42" s="613"/>
      <c r="L42" s="614"/>
      <c r="M42" s="615"/>
      <c r="N42" s="616"/>
      <c r="O42" s="607"/>
      <c r="P42" s="608"/>
      <c r="Q42" s="609"/>
      <c r="R42" s="610"/>
      <c r="S42" s="611"/>
      <c r="T42" s="612"/>
      <c r="U42" s="609"/>
      <c r="V42" s="610"/>
      <c r="W42" s="613"/>
      <c r="X42" s="614"/>
      <c r="Y42" s="615"/>
      <c r="Z42" s="617"/>
      <c r="AA42" s="179"/>
      <c r="AB42" s="179"/>
      <c r="AC42" s="179"/>
      <c r="AD42" s="179"/>
      <c r="AE42" s="179"/>
      <c r="AF42" s="179"/>
    </row>
    <row r="43" spans="1:32" ht="54.95" customHeight="1">
      <c r="A43" s="522"/>
      <c r="B43" s="523" t="s">
        <v>24</v>
      </c>
      <c r="C43" s="607"/>
      <c r="D43" s="608"/>
      <c r="E43" s="609"/>
      <c r="F43" s="610"/>
      <c r="G43" s="611"/>
      <c r="H43" s="612"/>
      <c r="I43" s="609"/>
      <c r="J43" s="610"/>
      <c r="K43" s="613"/>
      <c r="L43" s="614"/>
      <c r="M43" s="615"/>
      <c r="N43" s="616"/>
      <c r="O43" s="607"/>
      <c r="P43" s="608"/>
      <c r="Q43" s="609"/>
      <c r="R43" s="610"/>
      <c r="S43" s="611"/>
      <c r="T43" s="612"/>
      <c r="U43" s="609"/>
      <c r="V43" s="610"/>
      <c r="W43" s="613"/>
      <c r="X43" s="614"/>
      <c r="Y43" s="615"/>
      <c r="Z43" s="617"/>
      <c r="AA43" s="179"/>
      <c r="AB43" s="179"/>
      <c r="AC43" s="179"/>
      <c r="AD43" s="179"/>
      <c r="AE43" s="179"/>
      <c r="AF43" s="179"/>
    </row>
    <row r="44" spans="1:32" ht="54.95" customHeight="1">
      <c r="A44" s="522"/>
      <c r="B44" s="523" t="s">
        <v>25</v>
      </c>
      <c r="C44" s="607"/>
      <c r="D44" s="608"/>
      <c r="E44" s="609"/>
      <c r="F44" s="610"/>
      <c r="G44" s="611"/>
      <c r="H44" s="612"/>
      <c r="I44" s="609"/>
      <c r="J44" s="610"/>
      <c r="K44" s="613"/>
      <c r="L44" s="614"/>
      <c r="M44" s="615"/>
      <c r="N44" s="616"/>
      <c r="O44" s="607"/>
      <c r="P44" s="608"/>
      <c r="Q44" s="609"/>
      <c r="R44" s="610"/>
      <c r="S44" s="611"/>
      <c r="T44" s="612"/>
      <c r="U44" s="609"/>
      <c r="V44" s="610"/>
      <c r="W44" s="613"/>
      <c r="X44" s="614"/>
      <c r="Y44" s="615"/>
      <c r="Z44" s="617"/>
      <c r="AA44" s="179"/>
      <c r="AB44" s="179"/>
      <c r="AC44" s="179"/>
      <c r="AD44" s="179"/>
      <c r="AE44" s="179"/>
      <c r="AF44" s="179"/>
    </row>
    <row r="45" spans="1:32" ht="54.95" customHeight="1">
      <c r="A45" s="522"/>
      <c r="B45" s="523" t="s">
        <v>26</v>
      </c>
      <c r="C45" s="607"/>
      <c r="D45" s="608"/>
      <c r="E45" s="609"/>
      <c r="F45" s="610"/>
      <c r="G45" s="611"/>
      <c r="H45" s="612"/>
      <c r="I45" s="609"/>
      <c r="J45" s="610"/>
      <c r="K45" s="613"/>
      <c r="L45" s="614"/>
      <c r="M45" s="615"/>
      <c r="N45" s="616"/>
      <c r="O45" s="607"/>
      <c r="P45" s="608"/>
      <c r="Q45" s="609"/>
      <c r="R45" s="610"/>
      <c r="S45" s="611"/>
      <c r="T45" s="612"/>
      <c r="U45" s="609"/>
      <c r="V45" s="610"/>
      <c r="W45" s="613"/>
      <c r="X45" s="614"/>
      <c r="Y45" s="615"/>
      <c r="Z45" s="617"/>
      <c r="AA45" s="179"/>
      <c r="AB45" s="179"/>
      <c r="AC45" s="179"/>
      <c r="AD45" s="179"/>
      <c r="AE45" s="179"/>
      <c r="AF45" s="179"/>
    </row>
    <row r="46" spans="1:32" ht="54.95" customHeight="1">
      <c r="A46" s="522">
        <v>9</v>
      </c>
      <c r="B46" s="523" t="s">
        <v>23</v>
      </c>
      <c r="C46" s="607"/>
      <c r="D46" s="608"/>
      <c r="E46" s="609"/>
      <c r="F46" s="610"/>
      <c r="G46" s="611"/>
      <c r="H46" s="612"/>
      <c r="I46" s="609"/>
      <c r="J46" s="610"/>
      <c r="K46" s="613"/>
      <c r="L46" s="614"/>
      <c r="M46" s="615"/>
      <c r="N46" s="616"/>
      <c r="O46" s="607"/>
      <c r="P46" s="608"/>
      <c r="Q46" s="609"/>
      <c r="R46" s="610"/>
      <c r="S46" s="611"/>
      <c r="T46" s="612"/>
      <c r="U46" s="609"/>
      <c r="V46" s="610"/>
      <c r="W46" s="613"/>
      <c r="X46" s="614"/>
      <c r="Y46" s="615"/>
      <c r="Z46" s="617"/>
      <c r="AA46" s="179"/>
      <c r="AB46" s="179"/>
      <c r="AC46" s="179"/>
      <c r="AD46" s="179"/>
      <c r="AE46" s="179"/>
      <c r="AF46" s="179"/>
    </row>
    <row r="47" spans="1:32" ht="54.95" customHeight="1" thickBot="1">
      <c r="A47" s="524"/>
      <c r="B47" s="525" t="s">
        <v>24</v>
      </c>
      <c r="C47" s="618"/>
      <c r="D47" s="619"/>
      <c r="E47" s="620"/>
      <c r="F47" s="621"/>
      <c r="G47" s="622"/>
      <c r="H47" s="623"/>
      <c r="I47" s="620"/>
      <c r="J47" s="621"/>
      <c r="K47" s="624"/>
      <c r="L47" s="625"/>
      <c r="M47" s="626"/>
      <c r="N47" s="627"/>
      <c r="O47" s="618"/>
      <c r="P47" s="619"/>
      <c r="Q47" s="620"/>
      <c r="R47" s="621"/>
      <c r="S47" s="622"/>
      <c r="T47" s="623"/>
      <c r="U47" s="620"/>
      <c r="V47" s="621"/>
      <c r="W47" s="624"/>
      <c r="X47" s="625"/>
      <c r="Y47" s="626"/>
      <c r="Z47" s="628"/>
      <c r="AA47" s="179"/>
      <c r="AB47" s="179"/>
      <c r="AC47" s="179"/>
      <c r="AD47" s="179"/>
      <c r="AE47" s="179"/>
      <c r="AF47" s="179"/>
    </row>
    <row r="48" spans="1:32" ht="54.95" customHeight="1" thickTop="1" thickBot="1">
      <c r="A48" s="188"/>
      <c r="B48" s="188"/>
      <c r="C48" s="587"/>
      <c r="D48" s="587"/>
      <c r="E48" s="587"/>
      <c r="F48" s="587"/>
      <c r="G48" s="587"/>
      <c r="H48" s="587"/>
      <c r="I48" s="587"/>
      <c r="J48" s="587"/>
      <c r="K48" s="587"/>
      <c r="L48" s="587"/>
      <c r="M48" s="587"/>
      <c r="N48" s="587"/>
      <c r="O48" s="587"/>
      <c r="P48" s="587"/>
      <c r="Q48" s="587"/>
      <c r="R48" s="587"/>
      <c r="S48" s="587"/>
      <c r="T48" s="587"/>
      <c r="U48" s="587"/>
      <c r="V48" s="587"/>
      <c r="W48" s="587"/>
      <c r="X48" s="587"/>
      <c r="Y48" s="587"/>
      <c r="Z48" s="587"/>
      <c r="AA48" s="179"/>
      <c r="AB48" s="179"/>
      <c r="AC48" s="179"/>
      <c r="AD48" s="179"/>
      <c r="AE48" s="179"/>
      <c r="AF48" s="179"/>
    </row>
    <row r="49" spans="1:40" ht="52.5" customHeight="1" thickBot="1">
      <c r="A49" s="500" t="s">
        <v>0</v>
      </c>
      <c r="B49" s="168" t="str">
        <f>B1</f>
        <v>REIGNIER_Giratoire de l'ancienne gendarmerie</v>
      </c>
      <c r="C49" s="501"/>
      <c r="D49" s="501"/>
      <c r="E49" s="501"/>
      <c r="F49" s="502"/>
      <c r="G49" s="502"/>
      <c r="H49" s="501"/>
      <c r="I49" s="501"/>
      <c r="J49" s="502"/>
      <c r="K49" s="502"/>
      <c r="L49" s="503"/>
      <c r="M49" s="504" t="s">
        <v>1</v>
      </c>
      <c r="N49" s="526" t="str">
        <f>N1</f>
        <v>mardi 31 mai 2022</v>
      </c>
      <c r="O49" s="501"/>
      <c r="P49" s="501"/>
      <c r="Q49" s="501"/>
      <c r="R49" s="501"/>
      <c r="S49" s="501"/>
      <c r="T49" s="501"/>
      <c r="U49" s="501"/>
      <c r="V49" s="505"/>
      <c r="W49" s="506"/>
      <c r="X49" s="506"/>
      <c r="Y49" s="506"/>
      <c r="Z49" s="507"/>
      <c r="AA49" s="629" t="s">
        <v>0</v>
      </c>
      <c r="AB49" s="630" t="str">
        <f>B49</f>
        <v>REIGNIER_Giratoire de l'ancienne gendarmerie</v>
      </c>
      <c r="AC49" s="631"/>
      <c r="AD49" s="631"/>
      <c r="AE49" s="632"/>
      <c r="AF49" s="633"/>
      <c r="AG49" s="634" t="s">
        <v>1</v>
      </c>
      <c r="AH49" s="443" t="str">
        <f>N49</f>
        <v>mardi 31 mai 2022</v>
      </c>
      <c r="AI49" s="633"/>
      <c r="AJ49" s="635"/>
    </row>
    <row r="50" spans="1:40" ht="52.5" customHeight="1" thickBot="1">
      <c r="A50" s="508" t="s">
        <v>2</v>
      </c>
      <c r="B50" s="509"/>
      <c r="C50" s="509"/>
      <c r="D50" s="509"/>
      <c r="E50" s="509"/>
      <c r="F50" s="509"/>
      <c r="G50" s="168">
        <f>G26</f>
        <v>0</v>
      </c>
      <c r="H50" s="501"/>
      <c r="I50" s="501"/>
      <c r="J50" s="501"/>
      <c r="K50" s="501"/>
      <c r="L50" s="501"/>
      <c r="M50" s="501"/>
      <c r="N50" s="501"/>
      <c r="O50" s="501"/>
      <c r="P50" s="501"/>
      <c r="Q50" s="501"/>
      <c r="R50" s="501"/>
      <c r="S50" s="501"/>
      <c r="T50" s="501"/>
      <c r="U50" s="501"/>
      <c r="V50" s="505"/>
      <c r="W50" s="509"/>
      <c r="X50" s="509"/>
      <c r="Y50" s="509"/>
      <c r="Z50" s="509"/>
      <c r="AA50" s="508" t="s">
        <v>2</v>
      </c>
      <c r="AB50" s="509"/>
      <c r="AC50" s="509"/>
      <c r="AD50" s="509"/>
      <c r="AE50" s="630">
        <f>G50</f>
        <v>0</v>
      </c>
      <c r="AF50" s="631"/>
      <c r="AG50" s="631"/>
      <c r="AH50" s="631"/>
      <c r="AI50" s="633"/>
      <c r="AJ50" s="509"/>
    </row>
    <row r="51" spans="1:40" ht="52.5" customHeight="1" thickBot="1">
      <c r="A51" s="508" t="s">
        <v>3</v>
      </c>
      <c r="B51" s="509"/>
      <c r="C51" s="168">
        <f>C3</f>
        <v>0</v>
      </c>
      <c r="D51" s="501"/>
      <c r="E51" s="501"/>
      <c r="F51" s="501"/>
      <c r="G51" s="501"/>
      <c r="H51" s="501"/>
      <c r="I51" s="501"/>
      <c r="J51" s="501"/>
      <c r="K51" s="501"/>
      <c r="L51" s="501"/>
      <c r="M51" s="501"/>
      <c r="N51" s="501"/>
      <c r="O51" s="501"/>
      <c r="P51" s="501"/>
      <c r="Q51" s="501"/>
      <c r="R51" s="501"/>
      <c r="S51" s="501"/>
      <c r="T51" s="501"/>
      <c r="U51" s="501"/>
      <c r="V51" s="505"/>
      <c r="W51" s="509"/>
      <c r="X51" s="509"/>
      <c r="Y51" s="509"/>
      <c r="Z51" s="510"/>
      <c r="AA51" s="508" t="s">
        <v>3</v>
      </c>
      <c r="AB51" s="509"/>
      <c r="AC51" s="630">
        <f>C51</f>
        <v>0</v>
      </c>
      <c r="AD51" s="631"/>
      <c r="AE51" s="631"/>
      <c r="AF51" s="631"/>
      <c r="AG51" s="631"/>
      <c r="AH51" s="631"/>
      <c r="AI51" s="633"/>
      <c r="AJ51" s="532"/>
    </row>
    <row r="52" spans="1:40" ht="52.5" customHeight="1" thickBot="1">
      <c r="A52" s="508" t="s">
        <v>27</v>
      </c>
      <c r="B52" s="509"/>
      <c r="C52" s="168">
        <f>C4</f>
        <v>0</v>
      </c>
      <c r="D52" s="501"/>
      <c r="E52" s="501"/>
      <c r="F52" s="501"/>
      <c r="G52" s="501"/>
      <c r="H52" s="501"/>
      <c r="I52" s="501"/>
      <c r="J52" s="501"/>
      <c r="K52" s="501"/>
      <c r="L52" s="501"/>
      <c r="M52" s="501"/>
      <c r="N52" s="501"/>
      <c r="O52" s="501"/>
      <c r="P52" s="501"/>
      <c r="Q52" s="501"/>
      <c r="R52" s="501"/>
      <c r="S52" s="501"/>
      <c r="T52" s="501"/>
      <c r="U52" s="501"/>
      <c r="V52" s="505"/>
      <c r="W52" s="509"/>
      <c r="X52" s="513"/>
      <c r="Y52" s="513"/>
      <c r="Z52" s="636"/>
      <c r="AA52" s="508" t="s">
        <v>27</v>
      </c>
      <c r="AB52" s="509"/>
      <c r="AC52" s="630">
        <f>C52</f>
        <v>0</v>
      </c>
      <c r="AD52" s="631"/>
      <c r="AE52" s="631"/>
      <c r="AF52" s="632"/>
      <c r="AG52" s="631"/>
      <c r="AH52" s="631"/>
      <c r="AI52" s="633"/>
      <c r="AJ52" s="532"/>
    </row>
    <row r="53" spans="1:40" ht="25.5" customHeight="1">
      <c r="A53" s="637"/>
      <c r="B53" s="513"/>
      <c r="C53" s="513"/>
      <c r="D53" s="513"/>
      <c r="E53" s="513"/>
      <c r="F53" s="513"/>
      <c r="G53" s="513"/>
      <c r="H53" s="513"/>
      <c r="I53" s="513"/>
      <c r="J53" s="513"/>
      <c r="K53" s="513"/>
      <c r="L53" s="513"/>
      <c r="M53" s="513"/>
      <c r="N53" s="513"/>
      <c r="O53" s="513"/>
      <c r="P53" s="513"/>
      <c r="Q53" s="513"/>
      <c r="R53" s="513"/>
      <c r="S53" s="513"/>
      <c r="T53" s="513"/>
      <c r="U53" s="513"/>
      <c r="V53" s="513"/>
      <c r="W53" s="513"/>
      <c r="X53" s="513"/>
      <c r="Y53" s="513"/>
      <c r="Z53" s="636"/>
      <c r="AA53" s="511"/>
      <c r="AB53" s="509"/>
      <c r="AC53" s="509"/>
      <c r="AD53" s="509"/>
      <c r="AE53" s="509"/>
      <c r="AF53" s="509"/>
      <c r="AG53" s="509"/>
      <c r="AH53" s="509"/>
      <c r="AI53" s="509"/>
      <c r="AJ53" s="509"/>
    </row>
    <row r="54" spans="1:40" ht="25.5" customHeight="1">
      <c r="A54" s="637"/>
      <c r="B54" s="513"/>
      <c r="C54" s="513"/>
      <c r="D54" s="513"/>
      <c r="E54" s="513"/>
      <c r="F54" s="513"/>
      <c r="G54" s="513"/>
      <c r="H54" s="513"/>
      <c r="I54" s="513"/>
      <c r="J54" s="513"/>
      <c r="K54" s="513"/>
      <c r="L54" s="513"/>
      <c r="M54" s="513"/>
      <c r="N54" s="513"/>
      <c r="O54" s="513"/>
      <c r="P54" s="513"/>
      <c r="Q54" s="513"/>
      <c r="R54" s="513"/>
      <c r="S54" s="513"/>
      <c r="T54" s="513"/>
      <c r="U54" s="513"/>
      <c r="V54" s="513"/>
      <c r="W54" s="513"/>
      <c r="X54" s="513"/>
      <c r="Y54" s="513"/>
      <c r="Z54" s="636"/>
      <c r="AA54" s="511"/>
      <c r="AB54" s="509"/>
      <c r="AC54" s="509"/>
      <c r="AD54" s="509"/>
      <c r="AE54" s="509"/>
      <c r="AF54" s="509"/>
      <c r="AG54" s="509"/>
      <c r="AH54" s="509"/>
      <c r="AI54" s="509"/>
      <c r="AJ54" s="510"/>
    </row>
    <row r="55" spans="1:40" ht="25.5" customHeight="1" thickBot="1">
      <c r="A55" s="637"/>
      <c r="B55" s="513"/>
      <c r="C55" s="513"/>
      <c r="D55" s="513"/>
      <c r="E55" s="513"/>
      <c r="F55" s="513"/>
      <c r="G55" s="513"/>
      <c r="H55" s="513"/>
      <c r="I55" s="513"/>
      <c r="J55" s="513"/>
      <c r="K55" s="513"/>
      <c r="L55" s="513"/>
      <c r="M55" s="513"/>
      <c r="N55" s="513"/>
      <c r="O55" s="513"/>
      <c r="P55" s="513"/>
      <c r="Q55" s="513"/>
      <c r="R55" s="513"/>
      <c r="S55" s="513"/>
      <c r="T55" s="513"/>
      <c r="U55" s="513"/>
      <c r="V55" s="513"/>
      <c r="W55" s="513"/>
      <c r="X55" s="513"/>
      <c r="Y55" s="513"/>
      <c r="Z55" s="636"/>
      <c r="AA55" s="510"/>
      <c r="AB55" s="510"/>
      <c r="AC55" s="510"/>
      <c r="AD55" s="510"/>
      <c r="AE55" s="510"/>
      <c r="AF55" s="510"/>
      <c r="AG55" s="510"/>
      <c r="AH55" s="510"/>
      <c r="AI55" s="510"/>
      <c r="AJ55" s="510"/>
    </row>
    <row r="56" spans="1:40" ht="32.25" customHeight="1" thickTop="1">
      <c r="A56" s="512"/>
      <c r="B56" s="513"/>
      <c r="C56" s="856" t="str">
        <f>C8</f>
        <v>Depuis 'Annemasse - Genève'</v>
      </c>
      <c r="D56" s="857"/>
      <c r="E56" s="857"/>
      <c r="F56" s="857"/>
      <c r="G56" s="857"/>
      <c r="H56" s="857"/>
      <c r="I56" s="857"/>
      <c r="J56" s="857"/>
      <c r="K56" s="857"/>
      <c r="L56" s="857"/>
      <c r="M56" s="857"/>
      <c r="N56" s="857"/>
      <c r="O56" s="856" t="str">
        <f>O8</f>
        <v>Depuis 'Carrefour - Bersat'</v>
      </c>
      <c r="P56" s="857"/>
      <c r="Q56" s="857"/>
      <c r="R56" s="857"/>
      <c r="S56" s="857"/>
      <c r="T56" s="857"/>
      <c r="U56" s="857"/>
      <c r="V56" s="857"/>
      <c r="W56" s="857"/>
      <c r="X56" s="857"/>
      <c r="Y56" s="857"/>
      <c r="Z56" s="858"/>
      <c r="AA56" s="508"/>
      <c r="AB56" s="513"/>
      <c r="AC56" s="873" t="s">
        <v>12</v>
      </c>
      <c r="AD56" s="875" t="s">
        <v>14</v>
      </c>
      <c r="AE56" s="875" t="s">
        <v>15</v>
      </c>
      <c r="AF56" s="875" t="s">
        <v>18</v>
      </c>
      <c r="AG56" s="875" t="s">
        <v>16</v>
      </c>
      <c r="AH56" s="881" t="s">
        <v>31</v>
      </c>
      <c r="AI56" s="882"/>
      <c r="AJ56" s="883"/>
      <c r="AK56" s="638"/>
      <c r="AL56" s="638"/>
      <c r="AM56" s="638"/>
      <c r="AN56" s="638"/>
    </row>
    <row r="57" spans="1:40" ht="22.7" customHeight="1">
      <c r="A57" s="512"/>
      <c r="B57" s="513"/>
      <c r="C57" s="859" t="str">
        <f>C9</f>
        <v>vers 'Carrefour - Bersat'</v>
      </c>
      <c r="D57" s="860"/>
      <c r="E57" s="860"/>
      <c r="F57" s="860"/>
      <c r="G57" s="859" t="str">
        <f t="shared" ref="G57" si="0">G9</f>
        <v>vers 'Pers-Jussy'</v>
      </c>
      <c r="H57" s="860"/>
      <c r="I57" s="860"/>
      <c r="J57" s="860"/>
      <c r="K57" s="859" t="str">
        <f t="shared" ref="K57" si="1">K9</f>
        <v>vers 'Esery - Méran'</v>
      </c>
      <c r="L57" s="860"/>
      <c r="M57" s="860"/>
      <c r="N57" s="860"/>
      <c r="O57" s="859" t="str">
        <f t="shared" ref="O57" si="2">O9</f>
        <v>vers 'Pers-Jussy'</v>
      </c>
      <c r="P57" s="860"/>
      <c r="Q57" s="860"/>
      <c r="R57" s="860"/>
      <c r="S57" s="859" t="str">
        <f t="shared" ref="S57" si="3">S9</f>
        <v>vers 'Esery - Méran'</v>
      </c>
      <c r="T57" s="860"/>
      <c r="U57" s="860"/>
      <c r="V57" s="860"/>
      <c r="W57" s="859" t="str">
        <f t="shared" ref="W57" si="4">W9</f>
        <v>vers 'Annemasse - Genève'</v>
      </c>
      <c r="X57" s="860"/>
      <c r="Y57" s="860"/>
      <c r="Z57" s="872"/>
      <c r="AA57" s="508"/>
      <c r="AB57" s="513"/>
      <c r="AC57" s="874"/>
      <c r="AD57" s="876"/>
      <c r="AE57" s="876"/>
      <c r="AF57" s="876"/>
      <c r="AG57" s="876"/>
      <c r="AH57" s="884"/>
      <c r="AI57" s="885"/>
      <c r="AJ57" s="886"/>
      <c r="AK57" s="638"/>
      <c r="AL57" s="638"/>
      <c r="AM57" s="638"/>
      <c r="AN57" s="638"/>
    </row>
    <row r="58" spans="1:40" ht="18.600000000000001" customHeight="1" thickBot="1">
      <c r="A58" s="512"/>
      <c r="B58" s="513"/>
      <c r="C58" s="940" t="s">
        <v>4</v>
      </c>
      <c r="D58" s="941"/>
      <c r="E58" s="942" t="s">
        <v>5</v>
      </c>
      <c r="F58" s="943"/>
      <c r="G58" s="943" t="s">
        <v>4</v>
      </c>
      <c r="H58" s="940"/>
      <c r="I58" s="942" t="s">
        <v>5</v>
      </c>
      <c r="J58" s="943"/>
      <c r="K58" s="943" t="s">
        <v>4</v>
      </c>
      <c r="L58" s="940"/>
      <c r="M58" s="942" t="s">
        <v>5</v>
      </c>
      <c r="N58" s="943"/>
      <c r="O58" s="943" t="s">
        <v>4</v>
      </c>
      <c r="P58" s="940"/>
      <c r="Q58" s="942" t="s">
        <v>5</v>
      </c>
      <c r="R58" s="943"/>
      <c r="S58" s="943" t="s">
        <v>4</v>
      </c>
      <c r="T58" s="940"/>
      <c r="U58" s="942" t="s">
        <v>5</v>
      </c>
      <c r="V58" s="943"/>
      <c r="W58" s="943" t="s">
        <v>4</v>
      </c>
      <c r="X58" s="940"/>
      <c r="Y58" s="941" t="s">
        <v>5</v>
      </c>
      <c r="Z58" s="942"/>
      <c r="AA58" s="639"/>
      <c r="AB58" s="513"/>
      <c r="AC58" s="874"/>
      <c r="AD58" s="876"/>
      <c r="AE58" s="876"/>
      <c r="AF58" s="876"/>
      <c r="AG58" s="876"/>
      <c r="AH58" s="884"/>
      <c r="AI58" s="885"/>
      <c r="AJ58" s="886"/>
      <c r="AK58" s="638"/>
      <c r="AL58" s="638"/>
      <c r="AM58" s="638"/>
      <c r="AN58" s="638"/>
    </row>
    <row r="59" spans="1:40" ht="21" thickTop="1">
      <c r="A59" s="892" t="s">
        <v>13</v>
      </c>
      <c r="B59" s="893"/>
      <c r="C59" s="601" t="s">
        <v>8</v>
      </c>
      <c r="D59" s="606" t="s">
        <v>9</v>
      </c>
      <c r="E59" s="603" t="s">
        <v>8</v>
      </c>
      <c r="F59" s="640" t="s">
        <v>9</v>
      </c>
      <c r="G59" s="601" t="s">
        <v>8</v>
      </c>
      <c r="H59" s="606" t="s">
        <v>9</v>
      </c>
      <c r="I59" s="603" t="s">
        <v>8</v>
      </c>
      <c r="J59" s="640" t="s">
        <v>9</v>
      </c>
      <c r="K59" s="601" t="s">
        <v>8</v>
      </c>
      <c r="L59" s="606" t="s">
        <v>9</v>
      </c>
      <c r="M59" s="603" t="s">
        <v>8</v>
      </c>
      <c r="N59" s="640" t="s">
        <v>9</v>
      </c>
      <c r="O59" s="601" t="s">
        <v>8</v>
      </c>
      <c r="P59" s="606" t="s">
        <v>9</v>
      </c>
      <c r="Q59" s="603" t="s">
        <v>8</v>
      </c>
      <c r="R59" s="640" t="s">
        <v>9</v>
      </c>
      <c r="S59" s="601" t="s">
        <v>8</v>
      </c>
      <c r="T59" s="606" t="s">
        <v>9</v>
      </c>
      <c r="U59" s="603" t="s">
        <v>8</v>
      </c>
      <c r="V59" s="640" t="s">
        <v>9</v>
      </c>
      <c r="W59" s="601" t="s">
        <v>8</v>
      </c>
      <c r="X59" s="606" t="s">
        <v>9</v>
      </c>
      <c r="Y59" s="603" t="s">
        <v>8</v>
      </c>
      <c r="Z59" s="640" t="s">
        <v>9</v>
      </c>
      <c r="AA59" s="894" t="s">
        <v>13</v>
      </c>
      <c r="AB59" s="895"/>
      <c r="AC59" s="874"/>
      <c r="AD59" s="877"/>
      <c r="AE59" s="877"/>
      <c r="AF59" s="877"/>
      <c r="AG59" s="877"/>
      <c r="AH59" s="887"/>
      <c r="AI59" s="888"/>
      <c r="AJ59" s="889"/>
      <c r="AK59" s="638"/>
      <c r="AL59" s="638"/>
      <c r="AM59" s="638"/>
      <c r="AN59" s="638"/>
    </row>
    <row r="60" spans="1:40" ht="54.95" customHeight="1">
      <c r="A60" s="906" t="s">
        <v>28</v>
      </c>
      <c r="B60" s="907"/>
      <c r="C60" s="641">
        <f t="shared" ref="C60" si="5">SUM(C12:C15)</f>
        <v>0</v>
      </c>
      <c r="D60" s="642">
        <f t="shared" ref="D60:Z60" si="6">SUM(D12:D15)</f>
        <v>0</v>
      </c>
      <c r="E60" s="643">
        <f t="shared" si="6"/>
        <v>0</v>
      </c>
      <c r="F60" s="644">
        <f t="shared" si="6"/>
        <v>0</v>
      </c>
      <c r="G60" s="641">
        <f t="shared" si="6"/>
        <v>0</v>
      </c>
      <c r="H60" s="642">
        <f t="shared" si="6"/>
        <v>0</v>
      </c>
      <c r="I60" s="643">
        <f t="shared" si="6"/>
        <v>0</v>
      </c>
      <c r="J60" s="644">
        <f t="shared" si="6"/>
        <v>0</v>
      </c>
      <c r="K60" s="641">
        <f t="shared" si="6"/>
        <v>0</v>
      </c>
      <c r="L60" s="642">
        <f t="shared" si="6"/>
        <v>0</v>
      </c>
      <c r="M60" s="643">
        <f t="shared" si="6"/>
        <v>0</v>
      </c>
      <c r="N60" s="644">
        <f t="shared" si="6"/>
        <v>0</v>
      </c>
      <c r="O60" s="641">
        <f t="shared" si="6"/>
        <v>0</v>
      </c>
      <c r="P60" s="642">
        <f t="shared" si="6"/>
        <v>0</v>
      </c>
      <c r="Q60" s="643">
        <f t="shared" si="6"/>
        <v>0</v>
      </c>
      <c r="R60" s="644">
        <f t="shared" si="6"/>
        <v>0</v>
      </c>
      <c r="S60" s="641">
        <f t="shared" si="6"/>
        <v>0</v>
      </c>
      <c r="T60" s="642">
        <f t="shared" si="6"/>
        <v>0</v>
      </c>
      <c r="U60" s="643">
        <f t="shared" si="6"/>
        <v>0</v>
      </c>
      <c r="V60" s="644">
        <f t="shared" si="6"/>
        <v>0</v>
      </c>
      <c r="W60" s="641">
        <f t="shared" si="6"/>
        <v>0</v>
      </c>
      <c r="X60" s="642">
        <f t="shared" si="6"/>
        <v>0</v>
      </c>
      <c r="Y60" s="643">
        <f t="shared" si="6"/>
        <v>0</v>
      </c>
      <c r="Z60" s="644">
        <f t="shared" si="6"/>
        <v>0</v>
      </c>
      <c r="AA60" s="944" t="s">
        <v>28</v>
      </c>
      <c r="AB60" s="945"/>
      <c r="AC60" s="645">
        <f t="shared" ref="AC60:AC65" si="7">SUM(C60:Z60)+SUM(C72:Z72)</f>
        <v>0</v>
      </c>
      <c r="AD60" s="540">
        <f>IF(AC60=0,0,AD72/AC60)</f>
        <v>0</v>
      </c>
      <c r="AE60" s="540">
        <f>IF(AC60=0,0,AE72/AC60)</f>
        <v>0</v>
      </c>
      <c r="AF60" s="540">
        <f>IF(AE72=0,0,AF72/AE72)</f>
        <v>0</v>
      </c>
      <c r="AG60" s="540">
        <f t="shared" ref="AG60:AG66" si="8">IF(AC60=0,0,AG72/AC60)</f>
        <v>0</v>
      </c>
      <c r="AH60" s="646"/>
      <c r="AI60" s="647"/>
      <c r="AJ60" s="648"/>
      <c r="AK60" s="638"/>
      <c r="AL60" s="638"/>
      <c r="AM60" s="638"/>
      <c r="AN60" s="638"/>
    </row>
    <row r="61" spans="1:40" ht="54.95" customHeight="1">
      <c r="A61" s="899" t="s">
        <v>11</v>
      </c>
      <c r="B61" s="900"/>
      <c r="C61" s="649">
        <f t="shared" ref="C61:Z61" si="9">SUM(C14:C17)</f>
        <v>0</v>
      </c>
      <c r="D61" s="650">
        <f t="shared" si="9"/>
        <v>0</v>
      </c>
      <c r="E61" s="651">
        <f t="shared" si="9"/>
        <v>0</v>
      </c>
      <c r="F61" s="652">
        <f t="shared" si="9"/>
        <v>0</v>
      </c>
      <c r="G61" s="649">
        <f t="shared" si="9"/>
        <v>0</v>
      </c>
      <c r="H61" s="650">
        <f t="shared" si="9"/>
        <v>0</v>
      </c>
      <c r="I61" s="651">
        <f t="shared" si="9"/>
        <v>0</v>
      </c>
      <c r="J61" s="652">
        <f t="shared" si="9"/>
        <v>0</v>
      </c>
      <c r="K61" s="649">
        <f t="shared" si="9"/>
        <v>0</v>
      </c>
      <c r="L61" s="650">
        <f t="shared" si="9"/>
        <v>0</v>
      </c>
      <c r="M61" s="651">
        <f t="shared" si="9"/>
        <v>0</v>
      </c>
      <c r="N61" s="652">
        <f t="shared" si="9"/>
        <v>0</v>
      </c>
      <c r="O61" s="649">
        <f t="shared" si="9"/>
        <v>0</v>
      </c>
      <c r="P61" s="650">
        <f t="shared" si="9"/>
        <v>0</v>
      </c>
      <c r="Q61" s="651">
        <f t="shared" si="9"/>
        <v>0</v>
      </c>
      <c r="R61" s="652">
        <f t="shared" si="9"/>
        <v>0</v>
      </c>
      <c r="S61" s="649">
        <f t="shared" si="9"/>
        <v>0</v>
      </c>
      <c r="T61" s="650">
        <f t="shared" si="9"/>
        <v>0</v>
      </c>
      <c r="U61" s="651">
        <f t="shared" si="9"/>
        <v>0</v>
      </c>
      <c r="V61" s="652">
        <f t="shared" si="9"/>
        <v>0</v>
      </c>
      <c r="W61" s="649">
        <f t="shared" si="9"/>
        <v>0</v>
      </c>
      <c r="X61" s="650">
        <f t="shared" si="9"/>
        <v>0</v>
      </c>
      <c r="Y61" s="651">
        <f t="shared" si="9"/>
        <v>0</v>
      </c>
      <c r="Z61" s="652">
        <f t="shared" si="9"/>
        <v>0</v>
      </c>
      <c r="AA61" s="946" t="s">
        <v>11</v>
      </c>
      <c r="AB61" s="947"/>
      <c r="AC61" s="653">
        <f t="shared" si="7"/>
        <v>0</v>
      </c>
      <c r="AD61" s="548">
        <f t="shared" ref="AD61:AD66" si="10">IF(AC61=0,0,AD73/AC61)</f>
        <v>0</v>
      </c>
      <c r="AE61" s="548">
        <f t="shared" ref="AE61:AE66" si="11">IF(AC61=0,0,AE73/AC61)</f>
        <v>0</v>
      </c>
      <c r="AF61" s="548">
        <f t="shared" ref="AF61:AF66" si="12">IF(AE73=0,0,AF73/AE73)</f>
        <v>0</v>
      </c>
      <c r="AG61" s="548">
        <f t="shared" si="8"/>
        <v>0</v>
      </c>
      <c r="AH61" s="654"/>
      <c r="AI61" s="655"/>
      <c r="AJ61" s="656"/>
      <c r="AK61" s="638"/>
      <c r="AL61" s="638"/>
      <c r="AM61" s="638"/>
      <c r="AN61" s="638"/>
    </row>
    <row r="62" spans="1:40" ht="54.95" customHeight="1">
      <c r="A62" s="899" t="s">
        <v>17</v>
      </c>
      <c r="B62" s="900"/>
      <c r="C62" s="649">
        <f t="shared" ref="C62:Z62" si="13">SUM(C16:C19)</f>
        <v>0</v>
      </c>
      <c r="D62" s="650">
        <f t="shared" si="13"/>
        <v>0</v>
      </c>
      <c r="E62" s="651">
        <f t="shared" si="13"/>
        <v>0</v>
      </c>
      <c r="F62" s="652">
        <f t="shared" si="13"/>
        <v>0</v>
      </c>
      <c r="G62" s="649">
        <f t="shared" si="13"/>
        <v>0</v>
      </c>
      <c r="H62" s="650">
        <f t="shared" si="13"/>
        <v>0</v>
      </c>
      <c r="I62" s="651">
        <f t="shared" si="13"/>
        <v>0</v>
      </c>
      <c r="J62" s="652">
        <f t="shared" si="13"/>
        <v>0</v>
      </c>
      <c r="K62" s="649">
        <f t="shared" si="13"/>
        <v>0</v>
      </c>
      <c r="L62" s="650">
        <f t="shared" si="13"/>
        <v>0</v>
      </c>
      <c r="M62" s="651">
        <f t="shared" si="13"/>
        <v>0</v>
      </c>
      <c r="N62" s="652">
        <f t="shared" si="13"/>
        <v>0</v>
      </c>
      <c r="O62" s="649">
        <f t="shared" si="13"/>
        <v>0</v>
      </c>
      <c r="P62" s="650">
        <f t="shared" si="13"/>
        <v>0</v>
      </c>
      <c r="Q62" s="651">
        <f t="shared" si="13"/>
        <v>0</v>
      </c>
      <c r="R62" s="652">
        <f t="shared" si="13"/>
        <v>0</v>
      </c>
      <c r="S62" s="649">
        <f t="shared" si="13"/>
        <v>0</v>
      </c>
      <c r="T62" s="650">
        <f t="shared" si="13"/>
        <v>0</v>
      </c>
      <c r="U62" s="651">
        <f t="shared" si="13"/>
        <v>0</v>
      </c>
      <c r="V62" s="652">
        <f t="shared" si="13"/>
        <v>0</v>
      </c>
      <c r="W62" s="649">
        <f t="shared" si="13"/>
        <v>0</v>
      </c>
      <c r="X62" s="650">
        <f t="shared" si="13"/>
        <v>0</v>
      </c>
      <c r="Y62" s="651">
        <f t="shared" si="13"/>
        <v>0</v>
      </c>
      <c r="Z62" s="652">
        <f t="shared" si="13"/>
        <v>0</v>
      </c>
      <c r="AA62" s="946" t="s">
        <v>17</v>
      </c>
      <c r="AB62" s="947"/>
      <c r="AC62" s="653">
        <f t="shared" si="7"/>
        <v>0</v>
      </c>
      <c r="AD62" s="548">
        <f t="shared" si="10"/>
        <v>0</v>
      </c>
      <c r="AE62" s="548">
        <f t="shared" si="11"/>
        <v>0</v>
      </c>
      <c r="AF62" s="548">
        <f t="shared" si="12"/>
        <v>0</v>
      </c>
      <c r="AG62" s="548">
        <f t="shared" si="8"/>
        <v>0</v>
      </c>
      <c r="AH62" s="654"/>
      <c r="AI62" s="655"/>
      <c r="AJ62" s="656"/>
      <c r="AK62" s="638"/>
      <c r="AL62" s="638"/>
      <c r="AM62" s="638"/>
      <c r="AN62" s="638"/>
    </row>
    <row r="63" spans="1:40" ht="54.95" customHeight="1">
      <c r="A63" s="899" t="s">
        <v>10</v>
      </c>
      <c r="B63" s="900"/>
      <c r="C63" s="649">
        <f t="shared" ref="C63:Z63" si="14">SUM(C18:C21)</f>
        <v>0</v>
      </c>
      <c r="D63" s="650">
        <f t="shared" si="14"/>
        <v>0</v>
      </c>
      <c r="E63" s="651">
        <f t="shared" si="14"/>
        <v>0</v>
      </c>
      <c r="F63" s="652">
        <f t="shared" si="14"/>
        <v>0</v>
      </c>
      <c r="G63" s="649">
        <f t="shared" si="14"/>
        <v>0</v>
      </c>
      <c r="H63" s="650">
        <f t="shared" si="14"/>
        <v>0</v>
      </c>
      <c r="I63" s="651">
        <f t="shared" si="14"/>
        <v>0</v>
      </c>
      <c r="J63" s="652">
        <f t="shared" si="14"/>
        <v>0</v>
      </c>
      <c r="K63" s="649">
        <f t="shared" si="14"/>
        <v>0</v>
      </c>
      <c r="L63" s="650">
        <f t="shared" si="14"/>
        <v>0</v>
      </c>
      <c r="M63" s="651">
        <f t="shared" si="14"/>
        <v>0</v>
      </c>
      <c r="N63" s="652">
        <f t="shared" si="14"/>
        <v>0</v>
      </c>
      <c r="O63" s="649">
        <f t="shared" si="14"/>
        <v>0</v>
      </c>
      <c r="P63" s="650">
        <f t="shared" si="14"/>
        <v>0</v>
      </c>
      <c r="Q63" s="651">
        <f t="shared" si="14"/>
        <v>0</v>
      </c>
      <c r="R63" s="652">
        <f t="shared" si="14"/>
        <v>0</v>
      </c>
      <c r="S63" s="649">
        <f t="shared" si="14"/>
        <v>0</v>
      </c>
      <c r="T63" s="650">
        <f t="shared" si="14"/>
        <v>0</v>
      </c>
      <c r="U63" s="651">
        <f t="shared" si="14"/>
        <v>0</v>
      </c>
      <c r="V63" s="652">
        <f t="shared" si="14"/>
        <v>0</v>
      </c>
      <c r="W63" s="649">
        <f t="shared" si="14"/>
        <v>0</v>
      </c>
      <c r="X63" s="650">
        <f t="shared" si="14"/>
        <v>0</v>
      </c>
      <c r="Y63" s="651">
        <f t="shared" si="14"/>
        <v>0</v>
      </c>
      <c r="Z63" s="652">
        <f t="shared" si="14"/>
        <v>0</v>
      </c>
      <c r="AA63" s="946" t="s">
        <v>10</v>
      </c>
      <c r="AB63" s="947"/>
      <c r="AC63" s="653">
        <f t="shared" si="7"/>
        <v>0</v>
      </c>
      <c r="AD63" s="548">
        <f t="shared" si="10"/>
        <v>0</v>
      </c>
      <c r="AE63" s="548">
        <f t="shared" si="11"/>
        <v>0</v>
      </c>
      <c r="AF63" s="548">
        <f t="shared" si="12"/>
        <v>0</v>
      </c>
      <c r="AG63" s="548">
        <f t="shared" si="8"/>
        <v>0</v>
      </c>
      <c r="AH63" s="654"/>
      <c r="AI63" s="655"/>
      <c r="AJ63" s="656"/>
      <c r="AK63" s="638"/>
      <c r="AL63" s="638"/>
      <c r="AM63" s="638"/>
      <c r="AN63" s="638"/>
    </row>
    <row r="64" spans="1:40" ht="54.95" customHeight="1">
      <c r="A64" s="910" t="s">
        <v>29</v>
      </c>
      <c r="B64" s="911"/>
      <c r="C64" s="657">
        <f t="shared" ref="C64:Z64" si="15">SUM(C20:C23)</f>
        <v>0</v>
      </c>
      <c r="D64" s="658">
        <f t="shared" si="15"/>
        <v>0</v>
      </c>
      <c r="E64" s="659">
        <f t="shared" si="15"/>
        <v>0</v>
      </c>
      <c r="F64" s="660">
        <f t="shared" si="15"/>
        <v>0</v>
      </c>
      <c r="G64" s="657">
        <f t="shared" si="15"/>
        <v>0</v>
      </c>
      <c r="H64" s="658">
        <f t="shared" si="15"/>
        <v>0</v>
      </c>
      <c r="I64" s="659">
        <f t="shared" si="15"/>
        <v>0</v>
      </c>
      <c r="J64" s="660">
        <f t="shared" si="15"/>
        <v>0</v>
      </c>
      <c r="K64" s="657">
        <f t="shared" si="15"/>
        <v>0</v>
      </c>
      <c r="L64" s="658">
        <f t="shared" si="15"/>
        <v>0</v>
      </c>
      <c r="M64" s="659">
        <f t="shared" si="15"/>
        <v>0</v>
      </c>
      <c r="N64" s="660">
        <f t="shared" si="15"/>
        <v>0</v>
      </c>
      <c r="O64" s="657">
        <f t="shared" si="15"/>
        <v>0</v>
      </c>
      <c r="P64" s="658">
        <f t="shared" si="15"/>
        <v>0</v>
      </c>
      <c r="Q64" s="659">
        <f t="shared" si="15"/>
        <v>0</v>
      </c>
      <c r="R64" s="660">
        <f t="shared" si="15"/>
        <v>0</v>
      </c>
      <c r="S64" s="657">
        <f t="shared" si="15"/>
        <v>0</v>
      </c>
      <c r="T64" s="658">
        <f t="shared" si="15"/>
        <v>0</v>
      </c>
      <c r="U64" s="659">
        <f t="shared" si="15"/>
        <v>0</v>
      </c>
      <c r="V64" s="660">
        <f t="shared" si="15"/>
        <v>0</v>
      </c>
      <c r="W64" s="657">
        <f t="shared" si="15"/>
        <v>0</v>
      </c>
      <c r="X64" s="658">
        <f t="shared" si="15"/>
        <v>0</v>
      </c>
      <c r="Y64" s="659">
        <f t="shared" si="15"/>
        <v>0</v>
      </c>
      <c r="Z64" s="660">
        <f t="shared" si="15"/>
        <v>0</v>
      </c>
      <c r="AA64" s="953" t="s">
        <v>29</v>
      </c>
      <c r="AB64" s="954"/>
      <c r="AC64" s="661">
        <f t="shared" si="7"/>
        <v>0</v>
      </c>
      <c r="AD64" s="556">
        <f t="shared" si="10"/>
        <v>0</v>
      </c>
      <c r="AE64" s="556">
        <f t="shared" si="11"/>
        <v>0</v>
      </c>
      <c r="AF64" s="556">
        <f t="shared" si="12"/>
        <v>0</v>
      </c>
      <c r="AG64" s="556">
        <f t="shared" si="8"/>
        <v>0</v>
      </c>
      <c r="AH64" s="662"/>
      <c r="AI64" s="663"/>
      <c r="AJ64" s="664"/>
      <c r="AK64" s="638"/>
      <c r="AL64" s="638"/>
      <c r="AM64" s="638"/>
      <c r="AN64" s="638"/>
    </row>
    <row r="65" spans="1:43" ht="54.95" customHeight="1">
      <c r="A65" s="920" t="s">
        <v>12</v>
      </c>
      <c r="B65" s="921"/>
      <c r="C65" s="665">
        <f>SUM(C12:C23)</f>
        <v>0</v>
      </c>
      <c r="D65" s="666">
        <f t="shared" ref="D65:Z65" si="16">SUM(D12:D23)</f>
        <v>0</v>
      </c>
      <c r="E65" s="667">
        <f t="shared" si="16"/>
        <v>0</v>
      </c>
      <c r="F65" s="668">
        <f t="shared" si="16"/>
        <v>0</v>
      </c>
      <c r="G65" s="665">
        <f t="shared" si="16"/>
        <v>0</v>
      </c>
      <c r="H65" s="666">
        <f t="shared" si="16"/>
        <v>0</v>
      </c>
      <c r="I65" s="667">
        <f t="shared" si="16"/>
        <v>0</v>
      </c>
      <c r="J65" s="668">
        <f t="shared" si="16"/>
        <v>0</v>
      </c>
      <c r="K65" s="665">
        <f t="shared" si="16"/>
        <v>0</v>
      </c>
      <c r="L65" s="666">
        <f t="shared" si="16"/>
        <v>0</v>
      </c>
      <c r="M65" s="667">
        <f t="shared" si="16"/>
        <v>0</v>
      </c>
      <c r="N65" s="668">
        <f t="shared" si="16"/>
        <v>0</v>
      </c>
      <c r="O65" s="665">
        <f t="shared" si="16"/>
        <v>0</v>
      </c>
      <c r="P65" s="666">
        <f t="shared" si="16"/>
        <v>0</v>
      </c>
      <c r="Q65" s="667">
        <f t="shared" si="16"/>
        <v>0</v>
      </c>
      <c r="R65" s="668">
        <f t="shared" si="16"/>
        <v>0</v>
      </c>
      <c r="S65" s="665">
        <f t="shared" si="16"/>
        <v>0</v>
      </c>
      <c r="T65" s="666">
        <f t="shared" si="16"/>
        <v>0</v>
      </c>
      <c r="U65" s="667">
        <f t="shared" si="16"/>
        <v>0</v>
      </c>
      <c r="V65" s="668">
        <f t="shared" si="16"/>
        <v>0</v>
      </c>
      <c r="W65" s="665">
        <f t="shared" si="16"/>
        <v>0</v>
      </c>
      <c r="X65" s="666">
        <f t="shared" si="16"/>
        <v>0</v>
      </c>
      <c r="Y65" s="667">
        <f t="shared" si="16"/>
        <v>0</v>
      </c>
      <c r="Z65" s="668">
        <f t="shared" si="16"/>
        <v>0</v>
      </c>
      <c r="AA65" s="948" t="s">
        <v>12</v>
      </c>
      <c r="AB65" s="949"/>
      <c r="AC65" s="669">
        <f t="shared" si="7"/>
        <v>0</v>
      </c>
      <c r="AD65" s="564">
        <f t="shared" si="10"/>
        <v>0</v>
      </c>
      <c r="AE65" s="564">
        <f t="shared" si="11"/>
        <v>0</v>
      </c>
      <c r="AF65" s="564">
        <f t="shared" si="12"/>
        <v>0</v>
      </c>
      <c r="AG65" s="564">
        <f t="shared" si="8"/>
        <v>0</v>
      </c>
      <c r="AH65" s="670"/>
      <c r="AI65" s="671"/>
      <c r="AJ65" s="672"/>
      <c r="AK65" s="638"/>
      <c r="AL65" s="638"/>
      <c r="AM65" s="638"/>
      <c r="AN65" s="638"/>
    </row>
    <row r="66" spans="1:43" ht="54.95" customHeight="1" thickBot="1">
      <c r="A66" s="927" t="str">
        <f>IF($AC$60=MAX($AC$60:$AC$64),A60,IF($AC$61=MAX($AC$60:$AC$64),A61,IF($AC$62=MAX($AC$60:$AC$64),A62,IF($AC$63=MAX($AC$60:$AC$64),A63,A64))))</f>
        <v>de 6:30 à 7:30</v>
      </c>
      <c r="B66" s="928"/>
      <c r="C66" s="673">
        <f>IF($AC$60=MAX($AC$60:$AC$64),C60,IF($AC$61=MAX($AC$60:$AC$64),C61,IF($AC$62=MAX($AC$60:$AC$64),C62,IF($AC$63=MAX($AC$60:$AC$64),(C63),C64))))</f>
        <v>0</v>
      </c>
      <c r="D66" s="674">
        <f t="shared" ref="D66:Z66" si="17">IF($AC$60=MAX($AC$60:$AC$64),D60,IF($AC$61=MAX($AC$60:$AC$64),D61,IF($AC$62=MAX($AC$60:$AC$64),D62,IF($AC$63=MAX($AC$60:$AC$64),(D63),D64))))</f>
        <v>0</v>
      </c>
      <c r="E66" s="675">
        <f t="shared" si="17"/>
        <v>0</v>
      </c>
      <c r="F66" s="676">
        <f t="shared" si="17"/>
        <v>0</v>
      </c>
      <c r="G66" s="673">
        <f t="shared" si="17"/>
        <v>0</v>
      </c>
      <c r="H66" s="674">
        <f t="shared" si="17"/>
        <v>0</v>
      </c>
      <c r="I66" s="675">
        <f t="shared" si="17"/>
        <v>0</v>
      </c>
      <c r="J66" s="676">
        <f t="shared" si="17"/>
        <v>0</v>
      </c>
      <c r="K66" s="673">
        <f t="shared" si="17"/>
        <v>0</v>
      </c>
      <c r="L66" s="674">
        <f t="shared" si="17"/>
        <v>0</v>
      </c>
      <c r="M66" s="675">
        <f t="shared" si="17"/>
        <v>0</v>
      </c>
      <c r="N66" s="676">
        <f t="shared" si="17"/>
        <v>0</v>
      </c>
      <c r="O66" s="673">
        <f t="shared" si="17"/>
        <v>0</v>
      </c>
      <c r="P66" s="674">
        <f t="shared" si="17"/>
        <v>0</v>
      </c>
      <c r="Q66" s="675">
        <f t="shared" si="17"/>
        <v>0</v>
      </c>
      <c r="R66" s="676">
        <f t="shared" si="17"/>
        <v>0</v>
      </c>
      <c r="S66" s="673">
        <f t="shared" si="17"/>
        <v>0</v>
      </c>
      <c r="T66" s="674">
        <f t="shared" si="17"/>
        <v>0</v>
      </c>
      <c r="U66" s="675">
        <f t="shared" si="17"/>
        <v>0</v>
      </c>
      <c r="V66" s="676">
        <f t="shared" si="17"/>
        <v>0</v>
      </c>
      <c r="W66" s="673">
        <f t="shared" si="17"/>
        <v>0</v>
      </c>
      <c r="X66" s="674">
        <f t="shared" si="17"/>
        <v>0</v>
      </c>
      <c r="Y66" s="675">
        <f t="shared" si="17"/>
        <v>0</v>
      </c>
      <c r="Z66" s="676">
        <f t="shared" si="17"/>
        <v>0</v>
      </c>
      <c r="AA66" s="950" t="str">
        <f>IF($AC$60=MAX($AC$60:$AC$64),A60,IF($AC$61=MAX($AC$60:$AC$64),A61,IF($AC$62=MAX($AC$60:$AC$64),A62,IF($AC$63=MAX($AC$60:$AC$64),A63,A64))))</f>
        <v>de 6:30 à 7:30</v>
      </c>
      <c r="AB66" s="951"/>
      <c r="AC66" s="677">
        <f>IF($AC$60=MAX($AC$60:$AC$64),AC60,IF($AC$61=MAX($AC$60:$AC$64),AC61,IF($AC$62=MAX($AC$60:$AC$64),AC62,IF($AC$63=MAX($AC$60:$AC$64),(AC63),AC64))))</f>
        <v>0</v>
      </c>
      <c r="AD66" s="572">
        <f t="shared" si="10"/>
        <v>0</v>
      </c>
      <c r="AE66" s="572">
        <f t="shared" si="11"/>
        <v>0</v>
      </c>
      <c r="AF66" s="572">
        <f t="shared" si="12"/>
        <v>0</v>
      </c>
      <c r="AG66" s="572">
        <f t="shared" si="8"/>
        <v>0</v>
      </c>
      <c r="AH66" s="678"/>
      <c r="AI66" s="679"/>
      <c r="AJ66" s="680"/>
      <c r="AK66" s="638"/>
      <c r="AL66" s="638"/>
      <c r="AM66" s="638"/>
      <c r="AN66" s="638"/>
    </row>
    <row r="67" spans="1:43" ht="12.75" customHeight="1" thickTop="1" thickBot="1">
      <c r="A67" s="637"/>
      <c r="B67" s="513"/>
      <c r="C67" s="513"/>
      <c r="D67" s="513"/>
      <c r="E67" s="513"/>
      <c r="F67" s="513"/>
      <c r="G67" s="513"/>
      <c r="H67" s="513"/>
      <c r="I67" s="513"/>
      <c r="J67" s="513"/>
      <c r="K67" s="513"/>
      <c r="L67" s="513"/>
      <c r="M67" s="513"/>
      <c r="N67" s="513"/>
      <c r="O67" s="513"/>
      <c r="P67" s="513"/>
      <c r="Q67" s="513"/>
      <c r="R67" s="513"/>
      <c r="S67" s="513"/>
      <c r="T67" s="513"/>
      <c r="U67" s="513"/>
      <c r="V67" s="513"/>
      <c r="W67" s="513"/>
      <c r="X67" s="513"/>
      <c r="Y67" s="513"/>
      <c r="Z67" s="510"/>
      <c r="AA67" s="952"/>
      <c r="AB67" s="952"/>
      <c r="AC67" s="681"/>
      <c r="AD67" s="682"/>
      <c r="AE67" s="682"/>
      <c r="AF67" s="682"/>
      <c r="AG67" s="682"/>
      <c r="AH67" s="590"/>
      <c r="AI67" s="590"/>
      <c r="AJ67" s="590"/>
    </row>
    <row r="68" spans="1:43" ht="32.25" customHeight="1" thickTop="1">
      <c r="A68" s="512"/>
      <c r="B68" s="513"/>
      <c r="C68" s="856" t="str">
        <f>C32</f>
        <v>Depuis 'Pers-Jussy'</v>
      </c>
      <c r="D68" s="857"/>
      <c r="E68" s="857"/>
      <c r="F68" s="857"/>
      <c r="G68" s="857"/>
      <c r="H68" s="857"/>
      <c r="I68" s="857"/>
      <c r="J68" s="857"/>
      <c r="K68" s="857"/>
      <c r="L68" s="857"/>
      <c r="M68" s="857"/>
      <c r="N68" s="857"/>
      <c r="O68" s="856" t="str">
        <f>O32</f>
        <v>Depuis 'Esery - Méran'</v>
      </c>
      <c r="P68" s="857"/>
      <c r="Q68" s="857"/>
      <c r="R68" s="857"/>
      <c r="S68" s="857"/>
      <c r="T68" s="857"/>
      <c r="U68" s="857"/>
      <c r="V68" s="857"/>
      <c r="W68" s="857"/>
      <c r="X68" s="857"/>
      <c r="Y68" s="857"/>
      <c r="Z68" s="858"/>
      <c r="AA68" s="952"/>
      <c r="AB68" s="952"/>
      <c r="AC68" s="681"/>
      <c r="AD68" s="875" t="s">
        <v>115</v>
      </c>
      <c r="AE68" s="875" t="s">
        <v>116</v>
      </c>
      <c r="AF68" s="875" t="s">
        <v>117</v>
      </c>
      <c r="AG68" s="875" t="s">
        <v>19</v>
      </c>
      <c r="AH68" s="590"/>
      <c r="AI68" s="590"/>
      <c r="AJ68" s="590"/>
      <c r="AK68" s="638"/>
      <c r="AL68" s="638"/>
      <c r="AM68" s="638"/>
      <c r="AN68" s="638"/>
    </row>
    <row r="69" spans="1:43" ht="22.7" customHeight="1">
      <c r="A69" s="512"/>
      <c r="B69" s="513"/>
      <c r="C69" s="859" t="str">
        <f>C33</f>
        <v>vers 'Esery - Méran'</v>
      </c>
      <c r="D69" s="860"/>
      <c r="E69" s="860"/>
      <c r="F69" s="860"/>
      <c r="G69" s="859" t="str">
        <f t="shared" ref="G69" si="18">G33</f>
        <v>vers 'Annemasse - Genève'</v>
      </c>
      <c r="H69" s="860"/>
      <c r="I69" s="860"/>
      <c r="J69" s="860"/>
      <c r="K69" s="859" t="str">
        <f t="shared" ref="K69" si="19">K33</f>
        <v>vers 'Carrefour - Bersat'</v>
      </c>
      <c r="L69" s="860"/>
      <c r="M69" s="860"/>
      <c r="N69" s="860"/>
      <c r="O69" s="859" t="str">
        <f t="shared" ref="O69" si="20">O33</f>
        <v>vers 'Annemasse - Genève'</v>
      </c>
      <c r="P69" s="860"/>
      <c r="Q69" s="860"/>
      <c r="R69" s="860"/>
      <c r="S69" s="859" t="str">
        <f t="shared" ref="S69" si="21">S33</f>
        <v>vers 'Carrefour - Bersat'</v>
      </c>
      <c r="T69" s="860"/>
      <c r="U69" s="860"/>
      <c r="V69" s="860"/>
      <c r="W69" s="859" t="str">
        <f t="shared" ref="W69" si="22">W33</f>
        <v>vers 'Pers-Jussy'</v>
      </c>
      <c r="X69" s="860"/>
      <c r="Y69" s="860"/>
      <c r="Z69" s="872"/>
      <c r="AA69" s="952"/>
      <c r="AB69" s="952"/>
      <c r="AC69" s="681"/>
      <c r="AD69" s="876"/>
      <c r="AE69" s="876"/>
      <c r="AF69" s="876"/>
      <c r="AG69" s="876"/>
      <c r="AH69" s="590"/>
      <c r="AI69" s="590"/>
      <c r="AJ69" s="590"/>
      <c r="AK69" s="638"/>
      <c r="AL69" s="638"/>
      <c r="AM69" s="638"/>
      <c r="AN69" s="638"/>
    </row>
    <row r="70" spans="1:43" ht="18.600000000000001" customHeight="1" thickBot="1">
      <c r="A70" s="512"/>
      <c r="B70" s="513"/>
      <c r="C70" s="940" t="s">
        <v>4</v>
      </c>
      <c r="D70" s="941"/>
      <c r="E70" s="942" t="s">
        <v>5</v>
      </c>
      <c r="F70" s="943"/>
      <c r="G70" s="943" t="s">
        <v>4</v>
      </c>
      <c r="H70" s="940"/>
      <c r="I70" s="942" t="s">
        <v>5</v>
      </c>
      <c r="J70" s="943"/>
      <c r="K70" s="943" t="s">
        <v>4</v>
      </c>
      <c r="L70" s="940"/>
      <c r="M70" s="942" t="s">
        <v>5</v>
      </c>
      <c r="N70" s="943"/>
      <c r="O70" s="943" t="s">
        <v>4</v>
      </c>
      <c r="P70" s="940"/>
      <c r="Q70" s="942" t="s">
        <v>5</v>
      </c>
      <c r="R70" s="943"/>
      <c r="S70" s="943" t="s">
        <v>4</v>
      </c>
      <c r="T70" s="940"/>
      <c r="U70" s="942" t="s">
        <v>5</v>
      </c>
      <c r="V70" s="943"/>
      <c r="W70" s="943" t="s">
        <v>4</v>
      </c>
      <c r="X70" s="940"/>
      <c r="Y70" s="941" t="s">
        <v>5</v>
      </c>
      <c r="Z70" s="942"/>
      <c r="AA70" s="952"/>
      <c r="AB70" s="952"/>
      <c r="AC70" s="681"/>
      <c r="AD70" s="876"/>
      <c r="AE70" s="876"/>
      <c r="AF70" s="876"/>
      <c r="AG70" s="876"/>
      <c r="AH70" s="590"/>
      <c r="AI70" s="590"/>
      <c r="AJ70" s="590"/>
      <c r="AK70" s="638"/>
      <c r="AL70" s="638"/>
      <c r="AM70" s="638"/>
      <c r="AN70" s="638"/>
    </row>
    <row r="71" spans="1:43" ht="21.75" customHeight="1" thickTop="1">
      <c r="A71" s="892" t="s">
        <v>13</v>
      </c>
      <c r="B71" s="893"/>
      <c r="C71" s="601" t="s">
        <v>8</v>
      </c>
      <c r="D71" s="606" t="s">
        <v>9</v>
      </c>
      <c r="E71" s="603" t="s">
        <v>8</v>
      </c>
      <c r="F71" s="640" t="s">
        <v>9</v>
      </c>
      <c r="G71" s="601" t="s">
        <v>8</v>
      </c>
      <c r="H71" s="606" t="s">
        <v>9</v>
      </c>
      <c r="I71" s="603" t="s">
        <v>8</v>
      </c>
      <c r="J71" s="640" t="s">
        <v>9</v>
      </c>
      <c r="K71" s="601" t="s">
        <v>8</v>
      </c>
      <c r="L71" s="606" t="s">
        <v>9</v>
      </c>
      <c r="M71" s="603" t="s">
        <v>8</v>
      </c>
      <c r="N71" s="640" t="s">
        <v>9</v>
      </c>
      <c r="O71" s="601" t="s">
        <v>8</v>
      </c>
      <c r="P71" s="606" t="s">
        <v>9</v>
      </c>
      <c r="Q71" s="603" t="s">
        <v>8</v>
      </c>
      <c r="R71" s="640" t="s">
        <v>9</v>
      </c>
      <c r="S71" s="601" t="s">
        <v>8</v>
      </c>
      <c r="T71" s="606" t="s">
        <v>9</v>
      </c>
      <c r="U71" s="603" t="s">
        <v>8</v>
      </c>
      <c r="V71" s="640" t="s">
        <v>9</v>
      </c>
      <c r="W71" s="601" t="s">
        <v>8</v>
      </c>
      <c r="X71" s="606" t="s">
        <v>9</v>
      </c>
      <c r="Y71" s="603" t="s">
        <v>8</v>
      </c>
      <c r="Z71" s="640" t="s">
        <v>9</v>
      </c>
      <c r="AA71" s="952"/>
      <c r="AB71" s="952"/>
      <c r="AC71" s="681"/>
      <c r="AD71" s="877"/>
      <c r="AE71" s="877"/>
      <c r="AF71" s="877"/>
      <c r="AG71" s="877"/>
      <c r="AH71" s="590"/>
      <c r="AI71" s="590"/>
      <c r="AJ71" s="590"/>
      <c r="AK71" s="638"/>
      <c r="AL71" s="638"/>
      <c r="AM71" s="638"/>
      <c r="AN71" s="638"/>
    </row>
    <row r="72" spans="1:43" ht="54.95" customHeight="1">
      <c r="A72" s="906" t="s">
        <v>28</v>
      </c>
      <c r="B72" s="907"/>
      <c r="C72" s="641">
        <f>SUM(C36:C39)</f>
        <v>0</v>
      </c>
      <c r="D72" s="642">
        <f t="shared" ref="D72:Z72" si="23">SUM(D36:D39)</f>
        <v>0</v>
      </c>
      <c r="E72" s="643">
        <f t="shared" si="23"/>
        <v>0</v>
      </c>
      <c r="F72" s="644">
        <f t="shared" si="23"/>
        <v>0</v>
      </c>
      <c r="G72" s="641">
        <f t="shared" si="23"/>
        <v>0</v>
      </c>
      <c r="H72" s="642">
        <f t="shared" si="23"/>
        <v>0</v>
      </c>
      <c r="I72" s="643">
        <f t="shared" si="23"/>
        <v>0</v>
      </c>
      <c r="J72" s="644">
        <f t="shared" si="23"/>
        <v>0</v>
      </c>
      <c r="K72" s="641">
        <f t="shared" si="23"/>
        <v>0</v>
      </c>
      <c r="L72" s="642">
        <f t="shared" si="23"/>
        <v>0</v>
      </c>
      <c r="M72" s="643">
        <f t="shared" si="23"/>
        <v>0</v>
      </c>
      <c r="N72" s="644">
        <f t="shared" si="23"/>
        <v>0</v>
      </c>
      <c r="O72" s="641">
        <f t="shared" si="23"/>
        <v>0</v>
      </c>
      <c r="P72" s="642">
        <f t="shared" si="23"/>
        <v>0</v>
      </c>
      <c r="Q72" s="643">
        <f t="shared" si="23"/>
        <v>0</v>
      </c>
      <c r="R72" s="644">
        <f t="shared" si="23"/>
        <v>0</v>
      </c>
      <c r="S72" s="641">
        <f t="shared" si="23"/>
        <v>0</v>
      </c>
      <c r="T72" s="642">
        <f t="shared" si="23"/>
        <v>0</v>
      </c>
      <c r="U72" s="643">
        <f t="shared" si="23"/>
        <v>0</v>
      </c>
      <c r="V72" s="644">
        <f t="shared" si="23"/>
        <v>0</v>
      </c>
      <c r="W72" s="641">
        <f t="shared" si="23"/>
        <v>0</v>
      </c>
      <c r="X72" s="642">
        <f t="shared" si="23"/>
        <v>0</v>
      </c>
      <c r="Y72" s="643">
        <f t="shared" si="23"/>
        <v>0</v>
      </c>
      <c r="Z72" s="644">
        <f t="shared" si="23"/>
        <v>0</v>
      </c>
      <c r="AA72" s="952"/>
      <c r="AB72" s="952"/>
      <c r="AC72" s="681"/>
      <c r="AD72" s="683">
        <f>(C60+E60+G60+I60+K60+M60+O60+Q60+S60+U60+W60+Y60+C72+E72+G72+I72+K72+M72+O72+Q72+S72+U72+W72+Y72)</f>
        <v>0</v>
      </c>
      <c r="AE72" s="683">
        <f>(E60+F60+I60+J60+M60+N60+Q60+R60+U60+V60+Y60+Z60+E72+F72+I72+J72+M72+N72+Q72+R72+U72+V72+Y72+Z72)</f>
        <v>0</v>
      </c>
      <c r="AF72" s="683">
        <f>(E60+I60+M60+Q60+U60+Y60+E72+I72+M72+Q72+U72+Y72)</f>
        <v>0</v>
      </c>
      <c r="AG72" s="683">
        <f t="shared" ref="AG72:AG78" si="24">SUM(W60:Z60,C72:F72,W72:Z72)</f>
        <v>0</v>
      </c>
      <c r="AH72" s="590"/>
      <c r="AI72" s="590"/>
      <c r="AJ72" s="590"/>
      <c r="AK72" s="638"/>
      <c r="AL72" s="638"/>
      <c r="AM72" s="638"/>
      <c r="AN72" s="638"/>
    </row>
    <row r="73" spans="1:43" ht="54.95" customHeight="1">
      <c r="A73" s="899" t="s">
        <v>11</v>
      </c>
      <c r="B73" s="900"/>
      <c r="C73" s="649">
        <f>SUM(C38:C41)</f>
        <v>0</v>
      </c>
      <c r="D73" s="650">
        <f t="shared" ref="D73:Z73" si="25">SUM(D38:D41)</f>
        <v>0</v>
      </c>
      <c r="E73" s="651">
        <f t="shared" si="25"/>
        <v>0</v>
      </c>
      <c r="F73" s="652">
        <f t="shared" si="25"/>
        <v>0</v>
      </c>
      <c r="G73" s="649">
        <f t="shared" si="25"/>
        <v>0</v>
      </c>
      <c r="H73" s="650">
        <f t="shared" si="25"/>
        <v>0</v>
      </c>
      <c r="I73" s="651">
        <f t="shared" si="25"/>
        <v>0</v>
      </c>
      <c r="J73" s="652">
        <f t="shared" si="25"/>
        <v>0</v>
      </c>
      <c r="K73" s="649">
        <f t="shared" si="25"/>
        <v>0</v>
      </c>
      <c r="L73" s="650">
        <f t="shared" si="25"/>
        <v>0</v>
      </c>
      <c r="M73" s="651">
        <f t="shared" si="25"/>
        <v>0</v>
      </c>
      <c r="N73" s="652">
        <f t="shared" si="25"/>
        <v>0</v>
      </c>
      <c r="O73" s="649">
        <f t="shared" si="25"/>
        <v>0</v>
      </c>
      <c r="P73" s="650">
        <f t="shared" si="25"/>
        <v>0</v>
      </c>
      <c r="Q73" s="651">
        <f t="shared" si="25"/>
        <v>0</v>
      </c>
      <c r="R73" s="652">
        <f t="shared" si="25"/>
        <v>0</v>
      </c>
      <c r="S73" s="649">
        <f t="shared" si="25"/>
        <v>0</v>
      </c>
      <c r="T73" s="650">
        <f t="shared" si="25"/>
        <v>0</v>
      </c>
      <c r="U73" s="651">
        <f t="shared" si="25"/>
        <v>0</v>
      </c>
      <c r="V73" s="652">
        <f t="shared" si="25"/>
        <v>0</v>
      </c>
      <c r="W73" s="649">
        <f t="shared" si="25"/>
        <v>0</v>
      </c>
      <c r="X73" s="650">
        <f t="shared" si="25"/>
        <v>0</v>
      </c>
      <c r="Y73" s="651">
        <f t="shared" si="25"/>
        <v>0</v>
      </c>
      <c r="Z73" s="652">
        <f t="shared" si="25"/>
        <v>0</v>
      </c>
      <c r="AA73" s="952"/>
      <c r="AB73" s="952"/>
      <c r="AC73" s="681"/>
      <c r="AD73" s="684">
        <f t="shared" ref="AD73:AD78" si="26">(C61+E61+G61+I61+K61+M61+O61+Q61+S61+U61+W61+Y61+C73+E73+G73+I73+K73+M73+O73+Q73+S73+U73+W73+Y73)</f>
        <v>0</v>
      </c>
      <c r="AE73" s="684">
        <f t="shared" ref="AE73:AE78" si="27">(E61+F61+I61+J61+M61+N61+Q61+R61+U61+V61+Y61+Z61+E73+F73+I73+J73+M73+N73+Q73+R73+U73+V73+Y73+Z73)</f>
        <v>0</v>
      </c>
      <c r="AF73" s="684">
        <f t="shared" ref="AF73:AF78" si="28">(E61+I61+M61+Q61+U61+Y61+E73+I73+M73+Q73+U73+Y73)</f>
        <v>0</v>
      </c>
      <c r="AG73" s="684">
        <f t="shared" si="24"/>
        <v>0</v>
      </c>
      <c r="AH73" s="590"/>
      <c r="AI73" s="590"/>
      <c r="AJ73" s="590"/>
      <c r="AK73" s="638"/>
      <c r="AL73" s="638"/>
      <c r="AM73" s="638"/>
      <c r="AN73" s="638"/>
    </row>
    <row r="74" spans="1:43" ht="54.95" customHeight="1">
      <c r="A74" s="899" t="s">
        <v>17</v>
      </c>
      <c r="B74" s="900"/>
      <c r="C74" s="649">
        <f>SUM(C40:C43)</f>
        <v>0</v>
      </c>
      <c r="D74" s="650">
        <f t="shared" ref="D74:Z74" si="29">SUM(D40:D43)</f>
        <v>0</v>
      </c>
      <c r="E74" s="651">
        <f t="shared" si="29"/>
        <v>0</v>
      </c>
      <c r="F74" s="652">
        <f t="shared" si="29"/>
        <v>0</v>
      </c>
      <c r="G74" s="649">
        <f t="shared" si="29"/>
        <v>0</v>
      </c>
      <c r="H74" s="650">
        <f t="shared" si="29"/>
        <v>0</v>
      </c>
      <c r="I74" s="651">
        <f t="shared" si="29"/>
        <v>0</v>
      </c>
      <c r="J74" s="652">
        <f t="shared" si="29"/>
        <v>0</v>
      </c>
      <c r="K74" s="649">
        <f t="shared" si="29"/>
        <v>0</v>
      </c>
      <c r="L74" s="650">
        <f t="shared" si="29"/>
        <v>0</v>
      </c>
      <c r="M74" s="651">
        <f t="shared" si="29"/>
        <v>0</v>
      </c>
      <c r="N74" s="652">
        <f t="shared" si="29"/>
        <v>0</v>
      </c>
      <c r="O74" s="649">
        <f t="shared" si="29"/>
        <v>0</v>
      </c>
      <c r="P74" s="650">
        <f t="shared" si="29"/>
        <v>0</v>
      </c>
      <c r="Q74" s="651">
        <f t="shared" si="29"/>
        <v>0</v>
      </c>
      <c r="R74" s="652">
        <f t="shared" si="29"/>
        <v>0</v>
      </c>
      <c r="S74" s="649">
        <f t="shared" si="29"/>
        <v>0</v>
      </c>
      <c r="T74" s="650">
        <f t="shared" si="29"/>
        <v>0</v>
      </c>
      <c r="U74" s="651">
        <f t="shared" si="29"/>
        <v>0</v>
      </c>
      <c r="V74" s="652">
        <f t="shared" si="29"/>
        <v>0</v>
      </c>
      <c r="W74" s="649">
        <f t="shared" si="29"/>
        <v>0</v>
      </c>
      <c r="X74" s="650">
        <f t="shared" si="29"/>
        <v>0</v>
      </c>
      <c r="Y74" s="651">
        <f t="shared" si="29"/>
        <v>0</v>
      </c>
      <c r="Z74" s="652">
        <f t="shared" si="29"/>
        <v>0</v>
      </c>
      <c r="AA74" s="952"/>
      <c r="AB74" s="952"/>
      <c r="AC74" s="681"/>
      <c r="AD74" s="684">
        <f t="shared" si="26"/>
        <v>0</v>
      </c>
      <c r="AE74" s="684">
        <f t="shared" si="27"/>
        <v>0</v>
      </c>
      <c r="AF74" s="684">
        <f t="shared" si="28"/>
        <v>0</v>
      </c>
      <c r="AG74" s="684">
        <f t="shared" si="24"/>
        <v>0</v>
      </c>
      <c r="AH74" s="590"/>
      <c r="AI74" s="590"/>
      <c r="AJ74" s="590"/>
      <c r="AK74" s="638"/>
      <c r="AL74" s="638"/>
      <c r="AM74" s="638"/>
      <c r="AN74" s="638"/>
    </row>
    <row r="75" spans="1:43" ht="54.95" customHeight="1">
      <c r="A75" s="899" t="s">
        <v>10</v>
      </c>
      <c r="B75" s="900"/>
      <c r="C75" s="649">
        <f>SUM(C42:C45)</f>
        <v>0</v>
      </c>
      <c r="D75" s="650">
        <f t="shared" ref="D75:Z75" si="30">SUM(D42:D45)</f>
        <v>0</v>
      </c>
      <c r="E75" s="651">
        <f t="shared" si="30"/>
        <v>0</v>
      </c>
      <c r="F75" s="652">
        <f t="shared" si="30"/>
        <v>0</v>
      </c>
      <c r="G75" s="649">
        <f t="shared" si="30"/>
        <v>0</v>
      </c>
      <c r="H75" s="650">
        <f t="shared" si="30"/>
        <v>0</v>
      </c>
      <c r="I75" s="651">
        <f t="shared" si="30"/>
        <v>0</v>
      </c>
      <c r="J75" s="652">
        <f t="shared" si="30"/>
        <v>0</v>
      </c>
      <c r="K75" s="649">
        <f t="shared" si="30"/>
        <v>0</v>
      </c>
      <c r="L75" s="650">
        <f t="shared" si="30"/>
        <v>0</v>
      </c>
      <c r="M75" s="651">
        <f t="shared" si="30"/>
        <v>0</v>
      </c>
      <c r="N75" s="652">
        <f t="shared" si="30"/>
        <v>0</v>
      </c>
      <c r="O75" s="649">
        <f t="shared" si="30"/>
        <v>0</v>
      </c>
      <c r="P75" s="650">
        <f t="shared" si="30"/>
        <v>0</v>
      </c>
      <c r="Q75" s="651">
        <f t="shared" si="30"/>
        <v>0</v>
      </c>
      <c r="R75" s="652">
        <f t="shared" si="30"/>
        <v>0</v>
      </c>
      <c r="S75" s="649">
        <f t="shared" si="30"/>
        <v>0</v>
      </c>
      <c r="T75" s="650">
        <f t="shared" si="30"/>
        <v>0</v>
      </c>
      <c r="U75" s="651">
        <f t="shared" si="30"/>
        <v>0</v>
      </c>
      <c r="V75" s="652">
        <f t="shared" si="30"/>
        <v>0</v>
      </c>
      <c r="W75" s="649">
        <f t="shared" si="30"/>
        <v>0</v>
      </c>
      <c r="X75" s="650">
        <f t="shared" si="30"/>
        <v>0</v>
      </c>
      <c r="Y75" s="651">
        <f t="shared" si="30"/>
        <v>0</v>
      </c>
      <c r="Z75" s="652">
        <f t="shared" si="30"/>
        <v>0</v>
      </c>
      <c r="AA75" s="952"/>
      <c r="AB75" s="952"/>
      <c r="AC75" s="681"/>
      <c r="AD75" s="684">
        <f t="shared" si="26"/>
        <v>0</v>
      </c>
      <c r="AE75" s="684">
        <f t="shared" si="27"/>
        <v>0</v>
      </c>
      <c r="AF75" s="684">
        <f t="shared" si="28"/>
        <v>0</v>
      </c>
      <c r="AG75" s="684">
        <f t="shared" si="24"/>
        <v>0</v>
      </c>
      <c r="AH75" s="590"/>
      <c r="AI75" s="590"/>
      <c r="AJ75" s="590"/>
      <c r="AK75" s="638"/>
      <c r="AL75" s="638"/>
      <c r="AM75" s="638"/>
      <c r="AN75" s="638"/>
    </row>
    <row r="76" spans="1:43" ht="54.95" customHeight="1">
      <c r="A76" s="910" t="s">
        <v>29</v>
      </c>
      <c r="B76" s="911"/>
      <c r="C76" s="657">
        <f>SUM(C44:C47)</f>
        <v>0</v>
      </c>
      <c r="D76" s="658">
        <f t="shared" ref="D76:Z76" si="31">SUM(D44:D47)</f>
        <v>0</v>
      </c>
      <c r="E76" s="659">
        <f t="shared" si="31"/>
        <v>0</v>
      </c>
      <c r="F76" s="660">
        <f t="shared" si="31"/>
        <v>0</v>
      </c>
      <c r="G76" s="657">
        <f t="shared" si="31"/>
        <v>0</v>
      </c>
      <c r="H76" s="658">
        <f t="shared" si="31"/>
        <v>0</v>
      </c>
      <c r="I76" s="659">
        <f t="shared" si="31"/>
        <v>0</v>
      </c>
      <c r="J76" s="660">
        <f t="shared" si="31"/>
        <v>0</v>
      </c>
      <c r="K76" s="657">
        <f t="shared" si="31"/>
        <v>0</v>
      </c>
      <c r="L76" s="658">
        <f t="shared" si="31"/>
        <v>0</v>
      </c>
      <c r="M76" s="659">
        <f t="shared" si="31"/>
        <v>0</v>
      </c>
      <c r="N76" s="660">
        <f t="shared" si="31"/>
        <v>0</v>
      </c>
      <c r="O76" s="657">
        <f t="shared" si="31"/>
        <v>0</v>
      </c>
      <c r="P76" s="658">
        <f t="shared" si="31"/>
        <v>0</v>
      </c>
      <c r="Q76" s="659">
        <f t="shared" si="31"/>
        <v>0</v>
      </c>
      <c r="R76" s="660">
        <f t="shared" si="31"/>
        <v>0</v>
      </c>
      <c r="S76" s="657">
        <f t="shared" si="31"/>
        <v>0</v>
      </c>
      <c r="T76" s="658">
        <f t="shared" si="31"/>
        <v>0</v>
      </c>
      <c r="U76" s="659">
        <f t="shared" si="31"/>
        <v>0</v>
      </c>
      <c r="V76" s="660">
        <f t="shared" si="31"/>
        <v>0</v>
      </c>
      <c r="W76" s="657">
        <f t="shared" si="31"/>
        <v>0</v>
      </c>
      <c r="X76" s="658">
        <f t="shared" si="31"/>
        <v>0</v>
      </c>
      <c r="Y76" s="659">
        <f t="shared" si="31"/>
        <v>0</v>
      </c>
      <c r="Z76" s="660">
        <f t="shared" si="31"/>
        <v>0</v>
      </c>
      <c r="AA76" s="952"/>
      <c r="AB76" s="952"/>
      <c r="AC76" s="681"/>
      <c r="AD76" s="685">
        <f t="shared" si="26"/>
        <v>0</v>
      </c>
      <c r="AE76" s="685">
        <f t="shared" si="27"/>
        <v>0</v>
      </c>
      <c r="AF76" s="685">
        <f t="shared" si="28"/>
        <v>0</v>
      </c>
      <c r="AG76" s="685">
        <f t="shared" si="24"/>
        <v>0</v>
      </c>
      <c r="AH76" s="590"/>
      <c r="AI76" s="590"/>
      <c r="AJ76" s="590"/>
      <c r="AK76" s="638"/>
      <c r="AL76" s="638"/>
      <c r="AM76" s="638"/>
      <c r="AN76" s="638"/>
    </row>
    <row r="77" spans="1:43" ht="54.95" customHeight="1">
      <c r="A77" s="920" t="s">
        <v>12</v>
      </c>
      <c r="B77" s="921"/>
      <c r="C77" s="665">
        <f>SUM(C36:C47)</f>
        <v>0</v>
      </c>
      <c r="D77" s="666">
        <f t="shared" ref="D77:Z77" si="32">SUM(D36:D47)</f>
        <v>0</v>
      </c>
      <c r="E77" s="667">
        <f t="shared" si="32"/>
        <v>0</v>
      </c>
      <c r="F77" s="668">
        <f t="shared" si="32"/>
        <v>0</v>
      </c>
      <c r="G77" s="665">
        <f t="shared" si="32"/>
        <v>0</v>
      </c>
      <c r="H77" s="666">
        <f t="shared" si="32"/>
        <v>0</v>
      </c>
      <c r="I77" s="667">
        <f t="shared" si="32"/>
        <v>0</v>
      </c>
      <c r="J77" s="668">
        <f t="shared" si="32"/>
        <v>0</v>
      </c>
      <c r="K77" s="665">
        <f t="shared" si="32"/>
        <v>0</v>
      </c>
      <c r="L77" s="666">
        <f t="shared" si="32"/>
        <v>0</v>
      </c>
      <c r="M77" s="667">
        <f t="shared" si="32"/>
        <v>0</v>
      </c>
      <c r="N77" s="668">
        <f t="shared" si="32"/>
        <v>0</v>
      </c>
      <c r="O77" s="665">
        <f t="shared" si="32"/>
        <v>0</v>
      </c>
      <c r="P77" s="666">
        <f t="shared" si="32"/>
        <v>0</v>
      </c>
      <c r="Q77" s="667">
        <f t="shared" si="32"/>
        <v>0</v>
      </c>
      <c r="R77" s="668">
        <f t="shared" si="32"/>
        <v>0</v>
      </c>
      <c r="S77" s="665">
        <f t="shared" si="32"/>
        <v>0</v>
      </c>
      <c r="T77" s="666">
        <f t="shared" si="32"/>
        <v>0</v>
      </c>
      <c r="U77" s="667">
        <f t="shared" si="32"/>
        <v>0</v>
      </c>
      <c r="V77" s="668">
        <f t="shared" si="32"/>
        <v>0</v>
      </c>
      <c r="W77" s="665">
        <f t="shared" si="32"/>
        <v>0</v>
      </c>
      <c r="X77" s="666">
        <f t="shared" si="32"/>
        <v>0</v>
      </c>
      <c r="Y77" s="667">
        <f t="shared" si="32"/>
        <v>0</v>
      </c>
      <c r="Z77" s="668">
        <f t="shared" si="32"/>
        <v>0</v>
      </c>
      <c r="AA77" s="686"/>
      <c r="AB77" s="686"/>
      <c r="AC77" s="686"/>
      <c r="AD77" s="687">
        <f t="shared" si="26"/>
        <v>0</v>
      </c>
      <c r="AE77" s="687">
        <f t="shared" si="27"/>
        <v>0</v>
      </c>
      <c r="AF77" s="687">
        <f t="shared" si="28"/>
        <v>0</v>
      </c>
      <c r="AG77" s="687">
        <f t="shared" si="24"/>
        <v>0</v>
      </c>
      <c r="AH77" s="686"/>
      <c r="AI77" s="686"/>
      <c r="AJ77" s="686"/>
      <c r="AK77" s="638"/>
      <c r="AL77" s="638"/>
      <c r="AM77" s="638"/>
      <c r="AN77" s="638"/>
    </row>
    <row r="78" spans="1:43" ht="54.95" customHeight="1" thickBot="1">
      <c r="A78" s="927" t="str">
        <f>IF($AC$60=MAX($AC$60:$AC$64),A72,IF($AC$61=MAX($AC$60:$AC$64),A73,IF($AC$62=MAX($AC$60:$AC$64),A74,IF($AC$63=MAX($AC$60:$AC$64),A75,A76))))</f>
        <v>de 6:30 à 7:30</v>
      </c>
      <c r="B78" s="928"/>
      <c r="C78" s="673">
        <f t="shared" ref="C78:Z78" si="33">IF($AC$60=MAX($AC$60:$AC$64),C72,IF($AC$61=MAX($AC$60:$AC$64),C73,IF($AC$62=MAX($AC$60:$AC$64),C74,IF($AC$63=MAX($AC$60:$AC$64),C75,C76))))</f>
        <v>0</v>
      </c>
      <c r="D78" s="674">
        <f t="shared" si="33"/>
        <v>0</v>
      </c>
      <c r="E78" s="675">
        <f t="shared" si="33"/>
        <v>0</v>
      </c>
      <c r="F78" s="676">
        <f t="shared" si="33"/>
        <v>0</v>
      </c>
      <c r="G78" s="673">
        <f t="shared" si="33"/>
        <v>0</v>
      </c>
      <c r="H78" s="674">
        <f t="shared" si="33"/>
        <v>0</v>
      </c>
      <c r="I78" s="675">
        <f t="shared" si="33"/>
        <v>0</v>
      </c>
      <c r="J78" s="676">
        <f t="shared" si="33"/>
        <v>0</v>
      </c>
      <c r="K78" s="673">
        <f t="shared" si="33"/>
        <v>0</v>
      </c>
      <c r="L78" s="674">
        <f t="shared" si="33"/>
        <v>0</v>
      </c>
      <c r="M78" s="675">
        <f t="shared" si="33"/>
        <v>0</v>
      </c>
      <c r="N78" s="676">
        <f t="shared" si="33"/>
        <v>0</v>
      </c>
      <c r="O78" s="673">
        <f t="shared" si="33"/>
        <v>0</v>
      </c>
      <c r="P78" s="674">
        <f t="shared" si="33"/>
        <v>0</v>
      </c>
      <c r="Q78" s="675">
        <f t="shared" si="33"/>
        <v>0</v>
      </c>
      <c r="R78" s="676">
        <f t="shared" si="33"/>
        <v>0</v>
      </c>
      <c r="S78" s="673">
        <f t="shared" si="33"/>
        <v>0</v>
      </c>
      <c r="T78" s="674">
        <f t="shared" si="33"/>
        <v>0</v>
      </c>
      <c r="U78" s="675">
        <f t="shared" si="33"/>
        <v>0</v>
      </c>
      <c r="V78" s="676">
        <f t="shared" si="33"/>
        <v>0</v>
      </c>
      <c r="W78" s="673">
        <f t="shared" si="33"/>
        <v>0</v>
      </c>
      <c r="X78" s="674">
        <f t="shared" si="33"/>
        <v>0</v>
      </c>
      <c r="Y78" s="675">
        <f t="shared" si="33"/>
        <v>0</v>
      </c>
      <c r="Z78" s="676">
        <f t="shared" si="33"/>
        <v>0</v>
      </c>
      <c r="AA78" s="686"/>
      <c r="AB78" s="686"/>
      <c r="AC78" s="686"/>
      <c r="AD78" s="688">
        <f t="shared" si="26"/>
        <v>0</v>
      </c>
      <c r="AE78" s="688">
        <f t="shared" si="27"/>
        <v>0</v>
      </c>
      <c r="AF78" s="688">
        <f t="shared" si="28"/>
        <v>0</v>
      </c>
      <c r="AG78" s="688">
        <f t="shared" si="24"/>
        <v>0</v>
      </c>
      <c r="AH78" s="686"/>
      <c r="AI78" s="686"/>
      <c r="AJ78" s="686"/>
      <c r="AK78" s="638"/>
      <c r="AL78" s="638"/>
      <c r="AM78" s="638"/>
      <c r="AN78" s="638"/>
    </row>
    <row r="79" spans="1:43" ht="9" customHeight="1" thickTop="1">
      <c r="A79" s="578"/>
      <c r="B79" s="576"/>
      <c r="C79" s="576"/>
      <c r="D79" s="576"/>
      <c r="E79" s="576"/>
      <c r="F79" s="576"/>
      <c r="G79" s="576"/>
      <c r="H79" s="576"/>
      <c r="I79" s="576"/>
      <c r="J79" s="576"/>
      <c r="K79" s="576"/>
      <c r="L79" s="576"/>
      <c r="M79" s="576"/>
      <c r="N79" s="576"/>
      <c r="O79" s="576"/>
      <c r="P79" s="576"/>
      <c r="Q79" s="576"/>
      <c r="R79" s="576"/>
      <c r="S79" s="576"/>
      <c r="T79" s="576"/>
      <c r="U79" s="576"/>
      <c r="V79" s="576"/>
      <c r="W79" s="576"/>
      <c r="X79" s="576"/>
      <c r="Y79" s="576"/>
      <c r="Z79" s="576"/>
      <c r="AA79" s="578"/>
      <c r="AB79" s="576"/>
      <c r="AC79" s="576"/>
      <c r="AD79" s="576"/>
      <c r="AE79" s="576"/>
      <c r="AF79" s="576"/>
      <c r="AG79" s="576"/>
      <c r="AH79" s="576"/>
      <c r="AI79" s="576"/>
      <c r="AJ79" s="576"/>
      <c r="AK79" s="189"/>
      <c r="AL79" s="190"/>
      <c r="AM79" s="189"/>
      <c r="AN79" s="189"/>
      <c r="AO79" s="189"/>
      <c r="AP79" s="189"/>
      <c r="AQ79" s="189"/>
    </row>
  </sheetData>
  <mergeCells count="124">
    <mergeCell ref="A75:B75"/>
    <mergeCell ref="AA75:AB75"/>
    <mergeCell ref="A76:B76"/>
    <mergeCell ref="AA76:AB76"/>
    <mergeCell ref="A77:B77"/>
    <mergeCell ref="A78:B78"/>
    <mergeCell ref="A72:B72"/>
    <mergeCell ref="AA72:AB72"/>
    <mergeCell ref="A73:B73"/>
    <mergeCell ref="AA73:AB73"/>
    <mergeCell ref="A74:B74"/>
    <mergeCell ref="AA74:AB74"/>
    <mergeCell ref="A71:B71"/>
    <mergeCell ref="AA71:AB71"/>
    <mergeCell ref="AA69:AB69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AD68:AD71"/>
    <mergeCell ref="AE68:AE71"/>
    <mergeCell ref="AF68:AF71"/>
    <mergeCell ref="AG68:AG71"/>
    <mergeCell ref="C69:F69"/>
    <mergeCell ref="G69:J69"/>
    <mergeCell ref="K69:N69"/>
    <mergeCell ref="O69:R69"/>
    <mergeCell ref="S69:V69"/>
    <mergeCell ref="W69:Z69"/>
    <mergeCell ref="U70:V70"/>
    <mergeCell ref="W70:X70"/>
    <mergeCell ref="Y70:Z70"/>
    <mergeCell ref="AA70:AB70"/>
    <mergeCell ref="A65:B65"/>
    <mergeCell ref="AA65:AB65"/>
    <mergeCell ref="A66:B66"/>
    <mergeCell ref="AA66:AB66"/>
    <mergeCell ref="AA67:AB67"/>
    <mergeCell ref="C68:N68"/>
    <mergeCell ref="O68:Z68"/>
    <mergeCell ref="AA68:AB68"/>
    <mergeCell ref="A62:B62"/>
    <mergeCell ref="AA62:AB62"/>
    <mergeCell ref="A63:B63"/>
    <mergeCell ref="AA63:AB63"/>
    <mergeCell ref="A64:B64"/>
    <mergeCell ref="AA64:AB64"/>
    <mergeCell ref="A59:B59"/>
    <mergeCell ref="AA59:AB59"/>
    <mergeCell ref="A60:B60"/>
    <mergeCell ref="AA60:AB60"/>
    <mergeCell ref="A61:B61"/>
    <mergeCell ref="AA61:AB61"/>
    <mergeCell ref="O58:P58"/>
    <mergeCell ref="Q58:R58"/>
    <mergeCell ref="S58:T58"/>
    <mergeCell ref="U58:V58"/>
    <mergeCell ref="W58:X58"/>
    <mergeCell ref="Y58:Z58"/>
    <mergeCell ref="AG56:AG59"/>
    <mergeCell ref="AH56:AJ59"/>
    <mergeCell ref="C57:F57"/>
    <mergeCell ref="G57:J57"/>
    <mergeCell ref="K57:N57"/>
    <mergeCell ref="O57:R57"/>
    <mergeCell ref="S57:V57"/>
    <mergeCell ref="W57:Z57"/>
    <mergeCell ref="C58:D58"/>
    <mergeCell ref="E58:F58"/>
    <mergeCell ref="C56:N56"/>
    <mergeCell ref="O56:Z56"/>
    <mergeCell ref="AC56:AC59"/>
    <mergeCell ref="AD56:AD59"/>
    <mergeCell ref="AE56:AE59"/>
    <mergeCell ref="AF56:AF59"/>
    <mergeCell ref="G58:H58"/>
    <mergeCell ref="I58:J58"/>
    <mergeCell ref="K58:L58"/>
    <mergeCell ref="M58:N58"/>
    <mergeCell ref="O34:P34"/>
    <mergeCell ref="Q34:R34"/>
    <mergeCell ref="S34:T34"/>
    <mergeCell ref="U34:V34"/>
    <mergeCell ref="W34:X34"/>
    <mergeCell ref="Y34:Z34"/>
    <mergeCell ref="C34:D34"/>
    <mergeCell ref="E34:F34"/>
    <mergeCell ref="G34:H34"/>
    <mergeCell ref="I34:J34"/>
    <mergeCell ref="K34:L34"/>
    <mergeCell ref="M34:N34"/>
    <mergeCell ref="C33:F33"/>
    <mergeCell ref="G33:J33"/>
    <mergeCell ref="K33:N33"/>
    <mergeCell ref="O33:R33"/>
    <mergeCell ref="S33:V33"/>
    <mergeCell ref="W33:Z33"/>
    <mergeCell ref="O10:P10"/>
    <mergeCell ref="Q10:R10"/>
    <mergeCell ref="S10:T10"/>
    <mergeCell ref="U10:V10"/>
    <mergeCell ref="W10:X10"/>
    <mergeCell ref="Y10:Z10"/>
    <mergeCell ref="C10:D10"/>
    <mergeCell ref="E10:F10"/>
    <mergeCell ref="G10:H10"/>
    <mergeCell ref="I10:J10"/>
    <mergeCell ref="K10:L10"/>
    <mergeCell ref="M10:N10"/>
    <mergeCell ref="C8:N8"/>
    <mergeCell ref="O8:Z8"/>
    <mergeCell ref="C9:F9"/>
    <mergeCell ref="G9:J9"/>
    <mergeCell ref="K9:N9"/>
    <mergeCell ref="O9:R9"/>
    <mergeCell ref="S9:V9"/>
    <mergeCell ref="W9:Z9"/>
    <mergeCell ref="C32:N32"/>
    <mergeCell ref="O32:Z32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2" manualBreakCount="2">
    <brk id="48" max="16383" man="1"/>
    <brk id="79" max="27" man="1"/>
  </rowBreaks>
  <colBreaks count="1" manualBreakCount="1">
    <brk id="26" min="48" max="7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Q79"/>
  <sheetViews>
    <sheetView view="pageBreakPreview" zoomScale="70" zoomScaleNormal="55" zoomScaleSheetLayoutView="70" workbookViewId="0">
      <pane xSplit="2" ySplit="12" topLeftCell="C39" activePane="bottomRight" state="frozen"/>
      <selection pane="topRight" activeCell="C1" sqref="C1"/>
      <selection pane="bottomLeft" activeCell="A13" sqref="A13"/>
      <selection pane="bottomRight" activeCell="M4" sqref="M4"/>
    </sheetView>
  </sheetViews>
  <sheetFormatPr baseColWidth="10" defaultRowHeight="14.25"/>
  <cols>
    <col min="1" max="1" width="9.125" style="8" customWidth="1"/>
    <col min="2" max="2" width="13.75" style="8" customWidth="1"/>
    <col min="3" max="26" width="12.625" style="8" customWidth="1"/>
    <col min="27" max="27" width="9.125" style="8" customWidth="1"/>
    <col min="28" max="28" width="13.75" style="8" customWidth="1"/>
    <col min="29" max="34" width="21.125" style="8" customWidth="1"/>
    <col min="35" max="35" width="123.625" style="8" customWidth="1"/>
    <col min="36" max="36" width="21.125" style="8" customWidth="1"/>
    <col min="37" max="43" width="10.625" style="8" customWidth="1"/>
    <col min="44" max="16384" width="11" style="8"/>
  </cols>
  <sheetData>
    <row r="1" spans="1:32" ht="52.5" customHeight="1" thickBot="1">
      <c r="A1" s="374" t="s">
        <v>89</v>
      </c>
      <c r="B1" s="375" t="s">
        <v>35</v>
      </c>
      <c r="C1" s="376"/>
      <c r="D1" s="376"/>
      <c r="E1" s="376"/>
      <c r="F1" s="377"/>
      <c r="G1" s="377"/>
      <c r="H1" s="376"/>
      <c r="I1" s="376"/>
      <c r="J1" s="377"/>
      <c r="K1" s="377"/>
      <c r="L1" s="378"/>
      <c r="M1" s="331" t="s">
        <v>30</v>
      </c>
      <c r="N1" s="332" t="s">
        <v>141</v>
      </c>
      <c r="O1" s="376"/>
      <c r="P1" s="376"/>
      <c r="Q1" s="376"/>
      <c r="R1" s="376"/>
      <c r="S1" s="376"/>
      <c r="T1" s="376"/>
      <c r="U1" s="376"/>
      <c r="V1" s="380"/>
      <c r="W1" s="381"/>
      <c r="X1" s="381"/>
      <c r="Y1" s="381"/>
      <c r="Z1" s="382"/>
    </row>
    <row r="2" spans="1:32" ht="52.5" customHeight="1" thickBot="1">
      <c r="A2" s="318" t="s">
        <v>2</v>
      </c>
      <c r="B2" s="319"/>
      <c r="C2" s="319"/>
      <c r="D2" s="319"/>
      <c r="E2" s="319"/>
      <c r="F2" s="319"/>
      <c r="G2" s="375" t="s">
        <v>136</v>
      </c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  <c r="V2" s="380"/>
      <c r="W2" s="319"/>
      <c r="X2" s="319"/>
      <c r="Y2" s="319"/>
      <c r="Z2" s="319"/>
    </row>
    <row r="3" spans="1:32" ht="52.5" hidden="1" customHeight="1" thickBot="1">
      <c r="A3" s="318" t="s">
        <v>3</v>
      </c>
      <c r="B3" s="319"/>
      <c r="C3" s="375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80"/>
      <c r="W3" s="319"/>
      <c r="X3" s="319"/>
      <c r="Y3" s="319"/>
      <c r="Z3" s="336"/>
    </row>
    <row r="4" spans="1:32" ht="52.5" customHeight="1" thickBot="1">
      <c r="A4" s="318" t="s">
        <v>27</v>
      </c>
      <c r="B4" s="319"/>
      <c r="C4" s="375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U4" s="376"/>
      <c r="V4" s="380"/>
      <c r="W4" s="319"/>
      <c r="X4" s="319"/>
      <c r="Y4" s="319"/>
      <c r="Z4" s="336"/>
    </row>
    <row r="5" spans="1:32" ht="25.5" customHeight="1">
      <c r="A5" s="318" t="s">
        <v>71</v>
      </c>
      <c r="B5" s="319"/>
      <c r="C5" s="319" t="s">
        <v>72</v>
      </c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36"/>
    </row>
    <row r="6" spans="1:32" ht="25.5" customHeight="1">
      <c r="A6" s="337"/>
      <c r="B6" s="319"/>
      <c r="C6" s="319" t="s">
        <v>91</v>
      </c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36"/>
    </row>
    <row r="7" spans="1:32" ht="25.5" customHeight="1" thickBot="1">
      <c r="A7" s="337"/>
      <c r="B7" s="319"/>
      <c r="C7" s="319"/>
      <c r="D7" s="319"/>
      <c r="E7" s="319"/>
      <c r="F7" s="319"/>
      <c r="G7" s="319"/>
      <c r="H7" s="319"/>
      <c r="I7" s="319"/>
      <c r="J7" s="319"/>
      <c r="K7" s="319"/>
      <c r="L7" s="319"/>
      <c r="M7" s="319"/>
      <c r="N7" s="319"/>
      <c r="O7" s="319"/>
      <c r="P7" s="319"/>
      <c r="Q7" s="319"/>
      <c r="R7" s="319"/>
      <c r="S7" s="319"/>
      <c r="T7" s="319"/>
      <c r="U7" s="319"/>
      <c r="V7" s="319"/>
      <c r="W7" s="319"/>
      <c r="X7" s="319"/>
      <c r="Y7" s="319"/>
      <c r="Z7" s="336"/>
    </row>
    <row r="8" spans="1:32" ht="32.25" customHeight="1" thickTop="1">
      <c r="A8" s="384"/>
      <c r="B8" s="385"/>
      <c r="C8" s="826" t="s">
        <v>52</v>
      </c>
      <c r="D8" s="827"/>
      <c r="E8" s="827"/>
      <c r="F8" s="827"/>
      <c r="G8" s="827"/>
      <c r="H8" s="827"/>
      <c r="I8" s="827"/>
      <c r="J8" s="827"/>
      <c r="K8" s="827"/>
      <c r="L8" s="827"/>
      <c r="M8" s="827"/>
      <c r="N8" s="827"/>
      <c r="O8" s="826" t="s">
        <v>58</v>
      </c>
      <c r="P8" s="827"/>
      <c r="Q8" s="827"/>
      <c r="R8" s="827"/>
      <c r="S8" s="827"/>
      <c r="T8" s="827"/>
      <c r="U8" s="827"/>
      <c r="V8" s="827"/>
      <c r="W8" s="827"/>
      <c r="X8" s="827"/>
      <c r="Y8" s="827"/>
      <c r="Z8" s="828"/>
      <c r="AB8" s="9"/>
      <c r="AC8" s="9"/>
      <c r="AD8" s="9"/>
      <c r="AE8" s="9"/>
      <c r="AF8" s="9"/>
    </row>
    <row r="9" spans="1:32" ht="22.7" customHeight="1">
      <c r="A9" s="384"/>
      <c r="B9" s="385"/>
      <c r="C9" s="823" t="s">
        <v>53</v>
      </c>
      <c r="D9" s="824"/>
      <c r="E9" s="824"/>
      <c r="F9" s="824"/>
      <c r="G9" s="824" t="s">
        <v>56</v>
      </c>
      <c r="H9" s="824"/>
      <c r="I9" s="824"/>
      <c r="J9" s="824"/>
      <c r="K9" s="824" t="s">
        <v>54</v>
      </c>
      <c r="L9" s="824"/>
      <c r="M9" s="824"/>
      <c r="N9" s="824"/>
      <c r="O9" s="823" t="s">
        <v>53</v>
      </c>
      <c r="P9" s="824"/>
      <c r="Q9" s="824"/>
      <c r="R9" s="824"/>
      <c r="S9" s="824" t="s">
        <v>56</v>
      </c>
      <c r="T9" s="824"/>
      <c r="U9" s="824"/>
      <c r="V9" s="824"/>
      <c r="W9" s="824" t="s">
        <v>55</v>
      </c>
      <c r="X9" s="824"/>
      <c r="Y9" s="824"/>
      <c r="Z9" s="825"/>
    </row>
    <row r="10" spans="1:32" ht="18.600000000000001" customHeight="1" thickBot="1">
      <c r="A10" s="384"/>
      <c r="B10" s="385"/>
      <c r="C10" s="814" t="s">
        <v>4</v>
      </c>
      <c r="D10" s="815"/>
      <c r="E10" s="816" t="s">
        <v>5</v>
      </c>
      <c r="F10" s="817"/>
      <c r="G10" s="817" t="s">
        <v>4</v>
      </c>
      <c r="H10" s="818"/>
      <c r="I10" s="816" t="s">
        <v>5</v>
      </c>
      <c r="J10" s="817"/>
      <c r="K10" s="817" t="s">
        <v>4</v>
      </c>
      <c r="L10" s="819"/>
      <c r="M10" s="820" t="s">
        <v>5</v>
      </c>
      <c r="N10" s="822"/>
      <c r="O10" s="814" t="s">
        <v>4</v>
      </c>
      <c r="P10" s="815"/>
      <c r="Q10" s="816" t="s">
        <v>5</v>
      </c>
      <c r="R10" s="817"/>
      <c r="S10" s="817" t="s">
        <v>4</v>
      </c>
      <c r="T10" s="818"/>
      <c r="U10" s="816" t="s">
        <v>5</v>
      </c>
      <c r="V10" s="817"/>
      <c r="W10" s="817" t="s">
        <v>4</v>
      </c>
      <c r="X10" s="819"/>
      <c r="Y10" s="820" t="s">
        <v>5</v>
      </c>
      <c r="Z10" s="821"/>
    </row>
    <row r="11" spans="1:32" ht="21" thickTop="1">
      <c r="A11" s="388" t="s">
        <v>6</v>
      </c>
      <c r="B11" s="389" t="s">
        <v>7</v>
      </c>
      <c r="C11" s="479" t="s">
        <v>8</v>
      </c>
      <c r="D11" s="480" t="s">
        <v>9</v>
      </c>
      <c r="E11" s="481" t="s">
        <v>8</v>
      </c>
      <c r="F11" s="482" t="s">
        <v>9</v>
      </c>
      <c r="G11" s="483" t="s">
        <v>8</v>
      </c>
      <c r="H11" s="484" t="s">
        <v>9</v>
      </c>
      <c r="I11" s="481" t="s">
        <v>8</v>
      </c>
      <c r="J11" s="482" t="s">
        <v>9</v>
      </c>
      <c r="K11" s="342" t="s">
        <v>8</v>
      </c>
      <c r="L11" s="339" t="s">
        <v>9</v>
      </c>
      <c r="M11" s="340" t="s">
        <v>8</v>
      </c>
      <c r="N11" s="341" t="s">
        <v>9</v>
      </c>
      <c r="O11" s="479" t="s">
        <v>8</v>
      </c>
      <c r="P11" s="480" t="s">
        <v>9</v>
      </c>
      <c r="Q11" s="481" t="s">
        <v>8</v>
      </c>
      <c r="R11" s="482" t="s">
        <v>9</v>
      </c>
      <c r="S11" s="483" t="s">
        <v>8</v>
      </c>
      <c r="T11" s="484" t="s">
        <v>9</v>
      </c>
      <c r="U11" s="481" t="s">
        <v>8</v>
      </c>
      <c r="V11" s="482" t="s">
        <v>9</v>
      </c>
      <c r="W11" s="342" t="s">
        <v>8</v>
      </c>
      <c r="X11" s="339" t="s">
        <v>9</v>
      </c>
      <c r="Y11" s="340" t="s">
        <v>8</v>
      </c>
      <c r="Z11" s="343" t="s">
        <v>9</v>
      </c>
      <c r="AA11" s="10"/>
    </row>
    <row r="12" spans="1:32" ht="54.95" hidden="1" customHeight="1">
      <c r="A12" s="391">
        <v>6</v>
      </c>
      <c r="B12" s="392" t="s">
        <v>25</v>
      </c>
      <c r="C12" s="485"/>
      <c r="D12" s="486"/>
      <c r="E12" s="487"/>
      <c r="F12" s="488"/>
      <c r="G12" s="489"/>
      <c r="H12" s="490"/>
      <c r="I12" s="487"/>
      <c r="J12" s="488"/>
      <c r="K12" s="459"/>
      <c r="L12" s="456"/>
      <c r="M12" s="457"/>
      <c r="N12" s="458"/>
      <c r="O12" s="485"/>
      <c r="P12" s="486"/>
      <c r="Q12" s="487"/>
      <c r="R12" s="488"/>
      <c r="S12" s="489"/>
      <c r="T12" s="490"/>
      <c r="U12" s="487"/>
      <c r="V12" s="488"/>
      <c r="W12" s="459"/>
      <c r="X12" s="456"/>
      <c r="Y12" s="457"/>
      <c r="Z12" s="460"/>
      <c r="AA12" s="2"/>
      <c r="AB12" s="2"/>
      <c r="AC12" s="2"/>
      <c r="AD12" s="2"/>
      <c r="AE12" s="2"/>
      <c r="AF12" s="2"/>
    </row>
    <row r="13" spans="1:32" ht="54.95" customHeight="1">
      <c r="A13" s="391">
        <v>6</v>
      </c>
      <c r="B13" s="392" t="s">
        <v>26</v>
      </c>
      <c r="C13" s="485"/>
      <c r="D13" s="486"/>
      <c r="E13" s="487"/>
      <c r="F13" s="488"/>
      <c r="G13" s="489"/>
      <c r="H13" s="490"/>
      <c r="I13" s="487"/>
      <c r="J13" s="488"/>
      <c r="K13" s="459"/>
      <c r="L13" s="456"/>
      <c r="M13" s="457"/>
      <c r="N13" s="458"/>
      <c r="O13" s="485"/>
      <c r="P13" s="486"/>
      <c r="Q13" s="487"/>
      <c r="R13" s="488">
        <v>1</v>
      </c>
      <c r="S13" s="489"/>
      <c r="T13" s="490"/>
      <c r="U13" s="487"/>
      <c r="V13" s="488"/>
      <c r="W13" s="459"/>
      <c r="X13" s="456"/>
      <c r="Y13" s="457"/>
      <c r="Z13" s="460"/>
      <c r="AA13" s="2"/>
      <c r="AB13" s="2"/>
      <c r="AC13" s="2"/>
      <c r="AD13" s="2"/>
      <c r="AE13" s="2"/>
      <c r="AF13" s="2"/>
    </row>
    <row r="14" spans="1:32" ht="54.95" customHeight="1">
      <c r="A14" s="391">
        <v>7</v>
      </c>
      <c r="B14" s="392" t="s">
        <v>23</v>
      </c>
      <c r="C14" s="485"/>
      <c r="D14" s="486"/>
      <c r="E14" s="487"/>
      <c r="F14" s="488"/>
      <c r="G14" s="489"/>
      <c r="H14" s="490"/>
      <c r="I14" s="487"/>
      <c r="J14" s="488"/>
      <c r="K14" s="459"/>
      <c r="L14" s="456"/>
      <c r="M14" s="457"/>
      <c r="N14" s="458"/>
      <c r="O14" s="485"/>
      <c r="P14" s="486"/>
      <c r="Q14" s="487"/>
      <c r="R14" s="488"/>
      <c r="S14" s="489"/>
      <c r="T14" s="490"/>
      <c r="U14" s="487"/>
      <c r="V14" s="488"/>
      <c r="W14" s="459"/>
      <c r="X14" s="456"/>
      <c r="Y14" s="457"/>
      <c r="Z14" s="460"/>
      <c r="AA14" s="2"/>
      <c r="AB14" s="2"/>
      <c r="AC14" s="2"/>
      <c r="AD14" s="2"/>
      <c r="AE14" s="2"/>
      <c r="AF14" s="2"/>
    </row>
    <row r="15" spans="1:32" ht="54.95" customHeight="1">
      <c r="A15" s="391"/>
      <c r="B15" s="392" t="s">
        <v>24</v>
      </c>
      <c r="C15" s="485"/>
      <c r="D15" s="486"/>
      <c r="E15" s="487"/>
      <c r="F15" s="488"/>
      <c r="G15" s="489"/>
      <c r="H15" s="490"/>
      <c r="I15" s="487"/>
      <c r="J15" s="488"/>
      <c r="K15" s="459"/>
      <c r="L15" s="456"/>
      <c r="M15" s="457"/>
      <c r="N15" s="458"/>
      <c r="O15" s="485"/>
      <c r="P15" s="486"/>
      <c r="Q15" s="487"/>
      <c r="R15" s="488"/>
      <c r="S15" s="489"/>
      <c r="T15" s="490"/>
      <c r="U15" s="487"/>
      <c r="V15" s="488"/>
      <c r="W15" s="459">
        <v>1</v>
      </c>
      <c r="X15" s="456"/>
      <c r="Y15" s="457"/>
      <c r="Z15" s="460"/>
      <c r="AA15" s="2"/>
      <c r="AB15" s="2"/>
      <c r="AC15" s="2"/>
      <c r="AD15" s="2"/>
      <c r="AE15" s="2"/>
      <c r="AF15" s="2"/>
    </row>
    <row r="16" spans="1:32" ht="54.95" customHeight="1">
      <c r="A16" s="391"/>
      <c r="B16" s="392" t="s">
        <v>25</v>
      </c>
      <c r="C16" s="485"/>
      <c r="D16" s="486"/>
      <c r="E16" s="487"/>
      <c r="F16" s="488"/>
      <c r="G16" s="489"/>
      <c r="H16" s="490"/>
      <c r="I16" s="487"/>
      <c r="J16" s="488"/>
      <c r="K16" s="459"/>
      <c r="L16" s="456"/>
      <c r="M16" s="457"/>
      <c r="N16" s="458"/>
      <c r="O16" s="485"/>
      <c r="P16" s="486"/>
      <c r="Q16" s="487"/>
      <c r="R16" s="488"/>
      <c r="S16" s="489"/>
      <c r="T16" s="490"/>
      <c r="U16" s="487"/>
      <c r="V16" s="488"/>
      <c r="W16" s="459"/>
      <c r="X16" s="456"/>
      <c r="Y16" s="457"/>
      <c r="Z16" s="460"/>
      <c r="AA16" s="2"/>
      <c r="AB16" s="2"/>
      <c r="AC16" s="2"/>
      <c r="AD16" s="2"/>
      <c r="AE16" s="2"/>
      <c r="AF16" s="2"/>
    </row>
    <row r="17" spans="1:32" ht="54.95" customHeight="1">
      <c r="A17" s="391"/>
      <c r="B17" s="392" t="s">
        <v>26</v>
      </c>
      <c r="C17" s="485"/>
      <c r="D17" s="486"/>
      <c r="E17" s="487"/>
      <c r="F17" s="488"/>
      <c r="G17" s="489"/>
      <c r="H17" s="490"/>
      <c r="I17" s="487"/>
      <c r="J17" s="488"/>
      <c r="K17" s="459"/>
      <c r="L17" s="456"/>
      <c r="M17" s="457"/>
      <c r="N17" s="458"/>
      <c r="O17" s="485"/>
      <c r="P17" s="486"/>
      <c r="Q17" s="487"/>
      <c r="R17" s="488"/>
      <c r="S17" s="489"/>
      <c r="T17" s="490"/>
      <c r="U17" s="487"/>
      <c r="V17" s="488">
        <v>1</v>
      </c>
      <c r="W17" s="459"/>
      <c r="X17" s="456">
        <v>1</v>
      </c>
      <c r="Y17" s="457"/>
      <c r="Z17" s="460"/>
      <c r="AA17" s="2"/>
      <c r="AB17" s="2"/>
      <c r="AC17" s="2"/>
      <c r="AD17" s="2"/>
      <c r="AE17" s="2"/>
      <c r="AF17" s="2"/>
    </row>
    <row r="18" spans="1:32" ht="54.95" customHeight="1">
      <c r="A18" s="391">
        <v>8</v>
      </c>
      <c r="B18" s="392" t="s">
        <v>23</v>
      </c>
      <c r="C18" s="485"/>
      <c r="D18" s="486"/>
      <c r="E18" s="487"/>
      <c r="F18" s="488"/>
      <c r="G18" s="489"/>
      <c r="H18" s="490"/>
      <c r="I18" s="487"/>
      <c r="J18" s="488"/>
      <c r="K18" s="459"/>
      <c r="L18" s="456"/>
      <c r="M18" s="457"/>
      <c r="N18" s="458"/>
      <c r="O18" s="485"/>
      <c r="P18" s="486"/>
      <c r="Q18" s="487"/>
      <c r="R18" s="488"/>
      <c r="S18" s="489"/>
      <c r="T18" s="490"/>
      <c r="U18" s="487"/>
      <c r="V18" s="488"/>
      <c r="W18" s="459"/>
      <c r="X18" s="456"/>
      <c r="Y18" s="457"/>
      <c r="Z18" s="460"/>
      <c r="AA18" s="2"/>
      <c r="AB18" s="2"/>
      <c r="AC18" s="2"/>
      <c r="AD18" s="2"/>
      <c r="AE18" s="2"/>
      <c r="AF18" s="2"/>
    </row>
    <row r="19" spans="1:32" ht="54.95" customHeight="1">
      <c r="A19" s="391"/>
      <c r="B19" s="392" t="s">
        <v>24</v>
      </c>
      <c r="C19" s="485"/>
      <c r="D19" s="486"/>
      <c r="E19" s="487"/>
      <c r="F19" s="488"/>
      <c r="G19" s="489"/>
      <c r="H19" s="490"/>
      <c r="I19" s="487"/>
      <c r="J19" s="488"/>
      <c r="K19" s="459"/>
      <c r="L19" s="456"/>
      <c r="M19" s="457"/>
      <c r="N19" s="458"/>
      <c r="O19" s="485"/>
      <c r="P19" s="486">
        <v>1</v>
      </c>
      <c r="Q19" s="487"/>
      <c r="R19" s="488"/>
      <c r="S19" s="489"/>
      <c r="T19" s="490">
        <v>1</v>
      </c>
      <c r="U19" s="487"/>
      <c r="V19" s="488"/>
      <c r="W19" s="459"/>
      <c r="X19" s="456"/>
      <c r="Y19" s="457"/>
      <c r="Z19" s="460"/>
      <c r="AA19" s="2"/>
      <c r="AB19" s="2"/>
      <c r="AC19" s="2"/>
      <c r="AD19" s="2"/>
      <c r="AE19" s="2"/>
      <c r="AF19" s="2"/>
    </row>
    <row r="20" spans="1:32" ht="54.95" customHeight="1">
      <c r="A20" s="391"/>
      <c r="B20" s="392" t="s">
        <v>25</v>
      </c>
      <c r="C20" s="485"/>
      <c r="D20" s="486"/>
      <c r="E20" s="487"/>
      <c r="F20" s="488"/>
      <c r="G20" s="489"/>
      <c r="H20" s="490"/>
      <c r="I20" s="487"/>
      <c r="J20" s="488"/>
      <c r="K20" s="459"/>
      <c r="L20" s="456"/>
      <c r="M20" s="457"/>
      <c r="N20" s="458"/>
      <c r="O20" s="485"/>
      <c r="P20" s="486"/>
      <c r="Q20" s="487"/>
      <c r="R20" s="488"/>
      <c r="S20" s="489"/>
      <c r="T20" s="490"/>
      <c r="U20" s="487">
        <v>1</v>
      </c>
      <c r="V20" s="488">
        <v>1</v>
      </c>
      <c r="W20" s="459"/>
      <c r="X20" s="456"/>
      <c r="Y20" s="457"/>
      <c r="Z20" s="460"/>
      <c r="AA20" s="2"/>
      <c r="AB20" s="2"/>
      <c r="AC20" s="2"/>
      <c r="AD20" s="2"/>
      <c r="AE20" s="2"/>
      <c r="AF20" s="2"/>
    </row>
    <row r="21" spans="1:32" ht="54.95" customHeight="1" thickBot="1">
      <c r="A21" s="391"/>
      <c r="B21" s="392" t="s">
        <v>26</v>
      </c>
      <c r="C21" s="485"/>
      <c r="D21" s="486"/>
      <c r="E21" s="487"/>
      <c r="F21" s="488"/>
      <c r="G21" s="489"/>
      <c r="H21" s="490"/>
      <c r="I21" s="487"/>
      <c r="J21" s="488"/>
      <c r="K21" s="459"/>
      <c r="L21" s="456"/>
      <c r="M21" s="457"/>
      <c r="N21" s="458"/>
      <c r="O21" s="485"/>
      <c r="P21" s="486"/>
      <c r="Q21" s="487"/>
      <c r="R21" s="488"/>
      <c r="S21" s="489"/>
      <c r="T21" s="490"/>
      <c r="U21" s="487"/>
      <c r="V21" s="488"/>
      <c r="W21" s="459"/>
      <c r="X21" s="456"/>
      <c r="Y21" s="457"/>
      <c r="Z21" s="460"/>
      <c r="AA21" s="2"/>
      <c r="AB21" s="2"/>
      <c r="AC21" s="2"/>
      <c r="AD21" s="2"/>
      <c r="AE21" s="2"/>
      <c r="AF21" s="2"/>
    </row>
    <row r="22" spans="1:32" ht="54.95" hidden="1" customHeight="1">
      <c r="A22" s="391">
        <v>9</v>
      </c>
      <c r="B22" s="392" t="s">
        <v>23</v>
      </c>
      <c r="C22" s="485"/>
      <c r="D22" s="486"/>
      <c r="E22" s="487"/>
      <c r="F22" s="488"/>
      <c r="G22" s="489"/>
      <c r="H22" s="490"/>
      <c r="I22" s="487"/>
      <c r="J22" s="488"/>
      <c r="K22" s="459"/>
      <c r="L22" s="456"/>
      <c r="M22" s="457"/>
      <c r="N22" s="458"/>
      <c r="O22" s="485"/>
      <c r="P22" s="486"/>
      <c r="Q22" s="487"/>
      <c r="R22" s="488"/>
      <c r="S22" s="489"/>
      <c r="T22" s="490"/>
      <c r="U22" s="487"/>
      <c r="V22" s="488"/>
      <c r="W22" s="459"/>
      <c r="X22" s="456"/>
      <c r="Y22" s="457"/>
      <c r="Z22" s="460"/>
      <c r="AA22" s="2"/>
      <c r="AB22" s="2"/>
      <c r="AC22" s="2"/>
      <c r="AD22" s="2"/>
      <c r="AE22" s="2"/>
      <c r="AF22" s="2"/>
    </row>
    <row r="23" spans="1:32" ht="54.95" hidden="1" customHeight="1" thickBot="1">
      <c r="A23" s="394"/>
      <c r="B23" s="395" t="s">
        <v>24</v>
      </c>
      <c r="C23" s="491"/>
      <c r="D23" s="492"/>
      <c r="E23" s="493"/>
      <c r="F23" s="494"/>
      <c r="G23" s="495"/>
      <c r="H23" s="496"/>
      <c r="I23" s="493"/>
      <c r="J23" s="494"/>
      <c r="K23" s="465"/>
      <c r="L23" s="462"/>
      <c r="M23" s="463"/>
      <c r="N23" s="464"/>
      <c r="O23" s="491"/>
      <c r="P23" s="492"/>
      <c r="Q23" s="493"/>
      <c r="R23" s="494"/>
      <c r="S23" s="495"/>
      <c r="T23" s="496"/>
      <c r="U23" s="493"/>
      <c r="V23" s="494"/>
      <c r="W23" s="465"/>
      <c r="X23" s="462"/>
      <c r="Y23" s="463"/>
      <c r="Z23" s="466"/>
      <c r="AA23" s="2"/>
      <c r="AB23" s="2"/>
      <c r="AC23" s="2"/>
      <c r="AD23" s="2"/>
      <c r="AE23" s="2"/>
      <c r="AF23" s="2"/>
    </row>
    <row r="24" spans="1:32" ht="54.95" hidden="1" customHeight="1" thickTop="1" thickBot="1">
      <c r="A24" s="398"/>
      <c r="B24" s="398"/>
      <c r="C24" s="429"/>
      <c r="D24" s="429"/>
      <c r="E24" s="429"/>
      <c r="F24" s="429"/>
      <c r="G24" s="429"/>
      <c r="H24" s="429"/>
      <c r="I24" s="429"/>
      <c r="J24" s="429"/>
      <c r="K24" s="429"/>
      <c r="L24" s="429"/>
      <c r="M24" s="429"/>
      <c r="N24" s="429"/>
      <c r="O24" s="429"/>
      <c r="P24" s="429"/>
      <c r="Q24" s="429"/>
      <c r="R24" s="429"/>
      <c r="S24" s="429"/>
      <c r="T24" s="429"/>
      <c r="U24" s="429"/>
      <c r="V24" s="429"/>
      <c r="W24" s="429"/>
      <c r="X24" s="429"/>
      <c r="Y24" s="429"/>
      <c r="Z24" s="429"/>
      <c r="AA24" s="2"/>
      <c r="AB24" s="2"/>
      <c r="AC24" s="2"/>
      <c r="AD24" s="2"/>
      <c r="AE24" s="2"/>
      <c r="AF24" s="2"/>
    </row>
    <row r="25" spans="1:32" ht="52.5" hidden="1" customHeight="1" thickBot="1">
      <c r="A25" s="374" t="s">
        <v>0</v>
      </c>
      <c r="B25" s="375" t="str">
        <f>B1</f>
        <v>REIGNIER_Giratoire des Jonquilles (devant l'église)</v>
      </c>
      <c r="C25" s="376"/>
      <c r="D25" s="376"/>
      <c r="E25" s="376"/>
      <c r="F25" s="377"/>
      <c r="G25" s="377"/>
      <c r="H25" s="376"/>
      <c r="I25" s="376"/>
      <c r="J25" s="377"/>
      <c r="K25" s="377"/>
      <c r="L25" s="378"/>
      <c r="M25" s="331" t="s">
        <v>30</v>
      </c>
      <c r="N25" s="379" t="str">
        <f>N1</f>
        <v>mardi 31 mai 2022</v>
      </c>
      <c r="O25" s="376"/>
      <c r="P25" s="376"/>
      <c r="Q25" s="376"/>
      <c r="R25" s="376"/>
      <c r="S25" s="376"/>
      <c r="T25" s="376"/>
      <c r="U25" s="376"/>
      <c r="V25" s="380"/>
      <c r="W25" s="381"/>
      <c r="X25" s="381"/>
      <c r="Y25" s="381"/>
      <c r="Z25" s="382"/>
    </row>
    <row r="26" spans="1:32" ht="52.5" hidden="1" customHeight="1" thickBot="1">
      <c r="A26" s="318" t="s">
        <v>2</v>
      </c>
      <c r="B26" s="319"/>
      <c r="C26" s="319"/>
      <c r="D26" s="319"/>
      <c r="E26" s="319"/>
      <c r="F26" s="319"/>
      <c r="G26" s="375" t="str">
        <f>G2</f>
        <v>Sylvain BEAUD</v>
      </c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80"/>
      <c r="W26" s="319"/>
      <c r="X26" s="319"/>
      <c r="Y26" s="319"/>
      <c r="Z26" s="319"/>
    </row>
    <row r="27" spans="1:32" ht="52.5" hidden="1" customHeight="1" thickBot="1">
      <c r="A27" s="318" t="s">
        <v>3</v>
      </c>
      <c r="B27" s="319"/>
      <c r="C27" s="375">
        <f>C3</f>
        <v>0</v>
      </c>
      <c r="D27" s="376"/>
      <c r="E27" s="376"/>
      <c r="F27" s="376"/>
      <c r="G27" s="376"/>
      <c r="H27" s="376"/>
      <c r="I27" s="376"/>
      <c r="J27" s="376"/>
      <c r="K27" s="376"/>
      <c r="L27" s="376"/>
      <c r="M27" s="376"/>
      <c r="N27" s="376"/>
      <c r="O27" s="376"/>
      <c r="P27" s="376"/>
      <c r="Q27" s="376"/>
      <c r="R27" s="376"/>
      <c r="S27" s="376"/>
      <c r="T27" s="376"/>
      <c r="U27" s="376"/>
      <c r="V27" s="380"/>
      <c r="W27" s="319"/>
      <c r="X27" s="319"/>
      <c r="Y27" s="319"/>
      <c r="Z27" s="336"/>
    </row>
    <row r="28" spans="1:32" ht="52.5" hidden="1" customHeight="1" thickBot="1">
      <c r="A28" s="318" t="s">
        <v>27</v>
      </c>
      <c r="B28" s="319"/>
      <c r="C28" s="375">
        <f>C4</f>
        <v>0</v>
      </c>
      <c r="D28" s="376"/>
      <c r="E28" s="376"/>
      <c r="F28" s="376"/>
      <c r="G28" s="376"/>
      <c r="H28" s="376"/>
      <c r="I28" s="376"/>
      <c r="J28" s="376"/>
      <c r="K28" s="376"/>
      <c r="L28" s="376"/>
      <c r="M28" s="376"/>
      <c r="N28" s="376"/>
      <c r="O28" s="376"/>
      <c r="P28" s="376"/>
      <c r="Q28" s="376"/>
      <c r="R28" s="376"/>
      <c r="S28" s="376"/>
      <c r="T28" s="376"/>
      <c r="U28" s="376"/>
      <c r="V28" s="380"/>
      <c r="W28" s="319"/>
      <c r="X28" s="319"/>
      <c r="Y28" s="319"/>
      <c r="Z28" s="336"/>
    </row>
    <row r="29" spans="1:32" ht="25.5" hidden="1" customHeight="1">
      <c r="A29" s="318" t="str">
        <f>A5</f>
        <v xml:space="preserve">Méthodologie : </v>
      </c>
      <c r="B29" s="319"/>
      <c r="C29" s="319" t="str">
        <f>C5</f>
        <v>Pour chaque intervalle de temps, marquer une seule croix par personne comptée</v>
      </c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19"/>
      <c r="Z29" s="336"/>
    </row>
    <row r="30" spans="1:32" ht="25.5" hidden="1" customHeight="1">
      <c r="A30" s="337"/>
      <c r="B30" s="319"/>
      <c r="C30" s="319" t="str">
        <f>C6</f>
        <v>Si c'est enfant, remplacer la croix par E, une trottinette T, un piéton P, etc.</v>
      </c>
      <c r="D30" s="319"/>
      <c r="E30" s="319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336"/>
    </row>
    <row r="31" spans="1:32" ht="25.5" hidden="1" customHeight="1" thickBot="1">
      <c r="A31" s="337"/>
      <c r="B31" s="319"/>
      <c r="C31" s="319"/>
      <c r="D31" s="319"/>
      <c r="E31" s="319"/>
      <c r="F31" s="319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36"/>
    </row>
    <row r="32" spans="1:32" ht="32.25" customHeight="1" thickTop="1">
      <c r="A32" s="384"/>
      <c r="B32" s="385"/>
      <c r="C32" s="826" t="s">
        <v>59</v>
      </c>
      <c r="D32" s="827"/>
      <c r="E32" s="827"/>
      <c r="F32" s="827"/>
      <c r="G32" s="827"/>
      <c r="H32" s="827"/>
      <c r="I32" s="827"/>
      <c r="J32" s="827"/>
      <c r="K32" s="827"/>
      <c r="L32" s="827"/>
      <c r="M32" s="827"/>
      <c r="N32" s="827"/>
      <c r="O32" s="826" t="s">
        <v>57</v>
      </c>
      <c r="P32" s="827"/>
      <c r="Q32" s="827"/>
      <c r="R32" s="827"/>
      <c r="S32" s="827"/>
      <c r="T32" s="827"/>
      <c r="U32" s="827"/>
      <c r="V32" s="827"/>
      <c r="W32" s="827"/>
      <c r="X32" s="827"/>
      <c r="Y32" s="827"/>
      <c r="Z32" s="828"/>
      <c r="AB32" s="9"/>
      <c r="AC32" s="9"/>
      <c r="AD32" s="9"/>
      <c r="AE32" s="9"/>
      <c r="AF32" s="9"/>
    </row>
    <row r="33" spans="1:32" ht="22.7" customHeight="1">
      <c r="A33" s="384"/>
      <c r="B33" s="385"/>
      <c r="C33" s="823" t="s">
        <v>55</v>
      </c>
      <c r="D33" s="824"/>
      <c r="E33" s="824"/>
      <c r="F33" s="824"/>
      <c r="G33" s="824" t="s">
        <v>56</v>
      </c>
      <c r="H33" s="824"/>
      <c r="I33" s="824"/>
      <c r="J33" s="824"/>
      <c r="K33" s="824" t="s">
        <v>54</v>
      </c>
      <c r="L33" s="824"/>
      <c r="M33" s="824"/>
      <c r="N33" s="824"/>
      <c r="O33" s="823" t="s">
        <v>53</v>
      </c>
      <c r="P33" s="824"/>
      <c r="Q33" s="824"/>
      <c r="R33" s="824"/>
      <c r="S33" s="824" t="s">
        <v>54</v>
      </c>
      <c r="T33" s="824"/>
      <c r="U33" s="824"/>
      <c r="V33" s="824"/>
      <c r="W33" s="824" t="s">
        <v>55</v>
      </c>
      <c r="X33" s="824"/>
      <c r="Y33" s="824"/>
      <c r="Z33" s="825"/>
    </row>
    <row r="34" spans="1:32" ht="18.600000000000001" customHeight="1" thickBot="1">
      <c r="A34" s="384"/>
      <c r="B34" s="385"/>
      <c r="C34" s="814" t="s">
        <v>4</v>
      </c>
      <c r="D34" s="815"/>
      <c r="E34" s="816" t="s">
        <v>5</v>
      </c>
      <c r="F34" s="817"/>
      <c r="G34" s="817" t="s">
        <v>4</v>
      </c>
      <c r="H34" s="818"/>
      <c r="I34" s="816" t="s">
        <v>5</v>
      </c>
      <c r="J34" s="817"/>
      <c r="K34" s="817" t="s">
        <v>4</v>
      </c>
      <c r="L34" s="819"/>
      <c r="M34" s="820" t="s">
        <v>5</v>
      </c>
      <c r="N34" s="822"/>
      <c r="O34" s="814" t="s">
        <v>4</v>
      </c>
      <c r="P34" s="815"/>
      <c r="Q34" s="816" t="s">
        <v>5</v>
      </c>
      <c r="R34" s="817"/>
      <c r="S34" s="817" t="s">
        <v>4</v>
      </c>
      <c r="T34" s="818"/>
      <c r="U34" s="816" t="s">
        <v>5</v>
      </c>
      <c r="V34" s="817"/>
      <c r="W34" s="817" t="s">
        <v>4</v>
      </c>
      <c r="X34" s="819"/>
      <c r="Y34" s="820" t="s">
        <v>5</v>
      </c>
      <c r="Z34" s="821"/>
    </row>
    <row r="35" spans="1:32" ht="21" thickTop="1">
      <c r="A35" s="388" t="s">
        <v>6</v>
      </c>
      <c r="B35" s="389" t="s">
        <v>7</v>
      </c>
      <c r="C35" s="479" t="s">
        <v>8</v>
      </c>
      <c r="D35" s="480" t="s">
        <v>9</v>
      </c>
      <c r="E35" s="481" t="s">
        <v>8</v>
      </c>
      <c r="F35" s="482" t="s">
        <v>9</v>
      </c>
      <c r="G35" s="483" t="s">
        <v>8</v>
      </c>
      <c r="H35" s="484" t="s">
        <v>9</v>
      </c>
      <c r="I35" s="481" t="s">
        <v>8</v>
      </c>
      <c r="J35" s="482" t="s">
        <v>9</v>
      </c>
      <c r="K35" s="342" t="s">
        <v>8</v>
      </c>
      <c r="L35" s="339" t="s">
        <v>9</v>
      </c>
      <c r="M35" s="340" t="s">
        <v>8</v>
      </c>
      <c r="N35" s="341" t="s">
        <v>9</v>
      </c>
      <c r="O35" s="479" t="s">
        <v>8</v>
      </c>
      <c r="P35" s="480" t="s">
        <v>9</v>
      </c>
      <c r="Q35" s="481" t="s">
        <v>8</v>
      </c>
      <c r="R35" s="482" t="s">
        <v>9</v>
      </c>
      <c r="S35" s="483" t="s">
        <v>8</v>
      </c>
      <c r="T35" s="484" t="s">
        <v>9</v>
      </c>
      <c r="U35" s="481" t="s">
        <v>8</v>
      </c>
      <c r="V35" s="482" t="s">
        <v>9</v>
      </c>
      <c r="W35" s="342" t="s">
        <v>8</v>
      </c>
      <c r="X35" s="339" t="s">
        <v>9</v>
      </c>
      <c r="Y35" s="340" t="s">
        <v>8</v>
      </c>
      <c r="Z35" s="343" t="s">
        <v>9</v>
      </c>
      <c r="AA35" s="10"/>
    </row>
    <row r="36" spans="1:32" ht="54.95" hidden="1" customHeight="1">
      <c r="A36" s="391">
        <v>6</v>
      </c>
      <c r="B36" s="392" t="s">
        <v>25</v>
      </c>
      <c r="C36" s="485"/>
      <c r="D36" s="486"/>
      <c r="E36" s="487"/>
      <c r="F36" s="488"/>
      <c r="G36" s="489"/>
      <c r="H36" s="490"/>
      <c r="I36" s="487"/>
      <c r="J36" s="488"/>
      <c r="K36" s="459"/>
      <c r="L36" s="456"/>
      <c r="M36" s="457"/>
      <c r="N36" s="458"/>
      <c r="O36" s="485"/>
      <c r="P36" s="486"/>
      <c r="Q36" s="487"/>
      <c r="R36" s="488"/>
      <c r="S36" s="489"/>
      <c r="T36" s="490"/>
      <c r="U36" s="487"/>
      <c r="V36" s="488"/>
      <c r="W36" s="459"/>
      <c r="X36" s="456"/>
      <c r="Y36" s="457"/>
      <c r="Z36" s="460"/>
      <c r="AA36" s="2"/>
      <c r="AB36" s="2"/>
      <c r="AC36" s="2"/>
      <c r="AD36" s="2"/>
      <c r="AE36" s="2"/>
      <c r="AF36" s="2"/>
    </row>
    <row r="37" spans="1:32" ht="54.95" customHeight="1">
      <c r="A37" s="391">
        <v>6</v>
      </c>
      <c r="B37" s="392" t="s">
        <v>26</v>
      </c>
      <c r="C37" s="485"/>
      <c r="D37" s="486"/>
      <c r="E37" s="487"/>
      <c r="F37" s="488"/>
      <c r="G37" s="489"/>
      <c r="H37" s="490"/>
      <c r="I37" s="487"/>
      <c r="J37" s="488">
        <v>1</v>
      </c>
      <c r="K37" s="459"/>
      <c r="L37" s="456"/>
      <c r="M37" s="457"/>
      <c r="N37" s="458"/>
      <c r="O37" s="485"/>
      <c r="P37" s="486"/>
      <c r="Q37" s="487"/>
      <c r="R37" s="488"/>
      <c r="S37" s="489"/>
      <c r="T37" s="490"/>
      <c r="U37" s="487"/>
      <c r="V37" s="488"/>
      <c r="W37" s="459"/>
      <c r="X37" s="456"/>
      <c r="Y37" s="457"/>
      <c r="Z37" s="460"/>
      <c r="AA37" s="2"/>
      <c r="AB37" s="2"/>
      <c r="AC37" s="2"/>
      <c r="AD37" s="2"/>
      <c r="AE37" s="2"/>
      <c r="AF37" s="2"/>
    </row>
    <row r="38" spans="1:32" ht="54.95" customHeight="1">
      <c r="A38" s="391">
        <v>7</v>
      </c>
      <c r="B38" s="392" t="s">
        <v>23</v>
      </c>
      <c r="C38" s="485">
        <v>1</v>
      </c>
      <c r="D38" s="486">
        <v>1</v>
      </c>
      <c r="E38" s="487"/>
      <c r="F38" s="488"/>
      <c r="G38" s="489"/>
      <c r="H38" s="490"/>
      <c r="I38" s="487"/>
      <c r="J38" s="488"/>
      <c r="K38" s="459"/>
      <c r="L38" s="456"/>
      <c r="M38" s="457"/>
      <c r="N38" s="458"/>
      <c r="O38" s="485"/>
      <c r="P38" s="486"/>
      <c r="Q38" s="487"/>
      <c r="R38" s="488"/>
      <c r="S38" s="489"/>
      <c r="T38" s="490"/>
      <c r="U38" s="487"/>
      <c r="V38" s="488"/>
      <c r="W38" s="459"/>
      <c r="X38" s="456"/>
      <c r="Y38" s="457"/>
      <c r="Z38" s="460"/>
      <c r="AA38" s="2"/>
      <c r="AB38" s="2"/>
      <c r="AC38" s="2"/>
      <c r="AD38" s="2"/>
      <c r="AE38" s="2"/>
      <c r="AF38" s="2"/>
    </row>
    <row r="39" spans="1:32" ht="54.95" customHeight="1">
      <c r="A39" s="391"/>
      <c r="B39" s="392" t="s">
        <v>24</v>
      </c>
      <c r="C39" s="485">
        <v>1</v>
      </c>
      <c r="D39" s="486">
        <v>1</v>
      </c>
      <c r="E39" s="487"/>
      <c r="F39" s="488"/>
      <c r="G39" s="489"/>
      <c r="H39" s="490">
        <v>1</v>
      </c>
      <c r="I39" s="487"/>
      <c r="J39" s="488"/>
      <c r="K39" s="459"/>
      <c r="L39" s="456"/>
      <c r="M39" s="457"/>
      <c r="N39" s="458"/>
      <c r="O39" s="485"/>
      <c r="P39" s="486"/>
      <c r="Q39" s="487"/>
      <c r="R39" s="488"/>
      <c r="S39" s="489"/>
      <c r="T39" s="490"/>
      <c r="U39" s="487"/>
      <c r="V39" s="488"/>
      <c r="W39" s="459"/>
      <c r="X39" s="456"/>
      <c r="Y39" s="457"/>
      <c r="Z39" s="460"/>
      <c r="AA39" s="2"/>
      <c r="AB39" s="2"/>
      <c r="AC39" s="2"/>
      <c r="AD39" s="2"/>
      <c r="AE39" s="2"/>
      <c r="AF39" s="2"/>
    </row>
    <row r="40" spans="1:32" ht="54.95" customHeight="1">
      <c r="A40" s="391"/>
      <c r="B40" s="392" t="s">
        <v>25</v>
      </c>
      <c r="C40" s="485"/>
      <c r="D40" s="486">
        <v>1</v>
      </c>
      <c r="E40" s="487"/>
      <c r="F40" s="488"/>
      <c r="G40" s="489"/>
      <c r="H40" s="490"/>
      <c r="I40" s="487"/>
      <c r="J40" s="488"/>
      <c r="K40" s="459"/>
      <c r="L40" s="456"/>
      <c r="M40" s="457"/>
      <c r="N40" s="458"/>
      <c r="O40" s="485"/>
      <c r="P40" s="486"/>
      <c r="Q40" s="487"/>
      <c r="R40" s="488"/>
      <c r="S40" s="489"/>
      <c r="T40" s="490"/>
      <c r="U40" s="487"/>
      <c r="V40" s="488"/>
      <c r="W40" s="459"/>
      <c r="X40" s="456">
        <v>1</v>
      </c>
      <c r="Y40" s="457"/>
      <c r="Z40" s="460"/>
      <c r="AA40" s="2"/>
      <c r="AB40" s="2"/>
      <c r="AC40" s="2"/>
      <c r="AD40" s="2"/>
      <c r="AE40" s="2"/>
      <c r="AF40" s="2"/>
    </row>
    <row r="41" spans="1:32" ht="54.95" customHeight="1">
      <c r="A41" s="391"/>
      <c r="B41" s="392" t="s">
        <v>26</v>
      </c>
      <c r="C41" s="485"/>
      <c r="D41" s="486"/>
      <c r="E41" s="487"/>
      <c r="F41" s="488"/>
      <c r="G41" s="489"/>
      <c r="H41" s="490">
        <v>2</v>
      </c>
      <c r="I41" s="487"/>
      <c r="J41" s="488"/>
      <c r="K41" s="459"/>
      <c r="L41" s="456"/>
      <c r="M41" s="457"/>
      <c r="N41" s="458"/>
      <c r="O41" s="485"/>
      <c r="P41" s="486"/>
      <c r="Q41" s="487"/>
      <c r="R41" s="488"/>
      <c r="S41" s="489"/>
      <c r="T41" s="490"/>
      <c r="U41" s="487"/>
      <c r="V41" s="488"/>
      <c r="W41" s="459"/>
      <c r="X41" s="456"/>
      <c r="Y41" s="457"/>
      <c r="Z41" s="460"/>
      <c r="AA41" s="2"/>
      <c r="AB41" s="2"/>
      <c r="AC41" s="2"/>
      <c r="AD41" s="2"/>
      <c r="AE41" s="2"/>
      <c r="AF41" s="2"/>
    </row>
    <row r="42" spans="1:32" ht="54.95" customHeight="1">
      <c r="A42" s="391">
        <v>8</v>
      </c>
      <c r="B42" s="392" t="s">
        <v>23</v>
      </c>
      <c r="C42" s="485"/>
      <c r="D42" s="486"/>
      <c r="E42" s="487">
        <v>1</v>
      </c>
      <c r="F42" s="488"/>
      <c r="G42" s="489"/>
      <c r="H42" s="490">
        <v>1</v>
      </c>
      <c r="I42" s="487"/>
      <c r="J42" s="488"/>
      <c r="K42" s="459"/>
      <c r="L42" s="456">
        <v>1</v>
      </c>
      <c r="M42" s="457"/>
      <c r="N42" s="458"/>
      <c r="O42" s="485"/>
      <c r="P42" s="486"/>
      <c r="Q42" s="487"/>
      <c r="R42" s="488"/>
      <c r="S42" s="489">
        <v>1</v>
      </c>
      <c r="T42" s="490">
        <v>1</v>
      </c>
      <c r="U42" s="487">
        <v>1</v>
      </c>
      <c r="V42" s="488"/>
      <c r="W42" s="459"/>
      <c r="X42" s="456"/>
      <c r="Y42" s="457"/>
      <c r="Z42" s="460"/>
      <c r="AA42" s="2"/>
      <c r="AB42" s="2"/>
      <c r="AC42" s="2"/>
      <c r="AD42" s="2"/>
      <c r="AE42" s="2"/>
      <c r="AF42" s="2"/>
    </row>
    <row r="43" spans="1:32" ht="54.95" customHeight="1">
      <c r="A43" s="391"/>
      <c r="B43" s="392" t="s">
        <v>24</v>
      </c>
      <c r="C43" s="485"/>
      <c r="D43" s="486"/>
      <c r="E43" s="487"/>
      <c r="F43" s="488"/>
      <c r="G43" s="489"/>
      <c r="H43" s="490"/>
      <c r="I43" s="487"/>
      <c r="J43" s="488"/>
      <c r="K43" s="459">
        <v>1</v>
      </c>
      <c r="L43" s="456"/>
      <c r="M43" s="457">
        <v>1</v>
      </c>
      <c r="N43" s="458"/>
      <c r="O43" s="485"/>
      <c r="P43" s="486"/>
      <c r="Q43" s="487"/>
      <c r="R43" s="488"/>
      <c r="S43" s="489"/>
      <c r="T43" s="490"/>
      <c r="U43" s="487"/>
      <c r="V43" s="488"/>
      <c r="W43" s="459"/>
      <c r="X43" s="456"/>
      <c r="Y43" s="457"/>
      <c r="Z43" s="460"/>
      <c r="AA43" s="2"/>
      <c r="AB43" s="2"/>
      <c r="AC43" s="2"/>
      <c r="AD43" s="2"/>
      <c r="AE43" s="2"/>
      <c r="AF43" s="2"/>
    </row>
    <row r="44" spans="1:32" ht="54.95" customHeight="1">
      <c r="A44" s="391"/>
      <c r="B44" s="392" t="s">
        <v>25</v>
      </c>
      <c r="C44" s="485">
        <v>1</v>
      </c>
      <c r="D44" s="486"/>
      <c r="E44" s="487">
        <v>1</v>
      </c>
      <c r="F44" s="488"/>
      <c r="G44" s="489"/>
      <c r="H44" s="490"/>
      <c r="I44" s="487"/>
      <c r="J44" s="488"/>
      <c r="K44" s="459"/>
      <c r="L44" s="456"/>
      <c r="M44" s="457"/>
      <c r="N44" s="458"/>
      <c r="O44" s="485"/>
      <c r="P44" s="486"/>
      <c r="Q44" s="487"/>
      <c r="R44" s="488"/>
      <c r="S44" s="489"/>
      <c r="T44" s="490">
        <v>1</v>
      </c>
      <c r="U44" s="487"/>
      <c r="V44" s="488"/>
      <c r="W44" s="459"/>
      <c r="X44" s="456"/>
      <c r="Y44" s="457"/>
      <c r="Z44" s="460"/>
      <c r="AA44" s="2"/>
      <c r="AB44" s="2"/>
      <c r="AC44" s="2"/>
      <c r="AD44" s="2"/>
      <c r="AE44" s="2"/>
      <c r="AF44" s="2"/>
    </row>
    <row r="45" spans="1:32" ht="54.95" customHeight="1">
      <c r="A45" s="391"/>
      <c r="B45" s="392" t="s">
        <v>26</v>
      </c>
      <c r="C45" s="485"/>
      <c r="D45" s="486"/>
      <c r="E45" s="487"/>
      <c r="F45" s="488"/>
      <c r="G45" s="489"/>
      <c r="H45" s="490"/>
      <c r="I45" s="487"/>
      <c r="J45" s="488"/>
      <c r="K45" s="459"/>
      <c r="L45" s="456"/>
      <c r="M45" s="457"/>
      <c r="N45" s="458"/>
      <c r="O45" s="485"/>
      <c r="P45" s="486"/>
      <c r="Q45" s="487"/>
      <c r="R45" s="488"/>
      <c r="S45" s="489"/>
      <c r="T45" s="490"/>
      <c r="U45" s="487"/>
      <c r="V45" s="488"/>
      <c r="W45" s="459"/>
      <c r="X45" s="456"/>
      <c r="Y45" s="457"/>
      <c r="Z45" s="460"/>
      <c r="AA45" s="2"/>
      <c r="AB45" s="2"/>
      <c r="AC45" s="2"/>
      <c r="AD45" s="2"/>
      <c r="AE45" s="2"/>
      <c r="AF45" s="2"/>
    </row>
    <row r="46" spans="1:32" ht="54.95" hidden="1" customHeight="1">
      <c r="A46" s="391">
        <v>9</v>
      </c>
      <c r="B46" s="392" t="s">
        <v>23</v>
      </c>
      <c r="C46" s="485"/>
      <c r="D46" s="486"/>
      <c r="E46" s="487"/>
      <c r="F46" s="488"/>
      <c r="G46" s="489"/>
      <c r="H46" s="490"/>
      <c r="I46" s="487"/>
      <c r="J46" s="488"/>
      <c r="K46" s="459"/>
      <c r="L46" s="456"/>
      <c r="M46" s="457"/>
      <c r="N46" s="458"/>
      <c r="O46" s="485"/>
      <c r="P46" s="486"/>
      <c r="Q46" s="487"/>
      <c r="R46" s="488"/>
      <c r="S46" s="489"/>
      <c r="T46" s="490"/>
      <c r="U46" s="487"/>
      <c r="V46" s="488"/>
      <c r="W46" s="459"/>
      <c r="X46" s="456"/>
      <c r="Y46" s="457"/>
      <c r="Z46" s="460"/>
      <c r="AA46" s="2"/>
      <c r="AB46" s="2"/>
      <c r="AC46" s="2"/>
      <c r="AD46" s="2"/>
      <c r="AE46" s="2"/>
      <c r="AF46" s="2"/>
    </row>
    <row r="47" spans="1:32" ht="54.95" hidden="1" customHeight="1" thickBot="1">
      <c r="A47" s="394"/>
      <c r="B47" s="395" t="s">
        <v>24</v>
      </c>
      <c r="C47" s="491"/>
      <c r="D47" s="492"/>
      <c r="E47" s="493"/>
      <c r="F47" s="494"/>
      <c r="G47" s="495"/>
      <c r="H47" s="496"/>
      <c r="I47" s="493"/>
      <c r="J47" s="494"/>
      <c r="K47" s="465"/>
      <c r="L47" s="462"/>
      <c r="M47" s="463"/>
      <c r="N47" s="464"/>
      <c r="O47" s="491"/>
      <c r="P47" s="492"/>
      <c r="Q47" s="493"/>
      <c r="R47" s="494"/>
      <c r="S47" s="495"/>
      <c r="T47" s="496"/>
      <c r="U47" s="493"/>
      <c r="V47" s="494"/>
      <c r="W47" s="465"/>
      <c r="X47" s="462"/>
      <c r="Y47" s="463"/>
      <c r="Z47" s="466"/>
      <c r="AA47" s="2"/>
      <c r="AB47" s="2"/>
      <c r="AC47" s="2"/>
      <c r="AD47" s="2"/>
      <c r="AE47" s="2"/>
      <c r="AF47" s="2"/>
    </row>
    <row r="48" spans="1:32" ht="54.95" customHeight="1" thickBot="1">
      <c r="A48" s="398"/>
      <c r="B48" s="398"/>
      <c r="C48" s="429"/>
      <c r="D48" s="429"/>
      <c r="E48" s="429"/>
      <c r="F48" s="429"/>
      <c r="G48" s="429"/>
      <c r="H48" s="429"/>
      <c r="I48" s="429"/>
      <c r="J48" s="429"/>
      <c r="K48" s="429"/>
      <c r="L48" s="429"/>
      <c r="M48" s="429"/>
      <c r="N48" s="429"/>
      <c r="O48" s="429"/>
      <c r="P48" s="429"/>
      <c r="Q48" s="429"/>
      <c r="R48" s="429"/>
      <c r="S48" s="429"/>
      <c r="T48" s="429"/>
      <c r="U48" s="429"/>
      <c r="V48" s="429"/>
      <c r="W48" s="429"/>
      <c r="X48" s="429"/>
      <c r="Y48" s="429"/>
      <c r="Z48" s="429"/>
      <c r="AA48" s="2"/>
      <c r="AB48" s="2"/>
      <c r="AC48" s="2"/>
      <c r="AD48" s="2"/>
      <c r="AE48" s="2"/>
      <c r="AF48" s="2"/>
    </row>
    <row r="49" spans="1:40" ht="52.5" customHeight="1" thickBot="1">
      <c r="A49" s="121" t="s">
        <v>0</v>
      </c>
      <c r="B49" s="162" t="str">
        <f>B1</f>
        <v>REIGNIER_Giratoire des Jonquilles (devant l'église)</v>
      </c>
      <c r="C49" s="72"/>
      <c r="D49" s="72"/>
      <c r="E49" s="72"/>
      <c r="F49" s="73"/>
      <c r="G49" s="73"/>
      <c r="H49" s="72"/>
      <c r="I49" s="72"/>
      <c r="J49" s="73"/>
      <c r="K49" s="73"/>
      <c r="L49" s="163"/>
      <c r="M49" s="109" t="s">
        <v>1</v>
      </c>
      <c r="N49" s="164" t="str">
        <f>N1</f>
        <v>mardi 31 mai 2022</v>
      </c>
      <c r="O49" s="72"/>
      <c r="P49" s="72"/>
      <c r="Q49" s="72"/>
      <c r="R49" s="72"/>
      <c r="S49" s="72"/>
      <c r="T49" s="72"/>
      <c r="U49" s="72"/>
      <c r="V49" s="165"/>
      <c r="W49" s="123"/>
      <c r="X49" s="123"/>
      <c r="Y49" s="123"/>
      <c r="Z49" s="139"/>
      <c r="AA49" s="167" t="s">
        <v>0</v>
      </c>
      <c r="AB49" s="33" t="str">
        <f>B49</f>
        <v>REIGNIER_Giratoire des Jonquilles (devant l'église)</v>
      </c>
      <c r="AC49" s="34"/>
      <c r="AD49" s="34"/>
      <c r="AE49" s="161"/>
      <c r="AF49" s="35"/>
      <c r="AG49" s="166" t="s">
        <v>1</v>
      </c>
      <c r="AH49" s="36" t="str">
        <f>N49</f>
        <v>mardi 31 mai 2022</v>
      </c>
      <c r="AI49" s="35"/>
      <c r="AJ49" s="151"/>
    </row>
    <row r="50" spans="1:40" ht="52.5" customHeight="1" thickBot="1">
      <c r="A50" s="111" t="s">
        <v>2</v>
      </c>
      <c r="B50" s="112"/>
      <c r="C50" s="112"/>
      <c r="D50" s="112"/>
      <c r="E50" s="112"/>
      <c r="F50" s="112"/>
      <c r="G50" s="162" t="str">
        <f>G26</f>
        <v>Sylvain BEAUD</v>
      </c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165"/>
      <c r="W50" s="112"/>
      <c r="X50" s="112"/>
      <c r="Y50" s="112"/>
      <c r="Z50" s="112"/>
      <c r="AA50" s="111" t="s">
        <v>2</v>
      </c>
      <c r="AB50" s="112"/>
      <c r="AC50" s="112"/>
      <c r="AD50" s="112"/>
      <c r="AE50" s="33" t="str">
        <f>G50</f>
        <v>Sylvain BEAUD</v>
      </c>
      <c r="AF50" s="34"/>
      <c r="AG50" s="34"/>
      <c r="AH50" s="34"/>
      <c r="AI50" s="35"/>
      <c r="AJ50" s="112"/>
    </row>
    <row r="51" spans="1:40" ht="52.5" customHeight="1" thickBot="1">
      <c r="A51" s="111" t="s">
        <v>3</v>
      </c>
      <c r="B51" s="112"/>
      <c r="C51" s="162">
        <f>C3</f>
        <v>0</v>
      </c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165"/>
      <c r="W51" s="112"/>
      <c r="X51" s="112"/>
      <c r="Y51" s="112"/>
      <c r="Z51" s="113"/>
      <c r="AA51" s="111" t="s">
        <v>3</v>
      </c>
      <c r="AB51" s="112"/>
      <c r="AC51" s="33">
        <f>C51</f>
        <v>0</v>
      </c>
      <c r="AD51" s="34"/>
      <c r="AE51" s="34"/>
      <c r="AF51" s="34"/>
      <c r="AG51" s="34"/>
      <c r="AH51" s="34"/>
      <c r="AI51" s="35"/>
      <c r="AJ51" s="87"/>
    </row>
    <row r="52" spans="1:40" ht="52.5" customHeight="1" thickBot="1">
      <c r="A52" s="111" t="s">
        <v>27</v>
      </c>
      <c r="B52" s="112"/>
      <c r="C52" s="162">
        <f>C4</f>
        <v>0</v>
      </c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165"/>
      <c r="W52" s="112"/>
      <c r="X52" s="30"/>
      <c r="Y52" s="30"/>
      <c r="Z52" s="32"/>
      <c r="AA52" s="111" t="s">
        <v>27</v>
      </c>
      <c r="AB52" s="112"/>
      <c r="AC52" s="33">
        <f>C52</f>
        <v>0</v>
      </c>
      <c r="AD52" s="34"/>
      <c r="AE52" s="34"/>
      <c r="AF52" s="161"/>
      <c r="AG52" s="34"/>
      <c r="AH52" s="34"/>
      <c r="AI52" s="35"/>
      <c r="AJ52" s="87"/>
    </row>
    <row r="53" spans="1:40" ht="25.5" customHeight="1">
      <c r="A53" s="31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2"/>
      <c r="AA53" s="114"/>
      <c r="AB53" s="112"/>
      <c r="AC53" s="112"/>
      <c r="AD53" s="112"/>
      <c r="AE53" s="112"/>
      <c r="AF53" s="112"/>
      <c r="AG53" s="112"/>
      <c r="AH53" s="112"/>
      <c r="AI53" s="112"/>
      <c r="AJ53" s="112"/>
    </row>
    <row r="54" spans="1:40" ht="25.5" customHeight="1">
      <c r="A54" s="31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2"/>
      <c r="AA54" s="114"/>
      <c r="AB54" s="112"/>
      <c r="AC54" s="112"/>
      <c r="AD54" s="112"/>
      <c r="AE54" s="112"/>
      <c r="AF54" s="112"/>
      <c r="AG54" s="112"/>
      <c r="AH54" s="112"/>
      <c r="AI54" s="112"/>
      <c r="AJ54" s="113"/>
    </row>
    <row r="55" spans="1:40" ht="25.5" customHeight="1" thickBot="1">
      <c r="A55" s="31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2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</row>
    <row r="56" spans="1:40" ht="32.25" customHeight="1" thickTop="1">
      <c r="A56" s="29"/>
      <c r="B56" s="30"/>
      <c r="C56" s="798" t="str">
        <f>C8</f>
        <v>Depuis 'Annemasse - Genève'</v>
      </c>
      <c r="D56" s="799"/>
      <c r="E56" s="799"/>
      <c r="F56" s="799"/>
      <c r="G56" s="799"/>
      <c r="H56" s="799"/>
      <c r="I56" s="799"/>
      <c r="J56" s="799"/>
      <c r="K56" s="799"/>
      <c r="L56" s="799"/>
      <c r="M56" s="799"/>
      <c r="N56" s="799"/>
      <c r="O56" s="798" t="str">
        <f>O8</f>
        <v>Depuis 'L'Eculaz'</v>
      </c>
      <c r="P56" s="799"/>
      <c r="Q56" s="799"/>
      <c r="R56" s="799"/>
      <c r="S56" s="799"/>
      <c r="T56" s="799"/>
      <c r="U56" s="799"/>
      <c r="V56" s="799"/>
      <c r="W56" s="799"/>
      <c r="X56" s="799"/>
      <c r="Y56" s="799"/>
      <c r="Z56" s="800"/>
      <c r="AA56" s="111"/>
      <c r="AB56" s="30"/>
      <c r="AC56" s="809" t="s">
        <v>12</v>
      </c>
      <c r="AD56" s="811" t="s">
        <v>14</v>
      </c>
      <c r="AE56" s="811" t="s">
        <v>15</v>
      </c>
      <c r="AF56" s="811" t="s">
        <v>18</v>
      </c>
      <c r="AG56" s="811" t="s">
        <v>16</v>
      </c>
      <c r="AH56" s="955" t="s">
        <v>31</v>
      </c>
      <c r="AI56" s="956"/>
      <c r="AJ56" s="957"/>
      <c r="AK56" s="26"/>
      <c r="AL56" s="26"/>
      <c r="AM56" s="26"/>
      <c r="AN56" s="26"/>
    </row>
    <row r="57" spans="1:40" ht="22.7" customHeight="1">
      <c r="A57" s="29"/>
      <c r="B57" s="30"/>
      <c r="C57" s="791" t="str">
        <f>C9</f>
        <v>vers 'Reignier-centre'</v>
      </c>
      <c r="D57" s="792"/>
      <c r="E57" s="792"/>
      <c r="F57" s="792"/>
      <c r="G57" s="791" t="str">
        <f t="shared" ref="G57" si="0">G9</f>
        <v>vers 'Rue des Ecoles'</v>
      </c>
      <c r="H57" s="792"/>
      <c r="I57" s="792"/>
      <c r="J57" s="792"/>
      <c r="K57" s="791" t="str">
        <f t="shared" ref="K57" si="1">K9</f>
        <v>vers 'L'Eculaz'</v>
      </c>
      <c r="L57" s="792"/>
      <c r="M57" s="792"/>
      <c r="N57" s="792"/>
      <c r="O57" s="791" t="str">
        <f t="shared" ref="O57" si="2">O9</f>
        <v>vers 'Reignier-centre'</v>
      </c>
      <c r="P57" s="792"/>
      <c r="Q57" s="792"/>
      <c r="R57" s="792"/>
      <c r="S57" s="791" t="str">
        <f t="shared" ref="S57" si="3">S9</f>
        <v>vers 'Rue des Ecoles'</v>
      </c>
      <c r="T57" s="792"/>
      <c r="U57" s="792"/>
      <c r="V57" s="792"/>
      <c r="W57" s="791" t="str">
        <f t="shared" ref="W57" si="4">W9</f>
        <v>vers 'Annemasse - Genève'</v>
      </c>
      <c r="X57" s="792"/>
      <c r="Y57" s="792"/>
      <c r="Z57" s="793"/>
      <c r="AA57" s="111"/>
      <c r="AB57" s="30"/>
      <c r="AC57" s="810"/>
      <c r="AD57" s="812"/>
      <c r="AE57" s="812"/>
      <c r="AF57" s="812"/>
      <c r="AG57" s="812"/>
      <c r="AH57" s="958"/>
      <c r="AI57" s="959"/>
      <c r="AJ57" s="960"/>
      <c r="AK57" s="26"/>
      <c r="AL57" s="26"/>
      <c r="AM57" s="26"/>
      <c r="AN57" s="26"/>
    </row>
    <row r="58" spans="1:40" ht="18.600000000000001" customHeight="1" thickBot="1">
      <c r="A58" s="29"/>
      <c r="B58" s="30"/>
      <c r="C58" s="787" t="s">
        <v>4</v>
      </c>
      <c r="D58" s="788"/>
      <c r="E58" s="785" t="s">
        <v>5</v>
      </c>
      <c r="F58" s="786"/>
      <c r="G58" s="786" t="s">
        <v>4</v>
      </c>
      <c r="H58" s="787"/>
      <c r="I58" s="785" t="s">
        <v>5</v>
      </c>
      <c r="J58" s="786"/>
      <c r="K58" s="786" t="s">
        <v>4</v>
      </c>
      <c r="L58" s="787"/>
      <c r="M58" s="785" t="s">
        <v>5</v>
      </c>
      <c r="N58" s="786"/>
      <c r="O58" s="786" t="s">
        <v>4</v>
      </c>
      <c r="P58" s="787"/>
      <c r="Q58" s="785" t="s">
        <v>5</v>
      </c>
      <c r="R58" s="786"/>
      <c r="S58" s="786" t="s">
        <v>4</v>
      </c>
      <c r="T58" s="787"/>
      <c r="U58" s="785" t="s">
        <v>5</v>
      </c>
      <c r="V58" s="786"/>
      <c r="W58" s="786" t="s">
        <v>4</v>
      </c>
      <c r="X58" s="787"/>
      <c r="Y58" s="788" t="s">
        <v>5</v>
      </c>
      <c r="Z58" s="785"/>
      <c r="AA58" s="124"/>
      <c r="AB58" s="30"/>
      <c r="AC58" s="810"/>
      <c r="AD58" s="812"/>
      <c r="AE58" s="812"/>
      <c r="AF58" s="812"/>
      <c r="AG58" s="812"/>
      <c r="AH58" s="958"/>
      <c r="AI58" s="959"/>
      <c r="AJ58" s="960"/>
      <c r="AK58" s="26"/>
      <c r="AL58" s="26"/>
      <c r="AM58" s="26"/>
      <c r="AN58" s="26"/>
    </row>
    <row r="59" spans="1:40" ht="21" thickTop="1">
      <c r="A59" s="789" t="s">
        <v>13</v>
      </c>
      <c r="B59" s="790"/>
      <c r="C59" s="140" t="s">
        <v>8</v>
      </c>
      <c r="D59" s="141" t="s">
        <v>9</v>
      </c>
      <c r="E59" s="142" t="s">
        <v>8</v>
      </c>
      <c r="F59" s="143" t="s">
        <v>9</v>
      </c>
      <c r="G59" s="140" t="s">
        <v>8</v>
      </c>
      <c r="H59" s="141" t="s">
        <v>9</v>
      </c>
      <c r="I59" s="142" t="s">
        <v>8</v>
      </c>
      <c r="J59" s="143" t="s">
        <v>9</v>
      </c>
      <c r="K59" s="140" t="s">
        <v>8</v>
      </c>
      <c r="L59" s="141" t="s">
        <v>9</v>
      </c>
      <c r="M59" s="142" t="s">
        <v>8</v>
      </c>
      <c r="N59" s="143" t="s">
        <v>9</v>
      </c>
      <c r="O59" s="140" t="s">
        <v>8</v>
      </c>
      <c r="P59" s="141" t="s">
        <v>9</v>
      </c>
      <c r="Q59" s="142" t="s">
        <v>8</v>
      </c>
      <c r="R59" s="143" t="s">
        <v>9</v>
      </c>
      <c r="S59" s="140" t="s">
        <v>8</v>
      </c>
      <c r="T59" s="141" t="s">
        <v>9</v>
      </c>
      <c r="U59" s="142" t="s">
        <v>8</v>
      </c>
      <c r="V59" s="143" t="s">
        <v>9</v>
      </c>
      <c r="W59" s="140" t="s">
        <v>8</v>
      </c>
      <c r="X59" s="141" t="s">
        <v>9</v>
      </c>
      <c r="Y59" s="142" t="s">
        <v>8</v>
      </c>
      <c r="Z59" s="143" t="s">
        <v>9</v>
      </c>
      <c r="AA59" s="805" t="s">
        <v>13</v>
      </c>
      <c r="AB59" s="806"/>
      <c r="AC59" s="810"/>
      <c r="AD59" s="813"/>
      <c r="AE59" s="813"/>
      <c r="AF59" s="813"/>
      <c r="AG59" s="813"/>
      <c r="AH59" s="961"/>
      <c r="AI59" s="962"/>
      <c r="AJ59" s="963"/>
      <c r="AK59" s="26"/>
      <c r="AL59" s="26"/>
      <c r="AM59" s="26"/>
      <c r="AN59" s="26"/>
    </row>
    <row r="60" spans="1:40" ht="54.95" customHeight="1">
      <c r="A60" s="783" t="s">
        <v>28</v>
      </c>
      <c r="B60" s="784"/>
      <c r="C60" s="92">
        <f t="shared" ref="C60" si="5">SUM(C12:C15)</f>
        <v>0</v>
      </c>
      <c r="D60" s="93">
        <f t="shared" ref="D60:Z60" si="6">SUM(D12:D15)</f>
        <v>0</v>
      </c>
      <c r="E60" s="94">
        <f t="shared" si="6"/>
        <v>0</v>
      </c>
      <c r="F60" s="95">
        <f t="shared" si="6"/>
        <v>0</v>
      </c>
      <c r="G60" s="92">
        <f t="shared" si="6"/>
        <v>0</v>
      </c>
      <c r="H60" s="93">
        <f t="shared" si="6"/>
        <v>0</v>
      </c>
      <c r="I60" s="94">
        <f t="shared" si="6"/>
        <v>0</v>
      </c>
      <c r="J60" s="95">
        <f t="shared" si="6"/>
        <v>0</v>
      </c>
      <c r="K60" s="92">
        <f t="shared" si="6"/>
        <v>0</v>
      </c>
      <c r="L60" s="93">
        <f t="shared" si="6"/>
        <v>0</v>
      </c>
      <c r="M60" s="94">
        <f t="shared" si="6"/>
        <v>0</v>
      </c>
      <c r="N60" s="95">
        <f t="shared" si="6"/>
        <v>0</v>
      </c>
      <c r="O60" s="92">
        <f t="shared" si="6"/>
        <v>0</v>
      </c>
      <c r="P60" s="93">
        <f t="shared" si="6"/>
        <v>0</v>
      </c>
      <c r="Q60" s="94">
        <f t="shared" si="6"/>
        <v>0</v>
      </c>
      <c r="R60" s="95">
        <f t="shared" si="6"/>
        <v>1</v>
      </c>
      <c r="S60" s="92">
        <f t="shared" si="6"/>
        <v>0</v>
      </c>
      <c r="T60" s="93">
        <f t="shared" si="6"/>
        <v>0</v>
      </c>
      <c r="U60" s="94">
        <f t="shared" si="6"/>
        <v>0</v>
      </c>
      <c r="V60" s="95">
        <f t="shared" si="6"/>
        <v>0</v>
      </c>
      <c r="W60" s="92">
        <f t="shared" si="6"/>
        <v>1</v>
      </c>
      <c r="X60" s="93">
        <f t="shared" si="6"/>
        <v>0</v>
      </c>
      <c r="Y60" s="94">
        <f t="shared" si="6"/>
        <v>0</v>
      </c>
      <c r="Z60" s="95">
        <f t="shared" si="6"/>
        <v>0</v>
      </c>
      <c r="AA60" s="807" t="s">
        <v>28</v>
      </c>
      <c r="AB60" s="808"/>
      <c r="AC60" s="134">
        <f t="shared" ref="AC60:AC65" si="7">SUM(C60:Z60)+SUM(C72:Z72)</f>
        <v>8</v>
      </c>
      <c r="AD60" s="144">
        <f>IF(AC60=0,0,AD72/AC60)</f>
        <v>0.375</v>
      </c>
      <c r="AE60" s="144">
        <f>IF(AC60=0,0,AE72/AC60)</f>
        <v>0.25</v>
      </c>
      <c r="AF60" s="144">
        <f>IF(AE72=0,0,AF72/AE72)</f>
        <v>0</v>
      </c>
      <c r="AG60" s="144">
        <f t="shared" ref="AG60:AG66" si="8">IF(AC60=0,0,AG72/AC60)</f>
        <v>0.625</v>
      </c>
      <c r="AH60" s="88"/>
      <c r="AI60" s="256"/>
      <c r="AJ60" s="89"/>
      <c r="AK60" s="26"/>
      <c r="AL60" s="26"/>
      <c r="AM60" s="26"/>
      <c r="AN60" s="26"/>
    </row>
    <row r="61" spans="1:40" ht="54.95" customHeight="1">
      <c r="A61" s="774" t="s">
        <v>11</v>
      </c>
      <c r="B61" s="775"/>
      <c r="C61" s="96">
        <f t="shared" ref="C61" si="9">SUM(C14:C17)</f>
        <v>0</v>
      </c>
      <c r="D61" s="97">
        <f t="shared" ref="D61:Z61" si="10">SUM(D14:D17)</f>
        <v>0</v>
      </c>
      <c r="E61" s="98">
        <f t="shared" si="10"/>
        <v>0</v>
      </c>
      <c r="F61" s="99">
        <f t="shared" si="10"/>
        <v>0</v>
      </c>
      <c r="G61" s="96">
        <f t="shared" si="10"/>
        <v>0</v>
      </c>
      <c r="H61" s="97">
        <f t="shared" si="10"/>
        <v>0</v>
      </c>
      <c r="I61" s="98">
        <f t="shared" si="10"/>
        <v>0</v>
      </c>
      <c r="J61" s="99">
        <f t="shared" si="10"/>
        <v>0</v>
      </c>
      <c r="K61" s="96">
        <f t="shared" si="10"/>
        <v>0</v>
      </c>
      <c r="L61" s="97">
        <f t="shared" si="10"/>
        <v>0</v>
      </c>
      <c r="M61" s="98">
        <f t="shared" si="10"/>
        <v>0</v>
      </c>
      <c r="N61" s="99">
        <f t="shared" si="10"/>
        <v>0</v>
      </c>
      <c r="O61" s="96">
        <f t="shared" si="10"/>
        <v>0</v>
      </c>
      <c r="P61" s="97">
        <f t="shared" si="10"/>
        <v>0</v>
      </c>
      <c r="Q61" s="98">
        <f t="shared" si="10"/>
        <v>0</v>
      </c>
      <c r="R61" s="99">
        <f t="shared" si="10"/>
        <v>0</v>
      </c>
      <c r="S61" s="96">
        <f t="shared" si="10"/>
        <v>0</v>
      </c>
      <c r="T61" s="97">
        <f t="shared" si="10"/>
        <v>0</v>
      </c>
      <c r="U61" s="98">
        <f t="shared" si="10"/>
        <v>0</v>
      </c>
      <c r="V61" s="99">
        <f t="shared" si="10"/>
        <v>1</v>
      </c>
      <c r="W61" s="96">
        <f t="shared" si="10"/>
        <v>1</v>
      </c>
      <c r="X61" s="97">
        <f t="shared" si="10"/>
        <v>1</v>
      </c>
      <c r="Y61" s="98">
        <f t="shared" si="10"/>
        <v>0</v>
      </c>
      <c r="Z61" s="99">
        <f t="shared" si="10"/>
        <v>0</v>
      </c>
      <c r="AA61" s="801" t="s">
        <v>11</v>
      </c>
      <c r="AB61" s="802"/>
      <c r="AC61" s="135">
        <f t="shared" si="7"/>
        <v>12</v>
      </c>
      <c r="AD61" s="146">
        <f t="shared" ref="AD61:AD66" si="11">IF(AC61=0,0,AD73/AC61)</f>
        <v>0.25</v>
      </c>
      <c r="AE61" s="146">
        <f t="shared" ref="AE61:AE66" si="12">IF(AC61=0,0,AE73/AC61)</f>
        <v>8.3333333333333329E-2</v>
      </c>
      <c r="AF61" s="146">
        <f t="shared" ref="AF61:AF66" si="13">IF(AE73=0,0,AF73/AE73)</f>
        <v>0</v>
      </c>
      <c r="AG61" s="146">
        <f t="shared" si="8"/>
        <v>0.66666666666666663</v>
      </c>
      <c r="AH61" s="90"/>
      <c r="AI61" s="257"/>
      <c r="AJ61" s="91"/>
      <c r="AK61" s="26"/>
      <c r="AL61" s="26"/>
      <c r="AM61" s="26"/>
      <c r="AN61" s="26"/>
    </row>
    <row r="62" spans="1:40" ht="54.95" customHeight="1">
      <c r="A62" s="774" t="s">
        <v>17</v>
      </c>
      <c r="B62" s="775"/>
      <c r="C62" s="96">
        <f t="shared" ref="C62" si="14">SUM(C16:C19)</f>
        <v>0</v>
      </c>
      <c r="D62" s="97">
        <f t="shared" ref="D62:Z62" si="15">SUM(D16:D19)</f>
        <v>0</v>
      </c>
      <c r="E62" s="98">
        <f t="shared" si="15"/>
        <v>0</v>
      </c>
      <c r="F62" s="99">
        <f t="shared" si="15"/>
        <v>0</v>
      </c>
      <c r="G62" s="96">
        <f t="shared" si="15"/>
        <v>0</v>
      </c>
      <c r="H62" s="97">
        <f t="shared" si="15"/>
        <v>0</v>
      </c>
      <c r="I62" s="98">
        <f t="shared" si="15"/>
        <v>0</v>
      </c>
      <c r="J62" s="99">
        <f t="shared" si="15"/>
        <v>0</v>
      </c>
      <c r="K62" s="96">
        <f t="shared" si="15"/>
        <v>0</v>
      </c>
      <c r="L62" s="97">
        <f t="shared" si="15"/>
        <v>0</v>
      </c>
      <c r="M62" s="98">
        <f t="shared" si="15"/>
        <v>0</v>
      </c>
      <c r="N62" s="99">
        <f t="shared" si="15"/>
        <v>0</v>
      </c>
      <c r="O62" s="96">
        <f t="shared" si="15"/>
        <v>0</v>
      </c>
      <c r="P62" s="97">
        <f t="shared" si="15"/>
        <v>1</v>
      </c>
      <c r="Q62" s="98">
        <f t="shared" si="15"/>
        <v>0</v>
      </c>
      <c r="R62" s="99">
        <f t="shared" si="15"/>
        <v>0</v>
      </c>
      <c r="S62" s="96">
        <f t="shared" si="15"/>
        <v>0</v>
      </c>
      <c r="T62" s="97">
        <f t="shared" si="15"/>
        <v>1</v>
      </c>
      <c r="U62" s="98">
        <f t="shared" si="15"/>
        <v>0</v>
      </c>
      <c r="V62" s="99">
        <f t="shared" si="15"/>
        <v>1</v>
      </c>
      <c r="W62" s="96">
        <f t="shared" si="15"/>
        <v>0</v>
      </c>
      <c r="X62" s="97">
        <f t="shared" si="15"/>
        <v>1</v>
      </c>
      <c r="Y62" s="98">
        <f t="shared" si="15"/>
        <v>0</v>
      </c>
      <c r="Z62" s="99">
        <f t="shared" si="15"/>
        <v>0</v>
      </c>
      <c r="AA62" s="801" t="s">
        <v>17</v>
      </c>
      <c r="AB62" s="802"/>
      <c r="AC62" s="135">
        <f t="shared" si="7"/>
        <v>16</v>
      </c>
      <c r="AD62" s="146">
        <f t="shared" si="11"/>
        <v>0.3125</v>
      </c>
      <c r="AE62" s="146">
        <f t="shared" si="12"/>
        <v>0.25</v>
      </c>
      <c r="AF62" s="146">
        <f t="shared" si="13"/>
        <v>0.75</v>
      </c>
      <c r="AG62" s="146">
        <f t="shared" si="8"/>
        <v>0.25</v>
      </c>
      <c r="AH62" s="90"/>
      <c r="AI62" s="257"/>
      <c r="AJ62" s="91"/>
      <c r="AK62" s="26"/>
      <c r="AL62" s="26"/>
      <c r="AM62" s="26"/>
      <c r="AN62" s="26"/>
    </row>
    <row r="63" spans="1:40" ht="54.95" customHeight="1">
      <c r="A63" s="774" t="s">
        <v>10</v>
      </c>
      <c r="B63" s="775"/>
      <c r="C63" s="96">
        <f t="shared" ref="C63" si="16">SUM(C18:C21)</f>
        <v>0</v>
      </c>
      <c r="D63" s="97">
        <f t="shared" ref="D63:Z63" si="17">SUM(D18:D21)</f>
        <v>0</v>
      </c>
      <c r="E63" s="98">
        <f t="shared" si="17"/>
        <v>0</v>
      </c>
      <c r="F63" s="99">
        <f t="shared" si="17"/>
        <v>0</v>
      </c>
      <c r="G63" s="96">
        <f t="shared" si="17"/>
        <v>0</v>
      </c>
      <c r="H63" s="97">
        <f t="shared" si="17"/>
        <v>0</v>
      </c>
      <c r="I63" s="98">
        <f t="shared" si="17"/>
        <v>0</v>
      </c>
      <c r="J63" s="99">
        <f t="shared" si="17"/>
        <v>0</v>
      </c>
      <c r="K63" s="96">
        <f t="shared" si="17"/>
        <v>0</v>
      </c>
      <c r="L63" s="97">
        <f t="shared" si="17"/>
        <v>0</v>
      </c>
      <c r="M63" s="98">
        <f t="shared" si="17"/>
        <v>0</v>
      </c>
      <c r="N63" s="99">
        <f t="shared" si="17"/>
        <v>0</v>
      </c>
      <c r="O63" s="96">
        <f t="shared" si="17"/>
        <v>0</v>
      </c>
      <c r="P63" s="97">
        <f t="shared" si="17"/>
        <v>1</v>
      </c>
      <c r="Q63" s="98">
        <f t="shared" si="17"/>
        <v>0</v>
      </c>
      <c r="R63" s="99">
        <f t="shared" si="17"/>
        <v>0</v>
      </c>
      <c r="S63" s="96">
        <f t="shared" si="17"/>
        <v>0</v>
      </c>
      <c r="T63" s="97">
        <f t="shared" si="17"/>
        <v>1</v>
      </c>
      <c r="U63" s="98">
        <f t="shared" si="17"/>
        <v>1</v>
      </c>
      <c r="V63" s="99">
        <f t="shared" si="17"/>
        <v>1</v>
      </c>
      <c r="W63" s="96">
        <f t="shared" si="17"/>
        <v>0</v>
      </c>
      <c r="X63" s="97">
        <f t="shared" si="17"/>
        <v>0</v>
      </c>
      <c r="Y63" s="98">
        <f t="shared" si="17"/>
        <v>0</v>
      </c>
      <c r="Z63" s="99">
        <f t="shared" si="17"/>
        <v>0</v>
      </c>
      <c r="AA63" s="801" t="s">
        <v>10</v>
      </c>
      <c r="AB63" s="802"/>
      <c r="AC63" s="135">
        <f t="shared" si="7"/>
        <v>15</v>
      </c>
      <c r="AD63" s="146">
        <f t="shared" si="11"/>
        <v>0.53333333333333333</v>
      </c>
      <c r="AE63" s="146">
        <f t="shared" si="12"/>
        <v>0.4</v>
      </c>
      <c r="AF63" s="146">
        <f t="shared" si="13"/>
        <v>0.83333333333333337</v>
      </c>
      <c r="AG63" s="146">
        <f t="shared" si="8"/>
        <v>0.2</v>
      </c>
      <c r="AH63" s="90"/>
      <c r="AI63" s="257"/>
      <c r="AJ63" s="91"/>
      <c r="AK63" s="26"/>
      <c r="AL63" s="26"/>
      <c r="AM63" s="26"/>
      <c r="AN63" s="26"/>
    </row>
    <row r="64" spans="1:40" ht="54.95" customHeight="1">
      <c r="A64" s="777" t="s">
        <v>29</v>
      </c>
      <c r="B64" s="778"/>
      <c r="C64" s="100">
        <f t="shared" ref="C64" si="18">SUM(C20:C23)</f>
        <v>0</v>
      </c>
      <c r="D64" s="101">
        <f t="shared" ref="D64:Z64" si="19">SUM(D20:D23)</f>
        <v>0</v>
      </c>
      <c r="E64" s="102">
        <f t="shared" si="19"/>
        <v>0</v>
      </c>
      <c r="F64" s="103">
        <f t="shared" si="19"/>
        <v>0</v>
      </c>
      <c r="G64" s="100">
        <f t="shared" si="19"/>
        <v>0</v>
      </c>
      <c r="H64" s="101">
        <f t="shared" si="19"/>
        <v>0</v>
      </c>
      <c r="I64" s="102">
        <f t="shared" si="19"/>
        <v>0</v>
      </c>
      <c r="J64" s="103">
        <f t="shared" si="19"/>
        <v>0</v>
      </c>
      <c r="K64" s="100">
        <f t="shared" si="19"/>
        <v>0</v>
      </c>
      <c r="L64" s="101">
        <f t="shared" si="19"/>
        <v>0</v>
      </c>
      <c r="M64" s="102">
        <f t="shared" si="19"/>
        <v>0</v>
      </c>
      <c r="N64" s="103">
        <f t="shared" si="19"/>
        <v>0</v>
      </c>
      <c r="O64" s="100">
        <f t="shared" si="19"/>
        <v>0</v>
      </c>
      <c r="P64" s="101">
        <f t="shared" si="19"/>
        <v>0</v>
      </c>
      <c r="Q64" s="102">
        <f t="shared" si="19"/>
        <v>0</v>
      </c>
      <c r="R64" s="103">
        <f t="shared" si="19"/>
        <v>0</v>
      </c>
      <c r="S64" s="100">
        <f t="shared" si="19"/>
        <v>0</v>
      </c>
      <c r="T64" s="101">
        <f t="shared" si="19"/>
        <v>0</v>
      </c>
      <c r="U64" s="102">
        <f t="shared" si="19"/>
        <v>1</v>
      </c>
      <c r="V64" s="103">
        <f t="shared" si="19"/>
        <v>1</v>
      </c>
      <c r="W64" s="100">
        <f t="shared" si="19"/>
        <v>0</v>
      </c>
      <c r="X64" s="101">
        <f t="shared" si="19"/>
        <v>0</v>
      </c>
      <c r="Y64" s="102">
        <f t="shared" si="19"/>
        <v>0</v>
      </c>
      <c r="Z64" s="103">
        <f t="shared" si="19"/>
        <v>0</v>
      </c>
      <c r="AA64" s="803" t="s">
        <v>29</v>
      </c>
      <c r="AB64" s="804"/>
      <c r="AC64" s="136">
        <f t="shared" si="7"/>
        <v>5</v>
      </c>
      <c r="AD64" s="148">
        <f t="shared" si="11"/>
        <v>0.6</v>
      </c>
      <c r="AE64" s="148">
        <f t="shared" si="12"/>
        <v>0.6</v>
      </c>
      <c r="AF64" s="148">
        <f t="shared" si="13"/>
        <v>0.66666666666666663</v>
      </c>
      <c r="AG64" s="148">
        <f t="shared" si="8"/>
        <v>0.4</v>
      </c>
      <c r="AH64" s="132"/>
      <c r="AI64" s="258"/>
      <c r="AJ64" s="133"/>
      <c r="AK64" s="26"/>
      <c r="AL64" s="26"/>
      <c r="AM64" s="26"/>
      <c r="AN64" s="26"/>
    </row>
    <row r="65" spans="1:43" ht="54.95" customHeight="1">
      <c r="A65" s="779" t="s">
        <v>12</v>
      </c>
      <c r="B65" s="780"/>
      <c r="C65" s="104">
        <f>SUM(C12:C23)</f>
        <v>0</v>
      </c>
      <c r="D65" s="105">
        <f t="shared" ref="D65:Z65" si="20">SUM(D12:D23)</f>
        <v>0</v>
      </c>
      <c r="E65" s="106">
        <f t="shared" si="20"/>
        <v>0</v>
      </c>
      <c r="F65" s="107">
        <f t="shared" si="20"/>
        <v>0</v>
      </c>
      <c r="G65" s="104">
        <f t="shared" si="20"/>
        <v>0</v>
      </c>
      <c r="H65" s="105">
        <f t="shared" si="20"/>
        <v>0</v>
      </c>
      <c r="I65" s="106">
        <f t="shared" si="20"/>
        <v>0</v>
      </c>
      <c r="J65" s="107">
        <f t="shared" si="20"/>
        <v>0</v>
      </c>
      <c r="K65" s="104">
        <f t="shared" si="20"/>
        <v>0</v>
      </c>
      <c r="L65" s="105">
        <f t="shared" si="20"/>
        <v>0</v>
      </c>
      <c r="M65" s="106">
        <f t="shared" si="20"/>
        <v>0</v>
      </c>
      <c r="N65" s="107">
        <f t="shared" si="20"/>
        <v>0</v>
      </c>
      <c r="O65" s="104">
        <f t="shared" si="20"/>
        <v>0</v>
      </c>
      <c r="P65" s="105">
        <f t="shared" si="20"/>
        <v>1</v>
      </c>
      <c r="Q65" s="106">
        <f t="shared" si="20"/>
        <v>0</v>
      </c>
      <c r="R65" s="107">
        <f t="shared" si="20"/>
        <v>1</v>
      </c>
      <c r="S65" s="104">
        <f t="shared" si="20"/>
        <v>0</v>
      </c>
      <c r="T65" s="105">
        <f t="shared" si="20"/>
        <v>1</v>
      </c>
      <c r="U65" s="106">
        <f t="shared" si="20"/>
        <v>1</v>
      </c>
      <c r="V65" s="107">
        <f t="shared" si="20"/>
        <v>2</v>
      </c>
      <c r="W65" s="104">
        <f t="shared" si="20"/>
        <v>1</v>
      </c>
      <c r="X65" s="105">
        <f t="shared" si="20"/>
        <v>1</v>
      </c>
      <c r="Y65" s="106">
        <f t="shared" si="20"/>
        <v>0</v>
      </c>
      <c r="Z65" s="107">
        <f t="shared" si="20"/>
        <v>0</v>
      </c>
      <c r="AA65" s="794" t="s">
        <v>12</v>
      </c>
      <c r="AB65" s="795"/>
      <c r="AC65" s="137">
        <f t="shared" si="7"/>
        <v>29</v>
      </c>
      <c r="AD65" s="267">
        <f t="shared" si="11"/>
        <v>0.37931034482758619</v>
      </c>
      <c r="AE65" s="267">
        <f t="shared" si="12"/>
        <v>0.31034482758620691</v>
      </c>
      <c r="AF65" s="267">
        <f t="shared" si="13"/>
        <v>0.55555555555555558</v>
      </c>
      <c r="AG65" s="267">
        <f t="shared" si="8"/>
        <v>0.37931034482758619</v>
      </c>
      <c r="AH65" s="259"/>
      <c r="AI65" s="260"/>
      <c r="AJ65" s="138"/>
      <c r="AK65" s="26"/>
      <c r="AL65" s="26"/>
      <c r="AM65" s="26"/>
      <c r="AN65" s="26"/>
    </row>
    <row r="66" spans="1:43" ht="54.95" customHeight="1" thickBot="1">
      <c r="A66" s="781" t="str">
        <f>IF($AC$60=MAX($AC$60:$AC$64),A60,IF($AC$61=MAX($AC$60:$AC$64),A61,IF($AC$62=MAX($AC$60:$AC$64),A62,IF($AC$63=MAX($AC$60:$AC$64),A63,A64))))</f>
        <v>de 7:30 à 8:30</v>
      </c>
      <c r="B66" s="782"/>
      <c r="C66" s="115">
        <f>IF($AC$60=MAX($AC$60:$AC$64),C60,IF($AC$61=MAX($AC$60:$AC$64),C61,IF($AC$62=MAX($AC$60:$AC$64),C62,IF($AC$63=MAX($AC$60:$AC$64),(C63),C64))))</f>
        <v>0</v>
      </c>
      <c r="D66" s="116">
        <f t="shared" ref="D66:Z66" si="21">IF($AC$60=MAX($AC$60:$AC$64),D60,IF($AC$61=MAX($AC$60:$AC$64),D61,IF($AC$62=MAX($AC$60:$AC$64),D62,IF($AC$63=MAX($AC$60:$AC$64),(D63),D64))))</f>
        <v>0</v>
      </c>
      <c r="E66" s="117">
        <f t="shared" si="21"/>
        <v>0</v>
      </c>
      <c r="F66" s="118">
        <f t="shared" si="21"/>
        <v>0</v>
      </c>
      <c r="G66" s="115">
        <f t="shared" si="21"/>
        <v>0</v>
      </c>
      <c r="H66" s="116">
        <f t="shared" si="21"/>
        <v>0</v>
      </c>
      <c r="I66" s="117">
        <f t="shared" si="21"/>
        <v>0</v>
      </c>
      <c r="J66" s="118">
        <f t="shared" si="21"/>
        <v>0</v>
      </c>
      <c r="K66" s="115">
        <f t="shared" si="21"/>
        <v>0</v>
      </c>
      <c r="L66" s="116">
        <f t="shared" si="21"/>
        <v>0</v>
      </c>
      <c r="M66" s="117">
        <f t="shared" si="21"/>
        <v>0</v>
      </c>
      <c r="N66" s="118">
        <f t="shared" si="21"/>
        <v>0</v>
      </c>
      <c r="O66" s="115">
        <f t="shared" si="21"/>
        <v>0</v>
      </c>
      <c r="P66" s="116">
        <f t="shared" si="21"/>
        <v>1</v>
      </c>
      <c r="Q66" s="117">
        <f t="shared" si="21"/>
        <v>0</v>
      </c>
      <c r="R66" s="118">
        <f t="shared" si="21"/>
        <v>0</v>
      </c>
      <c r="S66" s="115">
        <f t="shared" si="21"/>
        <v>0</v>
      </c>
      <c r="T66" s="116">
        <f t="shared" si="21"/>
        <v>1</v>
      </c>
      <c r="U66" s="117">
        <f t="shared" si="21"/>
        <v>0</v>
      </c>
      <c r="V66" s="118">
        <f t="shared" si="21"/>
        <v>1</v>
      </c>
      <c r="W66" s="115">
        <f t="shared" si="21"/>
        <v>0</v>
      </c>
      <c r="X66" s="116">
        <f t="shared" si="21"/>
        <v>1</v>
      </c>
      <c r="Y66" s="117">
        <f t="shared" si="21"/>
        <v>0</v>
      </c>
      <c r="Z66" s="118">
        <f t="shared" si="21"/>
        <v>0</v>
      </c>
      <c r="AA66" s="796" t="str">
        <f>IF($AC$60=MAX($AC$60:$AC$64),A60,IF($AC$61=MAX($AC$60:$AC$64),A61,IF($AC$62=MAX($AC$60:$AC$64),A62,IF($AC$63=MAX($AC$60:$AC$64),A63,A64))))</f>
        <v>de 7:30 à 8:30</v>
      </c>
      <c r="AB66" s="797"/>
      <c r="AC66" s="156">
        <f>IF($AC$60=MAX($AC$60:$AC$64),AC60,IF($AC$61=MAX($AC$60:$AC$64),AC61,IF($AC$62=MAX($AC$60:$AC$64),AC62,IF($AC$63=MAX($AC$60:$AC$64),(AC63),AC64))))</f>
        <v>16</v>
      </c>
      <c r="AD66" s="268">
        <f t="shared" si="11"/>
        <v>0.3125</v>
      </c>
      <c r="AE66" s="268">
        <f t="shared" si="12"/>
        <v>0.25</v>
      </c>
      <c r="AF66" s="268">
        <f t="shared" si="13"/>
        <v>0.75</v>
      </c>
      <c r="AG66" s="268">
        <f t="shared" si="8"/>
        <v>0.25</v>
      </c>
      <c r="AH66" s="157"/>
      <c r="AI66" s="261"/>
      <c r="AJ66" s="158"/>
      <c r="AK66" s="26"/>
      <c r="AL66" s="26"/>
      <c r="AM66" s="26"/>
      <c r="AN66" s="26"/>
    </row>
    <row r="67" spans="1:43" ht="12.75" customHeight="1" thickTop="1" thickBot="1">
      <c r="A67" s="31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113"/>
      <c r="AA67" s="776"/>
      <c r="AB67" s="776"/>
      <c r="AC67" s="127"/>
      <c r="AD67" s="128"/>
      <c r="AE67" s="128"/>
      <c r="AF67" s="128"/>
      <c r="AG67" s="128"/>
      <c r="AH67" s="129"/>
      <c r="AI67" s="129"/>
      <c r="AJ67" s="129"/>
    </row>
    <row r="68" spans="1:43" ht="32.25" customHeight="1" thickTop="1">
      <c r="A68" s="29"/>
      <c r="B68" s="30"/>
      <c r="C68" s="798" t="str">
        <f>C32</f>
        <v>Depuis 'Reignier-centre'</v>
      </c>
      <c r="D68" s="799"/>
      <c r="E68" s="799"/>
      <c r="F68" s="799"/>
      <c r="G68" s="799"/>
      <c r="H68" s="799"/>
      <c r="I68" s="799"/>
      <c r="J68" s="799"/>
      <c r="K68" s="799"/>
      <c r="L68" s="799"/>
      <c r="M68" s="799"/>
      <c r="N68" s="799"/>
      <c r="O68" s="798" t="str">
        <f>O32</f>
        <v>Depuis 'Reignier - Rue des Ecoles'</v>
      </c>
      <c r="P68" s="799"/>
      <c r="Q68" s="799"/>
      <c r="R68" s="799"/>
      <c r="S68" s="799"/>
      <c r="T68" s="799"/>
      <c r="U68" s="799"/>
      <c r="V68" s="799"/>
      <c r="W68" s="799"/>
      <c r="X68" s="799"/>
      <c r="Y68" s="799"/>
      <c r="Z68" s="800"/>
      <c r="AA68" s="776"/>
      <c r="AB68" s="776"/>
      <c r="AC68" s="127"/>
      <c r="AD68" s="811" t="s">
        <v>115</v>
      </c>
      <c r="AE68" s="811" t="s">
        <v>116</v>
      </c>
      <c r="AF68" s="811" t="s">
        <v>117</v>
      </c>
      <c r="AG68" s="829" t="s">
        <v>19</v>
      </c>
      <c r="AH68" s="129"/>
      <c r="AI68" s="129"/>
      <c r="AJ68" s="129"/>
      <c r="AK68" s="26"/>
      <c r="AL68" s="26"/>
      <c r="AM68" s="26"/>
      <c r="AN68" s="26"/>
    </row>
    <row r="69" spans="1:43" ht="22.7" customHeight="1">
      <c r="A69" s="29"/>
      <c r="B69" s="30"/>
      <c r="C69" s="791" t="str">
        <f>C33</f>
        <v>vers 'Annemasse - Genève'</v>
      </c>
      <c r="D69" s="792"/>
      <c r="E69" s="792"/>
      <c r="F69" s="792"/>
      <c r="G69" s="791" t="str">
        <f t="shared" ref="G69" si="22">G33</f>
        <v>vers 'Rue des Ecoles'</v>
      </c>
      <c r="H69" s="792"/>
      <c r="I69" s="792"/>
      <c r="J69" s="792"/>
      <c r="K69" s="791" t="str">
        <f t="shared" ref="K69" si="23">K33</f>
        <v>vers 'L'Eculaz'</v>
      </c>
      <c r="L69" s="792"/>
      <c r="M69" s="792"/>
      <c r="N69" s="792"/>
      <c r="O69" s="791" t="str">
        <f t="shared" ref="O69" si="24">O33</f>
        <v>vers 'Reignier-centre'</v>
      </c>
      <c r="P69" s="792"/>
      <c r="Q69" s="792"/>
      <c r="R69" s="792"/>
      <c r="S69" s="791" t="str">
        <f t="shared" ref="S69" si="25">S33</f>
        <v>vers 'L'Eculaz'</v>
      </c>
      <c r="T69" s="792"/>
      <c r="U69" s="792"/>
      <c r="V69" s="792"/>
      <c r="W69" s="791" t="str">
        <f t="shared" ref="W69" si="26">W33</f>
        <v>vers 'Annemasse - Genève'</v>
      </c>
      <c r="X69" s="792"/>
      <c r="Y69" s="792"/>
      <c r="Z69" s="793"/>
      <c r="AA69" s="776"/>
      <c r="AB69" s="776"/>
      <c r="AC69" s="127"/>
      <c r="AD69" s="812"/>
      <c r="AE69" s="812"/>
      <c r="AF69" s="812"/>
      <c r="AG69" s="830"/>
      <c r="AH69" s="129"/>
      <c r="AI69" s="129"/>
      <c r="AJ69" s="129"/>
      <c r="AK69" s="26"/>
      <c r="AL69" s="26"/>
      <c r="AM69" s="26"/>
      <c r="AN69" s="26"/>
    </row>
    <row r="70" spans="1:43" ht="18.600000000000001" customHeight="1" thickBot="1">
      <c r="A70" s="29"/>
      <c r="B70" s="30"/>
      <c r="C70" s="787" t="s">
        <v>4</v>
      </c>
      <c r="D70" s="788"/>
      <c r="E70" s="785" t="s">
        <v>5</v>
      </c>
      <c r="F70" s="786"/>
      <c r="G70" s="786" t="s">
        <v>4</v>
      </c>
      <c r="H70" s="787"/>
      <c r="I70" s="785" t="s">
        <v>5</v>
      </c>
      <c r="J70" s="786"/>
      <c r="K70" s="786" t="s">
        <v>4</v>
      </c>
      <c r="L70" s="787"/>
      <c r="M70" s="785" t="s">
        <v>5</v>
      </c>
      <c r="N70" s="786"/>
      <c r="O70" s="786" t="s">
        <v>4</v>
      </c>
      <c r="P70" s="787"/>
      <c r="Q70" s="785" t="s">
        <v>5</v>
      </c>
      <c r="R70" s="786"/>
      <c r="S70" s="786" t="s">
        <v>4</v>
      </c>
      <c r="T70" s="787"/>
      <c r="U70" s="785" t="s">
        <v>5</v>
      </c>
      <c r="V70" s="786"/>
      <c r="W70" s="786" t="s">
        <v>4</v>
      </c>
      <c r="X70" s="787"/>
      <c r="Y70" s="788" t="s">
        <v>5</v>
      </c>
      <c r="Z70" s="785"/>
      <c r="AA70" s="776"/>
      <c r="AB70" s="776"/>
      <c r="AC70" s="127"/>
      <c r="AD70" s="812"/>
      <c r="AE70" s="812"/>
      <c r="AF70" s="812"/>
      <c r="AG70" s="830"/>
      <c r="AH70" s="129"/>
      <c r="AI70" s="129"/>
      <c r="AJ70" s="129"/>
      <c r="AK70" s="26"/>
      <c r="AL70" s="26"/>
      <c r="AM70" s="26"/>
      <c r="AN70" s="26"/>
    </row>
    <row r="71" spans="1:43" ht="21.75" customHeight="1" thickTop="1">
      <c r="A71" s="789" t="s">
        <v>13</v>
      </c>
      <c r="B71" s="790"/>
      <c r="C71" s="140" t="s">
        <v>8</v>
      </c>
      <c r="D71" s="141" t="s">
        <v>9</v>
      </c>
      <c r="E71" s="142" t="s">
        <v>8</v>
      </c>
      <c r="F71" s="143" t="s">
        <v>9</v>
      </c>
      <c r="G71" s="140" t="s">
        <v>8</v>
      </c>
      <c r="H71" s="141" t="s">
        <v>9</v>
      </c>
      <c r="I71" s="142" t="s">
        <v>8</v>
      </c>
      <c r="J71" s="143" t="s">
        <v>9</v>
      </c>
      <c r="K71" s="140" t="s">
        <v>8</v>
      </c>
      <c r="L71" s="141" t="s">
        <v>9</v>
      </c>
      <c r="M71" s="142" t="s">
        <v>8</v>
      </c>
      <c r="N71" s="143" t="s">
        <v>9</v>
      </c>
      <c r="O71" s="140" t="s">
        <v>8</v>
      </c>
      <c r="P71" s="141" t="s">
        <v>9</v>
      </c>
      <c r="Q71" s="142" t="s">
        <v>8</v>
      </c>
      <c r="R71" s="143" t="s">
        <v>9</v>
      </c>
      <c r="S71" s="140" t="s">
        <v>8</v>
      </c>
      <c r="T71" s="141" t="s">
        <v>9</v>
      </c>
      <c r="U71" s="142" t="s">
        <v>8</v>
      </c>
      <c r="V71" s="143" t="s">
        <v>9</v>
      </c>
      <c r="W71" s="140" t="s">
        <v>8</v>
      </c>
      <c r="X71" s="141" t="s">
        <v>9</v>
      </c>
      <c r="Y71" s="142" t="s">
        <v>8</v>
      </c>
      <c r="Z71" s="143" t="s">
        <v>9</v>
      </c>
      <c r="AA71" s="776"/>
      <c r="AB71" s="776"/>
      <c r="AC71" s="127"/>
      <c r="AD71" s="813"/>
      <c r="AE71" s="813"/>
      <c r="AF71" s="813"/>
      <c r="AG71" s="831"/>
      <c r="AH71" s="129"/>
      <c r="AI71" s="129"/>
      <c r="AJ71" s="129"/>
      <c r="AK71" s="26"/>
      <c r="AL71" s="26"/>
      <c r="AM71" s="26"/>
      <c r="AN71" s="26"/>
    </row>
    <row r="72" spans="1:43" ht="54.95" customHeight="1">
      <c r="A72" s="783" t="s">
        <v>28</v>
      </c>
      <c r="B72" s="784"/>
      <c r="C72" s="92">
        <f>SUM(C36:C39)</f>
        <v>2</v>
      </c>
      <c r="D72" s="93">
        <f t="shared" ref="D72:Z72" si="27">SUM(D36:D39)</f>
        <v>2</v>
      </c>
      <c r="E72" s="94">
        <f t="shared" si="27"/>
        <v>0</v>
      </c>
      <c r="F72" s="95">
        <f t="shared" si="27"/>
        <v>0</v>
      </c>
      <c r="G72" s="92">
        <f t="shared" si="27"/>
        <v>0</v>
      </c>
      <c r="H72" s="93">
        <f t="shared" si="27"/>
        <v>1</v>
      </c>
      <c r="I72" s="94">
        <f t="shared" si="27"/>
        <v>0</v>
      </c>
      <c r="J72" s="95">
        <f t="shared" si="27"/>
        <v>1</v>
      </c>
      <c r="K72" s="92">
        <f t="shared" si="27"/>
        <v>0</v>
      </c>
      <c r="L72" s="93">
        <f t="shared" si="27"/>
        <v>0</v>
      </c>
      <c r="M72" s="94">
        <f t="shared" si="27"/>
        <v>0</v>
      </c>
      <c r="N72" s="95">
        <f t="shared" si="27"/>
        <v>0</v>
      </c>
      <c r="O72" s="92">
        <f t="shared" si="27"/>
        <v>0</v>
      </c>
      <c r="P72" s="93">
        <f t="shared" si="27"/>
        <v>0</v>
      </c>
      <c r="Q72" s="94">
        <f t="shared" si="27"/>
        <v>0</v>
      </c>
      <c r="R72" s="95">
        <f t="shared" si="27"/>
        <v>0</v>
      </c>
      <c r="S72" s="92">
        <f t="shared" si="27"/>
        <v>0</v>
      </c>
      <c r="T72" s="93">
        <f t="shared" si="27"/>
        <v>0</v>
      </c>
      <c r="U72" s="94">
        <f t="shared" si="27"/>
        <v>0</v>
      </c>
      <c r="V72" s="95">
        <f t="shared" si="27"/>
        <v>0</v>
      </c>
      <c r="W72" s="92">
        <f t="shared" si="27"/>
        <v>0</v>
      </c>
      <c r="X72" s="93">
        <f t="shared" si="27"/>
        <v>0</v>
      </c>
      <c r="Y72" s="94">
        <f t="shared" si="27"/>
        <v>0</v>
      </c>
      <c r="Z72" s="95">
        <f t="shared" si="27"/>
        <v>0</v>
      </c>
      <c r="AA72" s="776"/>
      <c r="AB72" s="776"/>
      <c r="AC72" s="127"/>
      <c r="AD72" s="145">
        <f>(C60+E60+G60+I60+K60+M60+O60+Q60+S60+U60+W60+Y60+C72+E72+G72+I72+K72+M72+O72+Q72+S72+U72+W72+Y72)</f>
        <v>3</v>
      </c>
      <c r="AE72" s="145">
        <f>(E60+F60+I60+J60+M60+N60+Q60+R60+U60+V60+Y60+Z60+E72+F72+I72+J72+M72+N72+Q72+R72+U72+V72+Y72+Z72)</f>
        <v>2</v>
      </c>
      <c r="AF72" s="145">
        <f>(E60+I60+M60+Q60+U60+Y60+E72+I72+M72+Q72+U72+Y72)</f>
        <v>0</v>
      </c>
      <c r="AG72" s="145">
        <f t="shared" ref="AG72:AG78" si="28">SUM(W60:Z60,C72:F72,W72:Z72)</f>
        <v>5</v>
      </c>
      <c r="AH72" s="129"/>
      <c r="AI72" s="129"/>
      <c r="AJ72" s="129"/>
      <c r="AK72" s="26"/>
      <c r="AL72" s="26"/>
      <c r="AM72" s="26"/>
      <c r="AN72" s="26"/>
    </row>
    <row r="73" spans="1:43" ht="54.95" customHeight="1">
      <c r="A73" s="774" t="s">
        <v>11</v>
      </c>
      <c r="B73" s="775"/>
      <c r="C73" s="96">
        <f>SUM(C38:C41)</f>
        <v>2</v>
      </c>
      <c r="D73" s="97">
        <f t="shared" ref="D73:Z73" si="29">SUM(D38:D41)</f>
        <v>3</v>
      </c>
      <c r="E73" s="98">
        <f t="shared" si="29"/>
        <v>0</v>
      </c>
      <c r="F73" s="99">
        <f t="shared" si="29"/>
        <v>0</v>
      </c>
      <c r="G73" s="96">
        <f t="shared" si="29"/>
        <v>0</v>
      </c>
      <c r="H73" s="97">
        <f t="shared" si="29"/>
        <v>3</v>
      </c>
      <c r="I73" s="98">
        <f t="shared" si="29"/>
        <v>0</v>
      </c>
      <c r="J73" s="99">
        <f t="shared" si="29"/>
        <v>0</v>
      </c>
      <c r="K73" s="96">
        <f t="shared" si="29"/>
        <v>0</v>
      </c>
      <c r="L73" s="97">
        <f t="shared" si="29"/>
        <v>0</v>
      </c>
      <c r="M73" s="98">
        <f t="shared" si="29"/>
        <v>0</v>
      </c>
      <c r="N73" s="99">
        <f t="shared" si="29"/>
        <v>0</v>
      </c>
      <c r="O73" s="96">
        <f t="shared" si="29"/>
        <v>0</v>
      </c>
      <c r="P73" s="97">
        <f t="shared" si="29"/>
        <v>0</v>
      </c>
      <c r="Q73" s="98">
        <f t="shared" si="29"/>
        <v>0</v>
      </c>
      <c r="R73" s="99">
        <f t="shared" si="29"/>
        <v>0</v>
      </c>
      <c r="S73" s="96">
        <f t="shared" si="29"/>
        <v>0</v>
      </c>
      <c r="T73" s="97">
        <f t="shared" si="29"/>
        <v>0</v>
      </c>
      <c r="U73" s="98">
        <f t="shared" si="29"/>
        <v>0</v>
      </c>
      <c r="V73" s="99">
        <f t="shared" si="29"/>
        <v>0</v>
      </c>
      <c r="W73" s="96">
        <f t="shared" si="29"/>
        <v>0</v>
      </c>
      <c r="X73" s="97">
        <f t="shared" si="29"/>
        <v>1</v>
      </c>
      <c r="Y73" s="98">
        <f t="shared" si="29"/>
        <v>0</v>
      </c>
      <c r="Z73" s="99">
        <f t="shared" si="29"/>
        <v>0</v>
      </c>
      <c r="AA73" s="776"/>
      <c r="AB73" s="776"/>
      <c r="AC73" s="127"/>
      <c r="AD73" s="147">
        <f t="shared" ref="AD73:AD78" si="30">(C61+E61+G61+I61+K61+M61+O61+Q61+S61+U61+W61+Y61+C73+E73+G73+I73+K73+M73+O73+Q73+S73+U73+W73+Y73)</f>
        <v>3</v>
      </c>
      <c r="AE73" s="147">
        <f t="shared" ref="AE73:AE78" si="31">(E61+F61+I61+J61+M61+N61+Q61+R61+U61+V61+Y61+Z61+E73+F73+I73+J73+M73+N73+Q73+R73+U73+V73+Y73+Z73)</f>
        <v>1</v>
      </c>
      <c r="AF73" s="147">
        <f t="shared" ref="AF73:AF78" si="32">(E61+I61+M61+Q61+U61+Y61+E73+I73+M73+Q73+U73+Y73)</f>
        <v>0</v>
      </c>
      <c r="AG73" s="147">
        <f t="shared" si="28"/>
        <v>8</v>
      </c>
      <c r="AH73" s="129"/>
      <c r="AI73" s="129"/>
      <c r="AJ73" s="129"/>
      <c r="AK73" s="26"/>
      <c r="AL73" s="26"/>
      <c r="AM73" s="26"/>
      <c r="AN73" s="26"/>
    </row>
    <row r="74" spans="1:43" ht="54.95" customHeight="1">
      <c r="A74" s="774" t="s">
        <v>17</v>
      </c>
      <c r="B74" s="775"/>
      <c r="C74" s="96">
        <f>SUM(C40:C43)</f>
        <v>0</v>
      </c>
      <c r="D74" s="97">
        <f t="shared" ref="D74:Z74" si="33">SUM(D40:D43)</f>
        <v>1</v>
      </c>
      <c r="E74" s="98">
        <f t="shared" si="33"/>
        <v>1</v>
      </c>
      <c r="F74" s="99">
        <f t="shared" si="33"/>
        <v>0</v>
      </c>
      <c r="G74" s="96">
        <f t="shared" si="33"/>
        <v>0</v>
      </c>
      <c r="H74" s="97">
        <f t="shared" si="33"/>
        <v>3</v>
      </c>
      <c r="I74" s="98">
        <f t="shared" si="33"/>
        <v>0</v>
      </c>
      <c r="J74" s="99">
        <f t="shared" si="33"/>
        <v>0</v>
      </c>
      <c r="K74" s="96">
        <f t="shared" si="33"/>
        <v>1</v>
      </c>
      <c r="L74" s="97">
        <f t="shared" si="33"/>
        <v>1</v>
      </c>
      <c r="M74" s="98">
        <f t="shared" si="33"/>
        <v>1</v>
      </c>
      <c r="N74" s="99">
        <f t="shared" si="33"/>
        <v>0</v>
      </c>
      <c r="O74" s="96">
        <f t="shared" si="33"/>
        <v>0</v>
      </c>
      <c r="P74" s="97">
        <f t="shared" si="33"/>
        <v>0</v>
      </c>
      <c r="Q74" s="98">
        <f t="shared" si="33"/>
        <v>0</v>
      </c>
      <c r="R74" s="99">
        <f t="shared" si="33"/>
        <v>0</v>
      </c>
      <c r="S74" s="96">
        <f t="shared" si="33"/>
        <v>1</v>
      </c>
      <c r="T74" s="97">
        <f t="shared" si="33"/>
        <v>1</v>
      </c>
      <c r="U74" s="98">
        <f t="shared" si="33"/>
        <v>1</v>
      </c>
      <c r="V74" s="99">
        <f t="shared" si="33"/>
        <v>0</v>
      </c>
      <c r="W74" s="96">
        <f t="shared" si="33"/>
        <v>0</v>
      </c>
      <c r="X74" s="97">
        <f t="shared" si="33"/>
        <v>1</v>
      </c>
      <c r="Y74" s="98">
        <f t="shared" si="33"/>
        <v>0</v>
      </c>
      <c r="Z74" s="99">
        <f t="shared" si="33"/>
        <v>0</v>
      </c>
      <c r="AA74" s="776"/>
      <c r="AB74" s="776"/>
      <c r="AC74" s="127"/>
      <c r="AD74" s="147">
        <f t="shared" si="30"/>
        <v>5</v>
      </c>
      <c r="AE74" s="147">
        <f t="shared" si="31"/>
        <v>4</v>
      </c>
      <c r="AF74" s="147">
        <f t="shared" si="32"/>
        <v>3</v>
      </c>
      <c r="AG74" s="147">
        <f t="shared" si="28"/>
        <v>4</v>
      </c>
      <c r="AH74" s="129"/>
      <c r="AI74" s="129"/>
      <c r="AJ74" s="129"/>
      <c r="AK74" s="26"/>
      <c r="AL74" s="26"/>
      <c r="AM74" s="26"/>
      <c r="AN74" s="26"/>
    </row>
    <row r="75" spans="1:43" ht="54.95" customHeight="1">
      <c r="A75" s="774" t="s">
        <v>10</v>
      </c>
      <c r="B75" s="775"/>
      <c r="C75" s="96">
        <f>SUM(C42:C45)</f>
        <v>1</v>
      </c>
      <c r="D75" s="97">
        <f t="shared" ref="D75:Z75" si="34">SUM(D42:D45)</f>
        <v>0</v>
      </c>
      <c r="E75" s="98">
        <f t="shared" si="34"/>
        <v>2</v>
      </c>
      <c r="F75" s="99">
        <f t="shared" si="34"/>
        <v>0</v>
      </c>
      <c r="G75" s="96">
        <f t="shared" si="34"/>
        <v>0</v>
      </c>
      <c r="H75" s="97">
        <f t="shared" si="34"/>
        <v>1</v>
      </c>
      <c r="I75" s="98">
        <f t="shared" si="34"/>
        <v>0</v>
      </c>
      <c r="J75" s="99">
        <f t="shared" si="34"/>
        <v>0</v>
      </c>
      <c r="K75" s="96">
        <f t="shared" si="34"/>
        <v>1</v>
      </c>
      <c r="L75" s="97">
        <f t="shared" si="34"/>
        <v>1</v>
      </c>
      <c r="M75" s="98">
        <f t="shared" si="34"/>
        <v>1</v>
      </c>
      <c r="N75" s="99">
        <f t="shared" si="34"/>
        <v>0</v>
      </c>
      <c r="O75" s="96">
        <f t="shared" si="34"/>
        <v>0</v>
      </c>
      <c r="P75" s="97">
        <f t="shared" si="34"/>
        <v>0</v>
      </c>
      <c r="Q75" s="98">
        <f t="shared" si="34"/>
        <v>0</v>
      </c>
      <c r="R75" s="99">
        <f t="shared" si="34"/>
        <v>0</v>
      </c>
      <c r="S75" s="96">
        <f t="shared" si="34"/>
        <v>1</v>
      </c>
      <c r="T75" s="97">
        <f t="shared" si="34"/>
        <v>2</v>
      </c>
      <c r="U75" s="98">
        <f t="shared" si="34"/>
        <v>1</v>
      </c>
      <c r="V75" s="99">
        <f t="shared" si="34"/>
        <v>0</v>
      </c>
      <c r="W75" s="96">
        <f t="shared" si="34"/>
        <v>0</v>
      </c>
      <c r="X75" s="97">
        <f t="shared" si="34"/>
        <v>0</v>
      </c>
      <c r="Y75" s="98">
        <f t="shared" si="34"/>
        <v>0</v>
      </c>
      <c r="Z75" s="99">
        <f t="shared" si="34"/>
        <v>0</v>
      </c>
      <c r="AA75" s="776"/>
      <c r="AB75" s="776"/>
      <c r="AC75" s="127"/>
      <c r="AD75" s="147">
        <f t="shared" si="30"/>
        <v>8</v>
      </c>
      <c r="AE75" s="147">
        <f t="shared" si="31"/>
        <v>6</v>
      </c>
      <c r="AF75" s="147">
        <f t="shared" si="32"/>
        <v>5</v>
      </c>
      <c r="AG75" s="147">
        <f t="shared" si="28"/>
        <v>3</v>
      </c>
      <c r="AH75" s="129"/>
      <c r="AI75" s="129"/>
      <c r="AJ75" s="129"/>
      <c r="AK75" s="26"/>
      <c r="AL75" s="26"/>
      <c r="AM75" s="26"/>
      <c r="AN75" s="26"/>
    </row>
    <row r="76" spans="1:43" ht="54.95" customHeight="1">
      <c r="A76" s="777" t="s">
        <v>29</v>
      </c>
      <c r="B76" s="778"/>
      <c r="C76" s="100">
        <f>SUM(C44:C47)</f>
        <v>1</v>
      </c>
      <c r="D76" s="101">
        <f t="shared" ref="D76:Z76" si="35">SUM(D44:D47)</f>
        <v>0</v>
      </c>
      <c r="E76" s="102">
        <f t="shared" si="35"/>
        <v>1</v>
      </c>
      <c r="F76" s="103">
        <f t="shared" si="35"/>
        <v>0</v>
      </c>
      <c r="G76" s="100">
        <f t="shared" si="35"/>
        <v>0</v>
      </c>
      <c r="H76" s="101">
        <f t="shared" si="35"/>
        <v>0</v>
      </c>
      <c r="I76" s="102">
        <f t="shared" si="35"/>
        <v>0</v>
      </c>
      <c r="J76" s="103">
        <f t="shared" si="35"/>
        <v>0</v>
      </c>
      <c r="K76" s="100">
        <f t="shared" si="35"/>
        <v>0</v>
      </c>
      <c r="L76" s="101">
        <f t="shared" si="35"/>
        <v>0</v>
      </c>
      <c r="M76" s="102">
        <f t="shared" si="35"/>
        <v>0</v>
      </c>
      <c r="N76" s="103">
        <f t="shared" si="35"/>
        <v>0</v>
      </c>
      <c r="O76" s="100">
        <f t="shared" si="35"/>
        <v>0</v>
      </c>
      <c r="P76" s="101">
        <f t="shared" si="35"/>
        <v>0</v>
      </c>
      <c r="Q76" s="102">
        <f t="shared" si="35"/>
        <v>0</v>
      </c>
      <c r="R76" s="103">
        <f t="shared" si="35"/>
        <v>0</v>
      </c>
      <c r="S76" s="100">
        <f t="shared" si="35"/>
        <v>0</v>
      </c>
      <c r="T76" s="101">
        <f t="shared" si="35"/>
        <v>1</v>
      </c>
      <c r="U76" s="102">
        <f t="shared" si="35"/>
        <v>0</v>
      </c>
      <c r="V76" s="103">
        <f t="shared" si="35"/>
        <v>0</v>
      </c>
      <c r="W76" s="100">
        <f t="shared" si="35"/>
        <v>0</v>
      </c>
      <c r="X76" s="101">
        <f t="shared" si="35"/>
        <v>0</v>
      </c>
      <c r="Y76" s="102">
        <f t="shared" si="35"/>
        <v>0</v>
      </c>
      <c r="Z76" s="103">
        <f t="shared" si="35"/>
        <v>0</v>
      </c>
      <c r="AA76" s="776"/>
      <c r="AB76" s="776"/>
      <c r="AC76" s="127"/>
      <c r="AD76" s="149">
        <f t="shared" si="30"/>
        <v>3</v>
      </c>
      <c r="AE76" s="149">
        <f t="shared" si="31"/>
        <v>3</v>
      </c>
      <c r="AF76" s="149">
        <f t="shared" si="32"/>
        <v>2</v>
      </c>
      <c r="AG76" s="149">
        <f t="shared" si="28"/>
        <v>2</v>
      </c>
      <c r="AH76" s="129"/>
      <c r="AI76" s="129"/>
      <c r="AJ76" s="129"/>
      <c r="AK76" s="26"/>
      <c r="AL76" s="26"/>
      <c r="AM76" s="26"/>
      <c r="AN76" s="26"/>
    </row>
    <row r="77" spans="1:43" ht="54.95" customHeight="1">
      <c r="A77" s="779" t="s">
        <v>12</v>
      </c>
      <c r="B77" s="780"/>
      <c r="C77" s="104">
        <f>SUM(C36:C47)</f>
        <v>3</v>
      </c>
      <c r="D77" s="105">
        <f t="shared" ref="D77:Z77" si="36">SUM(D36:D47)</f>
        <v>3</v>
      </c>
      <c r="E77" s="106">
        <f t="shared" si="36"/>
        <v>2</v>
      </c>
      <c r="F77" s="107">
        <f t="shared" si="36"/>
        <v>0</v>
      </c>
      <c r="G77" s="104">
        <f t="shared" si="36"/>
        <v>0</v>
      </c>
      <c r="H77" s="105">
        <f t="shared" si="36"/>
        <v>4</v>
      </c>
      <c r="I77" s="106">
        <f t="shared" si="36"/>
        <v>0</v>
      </c>
      <c r="J77" s="107">
        <f t="shared" si="36"/>
        <v>1</v>
      </c>
      <c r="K77" s="104">
        <f t="shared" si="36"/>
        <v>1</v>
      </c>
      <c r="L77" s="105">
        <f t="shared" si="36"/>
        <v>1</v>
      </c>
      <c r="M77" s="106">
        <f t="shared" si="36"/>
        <v>1</v>
      </c>
      <c r="N77" s="107">
        <f t="shared" si="36"/>
        <v>0</v>
      </c>
      <c r="O77" s="104">
        <f t="shared" si="36"/>
        <v>0</v>
      </c>
      <c r="P77" s="105">
        <f t="shared" si="36"/>
        <v>0</v>
      </c>
      <c r="Q77" s="106">
        <f t="shared" si="36"/>
        <v>0</v>
      </c>
      <c r="R77" s="107">
        <f t="shared" si="36"/>
        <v>0</v>
      </c>
      <c r="S77" s="104">
        <f t="shared" si="36"/>
        <v>1</v>
      </c>
      <c r="T77" s="105">
        <f t="shared" si="36"/>
        <v>2</v>
      </c>
      <c r="U77" s="106">
        <f t="shared" si="36"/>
        <v>1</v>
      </c>
      <c r="V77" s="107">
        <f t="shared" si="36"/>
        <v>0</v>
      </c>
      <c r="W77" s="104">
        <f t="shared" si="36"/>
        <v>0</v>
      </c>
      <c r="X77" s="105">
        <f t="shared" si="36"/>
        <v>1</v>
      </c>
      <c r="Y77" s="106">
        <f t="shared" si="36"/>
        <v>0</v>
      </c>
      <c r="Z77" s="107">
        <f t="shared" si="36"/>
        <v>0</v>
      </c>
      <c r="AA77" s="130"/>
      <c r="AB77" s="130"/>
      <c r="AC77" s="130"/>
      <c r="AD77" s="277">
        <f t="shared" si="30"/>
        <v>11</v>
      </c>
      <c r="AE77" s="277">
        <f t="shared" si="31"/>
        <v>9</v>
      </c>
      <c r="AF77" s="277">
        <f t="shared" si="32"/>
        <v>5</v>
      </c>
      <c r="AG77" s="277">
        <f t="shared" si="28"/>
        <v>11</v>
      </c>
      <c r="AH77" s="130"/>
      <c r="AI77" s="130"/>
      <c r="AJ77" s="130"/>
      <c r="AK77" s="26"/>
      <c r="AL77" s="26"/>
      <c r="AM77" s="26"/>
      <c r="AN77" s="26"/>
    </row>
    <row r="78" spans="1:43" ht="54.95" customHeight="1" thickBot="1">
      <c r="A78" s="781" t="str">
        <f>IF($AC$60=MAX($AC$60:$AC$64),A72,IF($AC$61=MAX($AC$60:$AC$64),A73,IF($AC$62=MAX($AC$60:$AC$64),A74,IF($AC$63=MAX($AC$60:$AC$64),A75,A76))))</f>
        <v>de 7:30 à 8:30</v>
      </c>
      <c r="B78" s="782"/>
      <c r="C78" s="115">
        <f t="shared" ref="C78" si="37">IF($AC$60=MAX($AC$60:$AC$64),C72,IF($AC$61=MAX($AC$60:$AC$64),C73,IF($AC$62=MAX($AC$60:$AC$64),C74,IF($AC$63=MAX($AC$60:$AC$64),C75,C76))))</f>
        <v>0</v>
      </c>
      <c r="D78" s="116">
        <f t="shared" ref="D78:Z78" si="38">IF($AC$60=MAX($AC$60:$AC$64),D72,IF($AC$61=MAX($AC$60:$AC$64),D73,IF($AC$62=MAX($AC$60:$AC$64),D74,IF($AC$63=MAX($AC$60:$AC$64),D75,D76))))</f>
        <v>1</v>
      </c>
      <c r="E78" s="117">
        <f t="shared" si="38"/>
        <v>1</v>
      </c>
      <c r="F78" s="118">
        <f t="shared" si="38"/>
        <v>0</v>
      </c>
      <c r="G78" s="115">
        <f t="shared" si="38"/>
        <v>0</v>
      </c>
      <c r="H78" s="116">
        <f t="shared" si="38"/>
        <v>3</v>
      </c>
      <c r="I78" s="117">
        <f t="shared" si="38"/>
        <v>0</v>
      </c>
      <c r="J78" s="118">
        <f t="shared" si="38"/>
        <v>0</v>
      </c>
      <c r="K78" s="115">
        <f t="shared" si="38"/>
        <v>1</v>
      </c>
      <c r="L78" s="116">
        <f t="shared" si="38"/>
        <v>1</v>
      </c>
      <c r="M78" s="117">
        <f t="shared" si="38"/>
        <v>1</v>
      </c>
      <c r="N78" s="118">
        <f t="shared" si="38"/>
        <v>0</v>
      </c>
      <c r="O78" s="115">
        <f t="shared" si="38"/>
        <v>0</v>
      </c>
      <c r="P78" s="116">
        <f t="shared" si="38"/>
        <v>0</v>
      </c>
      <c r="Q78" s="117">
        <f t="shared" si="38"/>
        <v>0</v>
      </c>
      <c r="R78" s="118">
        <f t="shared" si="38"/>
        <v>0</v>
      </c>
      <c r="S78" s="115">
        <f t="shared" si="38"/>
        <v>1</v>
      </c>
      <c r="T78" s="116">
        <f t="shared" si="38"/>
        <v>1</v>
      </c>
      <c r="U78" s="117">
        <f t="shared" si="38"/>
        <v>1</v>
      </c>
      <c r="V78" s="118">
        <f t="shared" si="38"/>
        <v>0</v>
      </c>
      <c r="W78" s="115">
        <f t="shared" si="38"/>
        <v>0</v>
      </c>
      <c r="X78" s="116">
        <f t="shared" si="38"/>
        <v>1</v>
      </c>
      <c r="Y78" s="117">
        <f t="shared" si="38"/>
        <v>0</v>
      </c>
      <c r="Z78" s="118">
        <f t="shared" si="38"/>
        <v>0</v>
      </c>
      <c r="AA78" s="130"/>
      <c r="AB78" s="130"/>
      <c r="AC78" s="130"/>
      <c r="AD78" s="278">
        <f t="shared" si="30"/>
        <v>5</v>
      </c>
      <c r="AE78" s="278">
        <f t="shared" si="31"/>
        <v>4</v>
      </c>
      <c r="AF78" s="278">
        <f t="shared" si="32"/>
        <v>3</v>
      </c>
      <c r="AG78" s="278">
        <f t="shared" si="28"/>
        <v>4</v>
      </c>
      <c r="AH78" s="130"/>
      <c r="AI78" s="130"/>
      <c r="AJ78" s="130"/>
      <c r="AK78" s="26"/>
      <c r="AL78" s="26"/>
      <c r="AM78" s="26"/>
      <c r="AN78" s="26"/>
    </row>
    <row r="79" spans="1:43" ht="9" customHeight="1" thickTop="1">
      <c r="A79" s="13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131"/>
      <c r="AB79" s="71"/>
      <c r="AC79" s="71"/>
      <c r="AD79" s="71"/>
      <c r="AE79" s="71"/>
      <c r="AF79" s="71"/>
      <c r="AG79" s="71"/>
      <c r="AH79" s="71"/>
      <c r="AI79" s="71"/>
      <c r="AJ79" s="71"/>
      <c r="AK79" s="7"/>
      <c r="AL79" s="1"/>
      <c r="AM79" s="7"/>
      <c r="AN79" s="7"/>
      <c r="AO79" s="7"/>
      <c r="AP79" s="7"/>
      <c r="AQ79" s="7"/>
    </row>
  </sheetData>
  <mergeCells count="124">
    <mergeCell ref="AD68:AD71"/>
    <mergeCell ref="AE68:AE71"/>
    <mergeCell ref="AF68:AF71"/>
    <mergeCell ref="AG68:AG71"/>
    <mergeCell ref="AH56:AJ59"/>
    <mergeCell ref="C8:N8"/>
    <mergeCell ref="O8:Z8"/>
    <mergeCell ref="K9:N9"/>
    <mergeCell ref="W9:Z9"/>
    <mergeCell ref="C9:F9"/>
    <mergeCell ref="G9:J9"/>
    <mergeCell ref="O9:R9"/>
    <mergeCell ref="S9:V9"/>
    <mergeCell ref="W10:X10"/>
    <mergeCell ref="Y10:Z10"/>
    <mergeCell ref="C32:N32"/>
    <mergeCell ref="O32:Z32"/>
    <mergeCell ref="K33:N33"/>
    <mergeCell ref="W33:Z33"/>
    <mergeCell ref="G33:J33"/>
    <mergeCell ref="O33:R33"/>
    <mergeCell ref="C10:D10"/>
    <mergeCell ref="K10:L10"/>
    <mergeCell ref="M10:N10"/>
    <mergeCell ref="O10:P10"/>
    <mergeCell ref="U10:V10"/>
    <mergeCell ref="S33:V33"/>
    <mergeCell ref="AE56:AE59"/>
    <mergeCell ref="AF56:AF59"/>
    <mergeCell ref="AG56:AG59"/>
    <mergeCell ref="K57:N57"/>
    <mergeCell ref="W57:Z57"/>
    <mergeCell ref="C58:D58"/>
    <mergeCell ref="W34:X34"/>
    <mergeCell ref="Y34:Z34"/>
    <mergeCell ref="C56:N56"/>
    <mergeCell ref="O56:Z56"/>
    <mergeCell ref="AC56:AC59"/>
    <mergeCell ref="AD56:AD59"/>
    <mergeCell ref="K58:L58"/>
    <mergeCell ref="M58:N58"/>
    <mergeCell ref="O58:P58"/>
    <mergeCell ref="C34:D34"/>
    <mergeCell ref="K34:L34"/>
    <mergeCell ref="M34:N34"/>
    <mergeCell ref="O34:P34"/>
    <mergeCell ref="U34:V34"/>
    <mergeCell ref="E34:F34"/>
    <mergeCell ref="G34:H34"/>
    <mergeCell ref="A61:B61"/>
    <mergeCell ref="AA61:AB61"/>
    <mergeCell ref="A62:B62"/>
    <mergeCell ref="AA62:AB62"/>
    <mergeCell ref="A63:B63"/>
    <mergeCell ref="AA63:AB63"/>
    <mergeCell ref="U58:V58"/>
    <mergeCell ref="W58:X58"/>
    <mergeCell ref="Y58:Z58"/>
    <mergeCell ref="A59:B59"/>
    <mergeCell ref="AA59:AB59"/>
    <mergeCell ref="A60:B60"/>
    <mergeCell ref="AA60:AB60"/>
    <mergeCell ref="I34:J34"/>
    <mergeCell ref="Q34:R34"/>
    <mergeCell ref="S34:T34"/>
    <mergeCell ref="C57:F57"/>
    <mergeCell ref="G57:J57"/>
    <mergeCell ref="O57:R57"/>
    <mergeCell ref="S57:V57"/>
    <mergeCell ref="E58:F58"/>
    <mergeCell ref="G58:H58"/>
    <mergeCell ref="I58:J58"/>
    <mergeCell ref="A78:B78"/>
    <mergeCell ref="E10:F10"/>
    <mergeCell ref="G10:H10"/>
    <mergeCell ref="I10:J10"/>
    <mergeCell ref="Q10:R10"/>
    <mergeCell ref="S10:T10"/>
    <mergeCell ref="C33:F33"/>
    <mergeCell ref="A73:B73"/>
    <mergeCell ref="AA73:AB73"/>
    <mergeCell ref="A74:B74"/>
    <mergeCell ref="AA74:AB74"/>
    <mergeCell ref="A75:B75"/>
    <mergeCell ref="AA75:AB75"/>
    <mergeCell ref="W70:X70"/>
    <mergeCell ref="Y70:Z70"/>
    <mergeCell ref="AA70:AB70"/>
    <mergeCell ref="A71:B71"/>
    <mergeCell ref="AA71:AB71"/>
    <mergeCell ref="A72:B72"/>
    <mergeCell ref="AA72:AB72"/>
    <mergeCell ref="C70:D70"/>
    <mergeCell ref="K70:L70"/>
    <mergeCell ref="M70:N70"/>
    <mergeCell ref="O70:P70"/>
    <mergeCell ref="A76:B76"/>
    <mergeCell ref="AA76:AB76"/>
    <mergeCell ref="A77:B77"/>
    <mergeCell ref="U70:V70"/>
    <mergeCell ref="AA67:AB67"/>
    <mergeCell ref="C68:N68"/>
    <mergeCell ref="O68:Z68"/>
    <mergeCell ref="AA68:AB68"/>
    <mergeCell ref="K69:N69"/>
    <mergeCell ref="W69:Z69"/>
    <mergeCell ref="AA69:AB69"/>
    <mergeCell ref="C69:F69"/>
    <mergeCell ref="E70:F70"/>
    <mergeCell ref="G70:H70"/>
    <mergeCell ref="I70:J70"/>
    <mergeCell ref="Q70:R70"/>
    <mergeCell ref="S70:T70"/>
    <mergeCell ref="Q58:R58"/>
    <mergeCell ref="S58:T58"/>
    <mergeCell ref="A64:B64"/>
    <mergeCell ref="AA64:AB64"/>
    <mergeCell ref="A65:B65"/>
    <mergeCell ref="AA65:AB65"/>
    <mergeCell ref="A66:B66"/>
    <mergeCell ref="AA66:AB66"/>
    <mergeCell ref="G69:J69"/>
    <mergeCell ref="O69:R69"/>
    <mergeCell ref="S69:V69"/>
  </mergeCells>
  <pageMargins left="0.39370078740157483" right="0.39370078740157483" top="0.39370078740157483" bottom="0.39370078740157483" header="0.59055118110236227" footer="0.59055118110236227"/>
  <pageSetup paperSize="9" scale="39" fitToWidth="0" fitToHeight="0" pageOrder="overThenDown" orientation="landscape" useFirstPageNumber="1" r:id="rId1"/>
  <headerFooter alignWithMargins="0"/>
  <rowBreaks count="3" manualBreakCount="3">
    <brk id="45" max="25" man="1"/>
    <brk id="48" max="16383" man="1"/>
    <brk id="79" max="27" man="1"/>
  </rowBreaks>
  <colBreaks count="1" manualBreakCount="1">
    <brk id="26" min="48" max="78" man="1"/>
  </colBreaks>
  <ignoredErrors>
    <ignoredError sqref="C60:Z64 C72:Z7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Q64"/>
  <sheetViews>
    <sheetView view="pageBreakPreview" zoomScale="70" zoomScaleNormal="40" zoomScaleSheetLayoutView="7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A3" sqref="A3:XFD3"/>
    </sheetView>
  </sheetViews>
  <sheetFormatPr baseColWidth="10" defaultRowHeight="14.25"/>
  <cols>
    <col min="1" max="1" width="9.125" style="8" customWidth="1"/>
    <col min="2" max="2" width="13.75" style="8" customWidth="1"/>
    <col min="3" max="26" width="10.875" style="8" customWidth="1"/>
    <col min="27" max="27" width="9.125" style="8" customWidth="1"/>
    <col min="28" max="28" width="13.75" style="8" customWidth="1"/>
    <col min="29" max="36" width="21.125" style="8" customWidth="1"/>
    <col min="37" max="37" width="82.625" style="8" customWidth="1"/>
    <col min="38" max="38" width="21.125" style="8" customWidth="1"/>
    <col min="39" max="43" width="10.625" style="8" customWidth="1"/>
    <col min="44" max="16384" width="11" style="8"/>
  </cols>
  <sheetData>
    <row r="1" spans="1:36" ht="52.5" customHeight="1" thickBot="1">
      <c r="A1" s="374" t="s">
        <v>89</v>
      </c>
      <c r="B1" s="375" t="s">
        <v>60</v>
      </c>
      <c r="C1" s="376"/>
      <c r="D1" s="376"/>
      <c r="E1" s="376"/>
      <c r="F1" s="377"/>
      <c r="G1" s="377"/>
      <c r="H1" s="376"/>
      <c r="I1" s="376"/>
      <c r="J1" s="377"/>
      <c r="K1" s="377"/>
      <c r="L1" s="378"/>
      <c r="M1" s="331" t="s">
        <v>30</v>
      </c>
      <c r="N1" s="332" t="s">
        <v>141</v>
      </c>
      <c r="O1" s="376"/>
      <c r="P1" s="376"/>
      <c r="Q1" s="376"/>
      <c r="R1" s="376"/>
      <c r="S1" s="376"/>
      <c r="T1" s="376"/>
      <c r="U1" s="376"/>
      <c r="V1" s="380"/>
      <c r="W1" s="381"/>
      <c r="X1" s="381"/>
      <c r="Y1" s="381"/>
      <c r="Z1" s="382"/>
    </row>
    <row r="2" spans="1:36" ht="52.5" customHeight="1" thickBot="1">
      <c r="A2" s="318" t="s">
        <v>2</v>
      </c>
      <c r="B2" s="319"/>
      <c r="C2" s="319"/>
      <c r="D2" s="319"/>
      <c r="E2" s="319"/>
      <c r="F2" s="319"/>
      <c r="G2" s="375" t="s">
        <v>144</v>
      </c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  <c r="V2" s="380"/>
      <c r="W2" s="319"/>
      <c r="X2" s="319"/>
      <c r="Y2" s="319"/>
      <c r="Z2" s="319"/>
    </row>
    <row r="3" spans="1:36" ht="52.5" customHeight="1" thickBot="1">
      <c r="A3" s="318" t="s">
        <v>3</v>
      </c>
      <c r="B3" s="319"/>
      <c r="C3" s="375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80"/>
      <c r="W3" s="319"/>
      <c r="X3" s="319"/>
      <c r="Y3" s="319"/>
      <c r="Z3" s="336"/>
    </row>
    <row r="4" spans="1:36" ht="52.5" customHeight="1" thickBot="1">
      <c r="A4" s="318" t="s">
        <v>27</v>
      </c>
      <c r="B4" s="319"/>
      <c r="C4" s="375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U4" s="376"/>
      <c r="V4" s="380"/>
      <c r="W4" s="319"/>
      <c r="X4" s="319"/>
      <c r="Y4" s="319"/>
      <c r="Z4" s="336"/>
    </row>
    <row r="5" spans="1:36" ht="25.5" customHeight="1">
      <c r="A5" s="318" t="s">
        <v>71</v>
      </c>
      <c r="B5" s="319"/>
      <c r="C5" s="319" t="s">
        <v>72</v>
      </c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36"/>
      <c r="S5" s="319"/>
      <c r="T5" s="319"/>
      <c r="U5" s="319"/>
      <c r="V5" s="319"/>
      <c r="W5" s="319"/>
      <c r="X5" s="319"/>
      <c r="Y5" s="319"/>
      <c r="Z5" s="336"/>
    </row>
    <row r="6" spans="1:36" ht="25.5" customHeight="1">
      <c r="A6" s="337"/>
      <c r="B6" s="319"/>
      <c r="C6" s="319" t="s">
        <v>91</v>
      </c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36"/>
      <c r="S6" s="319"/>
      <c r="T6" s="319"/>
      <c r="U6" s="319"/>
      <c r="V6" s="319"/>
      <c r="W6" s="319"/>
      <c r="X6" s="319"/>
      <c r="Y6" s="319"/>
      <c r="Z6" s="336"/>
    </row>
    <row r="7" spans="1:36" ht="25.5" customHeight="1" thickBot="1">
      <c r="A7" s="337"/>
      <c r="B7" s="319"/>
      <c r="C7" s="319"/>
      <c r="D7" s="319"/>
      <c r="E7" s="319"/>
      <c r="F7" s="319"/>
      <c r="G7" s="319"/>
      <c r="H7" s="319"/>
      <c r="I7" s="319"/>
      <c r="J7" s="319"/>
      <c r="K7" s="319"/>
      <c r="L7" s="319"/>
      <c r="M7" s="319"/>
      <c r="N7" s="319"/>
      <c r="O7" s="319"/>
      <c r="P7" s="319"/>
      <c r="Q7" s="319"/>
      <c r="R7" s="336"/>
      <c r="S7" s="319"/>
      <c r="T7" s="319"/>
      <c r="U7" s="319"/>
      <c r="V7" s="319"/>
      <c r="W7" s="319"/>
      <c r="X7" s="319"/>
      <c r="Y7" s="319"/>
      <c r="Z7" s="336"/>
    </row>
    <row r="8" spans="1:36" ht="32.25" customHeight="1" thickTop="1">
      <c r="A8" s="384"/>
      <c r="B8" s="385"/>
      <c r="C8" s="826" t="s">
        <v>61</v>
      </c>
      <c r="D8" s="827"/>
      <c r="E8" s="827"/>
      <c r="F8" s="827"/>
      <c r="G8" s="827"/>
      <c r="H8" s="827"/>
      <c r="I8" s="827"/>
      <c r="J8" s="827"/>
      <c r="K8" s="827" t="s">
        <v>46</v>
      </c>
      <c r="L8" s="827"/>
      <c r="M8" s="827"/>
      <c r="N8" s="827"/>
      <c r="O8" s="827"/>
      <c r="P8" s="827"/>
      <c r="Q8" s="827"/>
      <c r="R8" s="828"/>
      <c r="S8" s="827" t="s">
        <v>39</v>
      </c>
      <c r="T8" s="827"/>
      <c r="U8" s="827"/>
      <c r="V8" s="827"/>
      <c r="W8" s="827"/>
      <c r="X8" s="827"/>
      <c r="Y8" s="827"/>
      <c r="Z8" s="828"/>
      <c r="AA8" s="19"/>
      <c r="AB8" s="19"/>
      <c r="AD8" s="9"/>
      <c r="AE8" s="9"/>
      <c r="AF8" s="9"/>
      <c r="AG8" s="9"/>
      <c r="AH8" s="9"/>
      <c r="AI8" s="9"/>
      <c r="AJ8" s="9"/>
    </row>
    <row r="9" spans="1:36" ht="22.7" customHeight="1">
      <c r="A9" s="384"/>
      <c r="B9" s="385"/>
      <c r="C9" s="823" t="s">
        <v>37</v>
      </c>
      <c r="D9" s="824"/>
      <c r="E9" s="824"/>
      <c r="F9" s="824"/>
      <c r="G9" s="1012" t="s">
        <v>45</v>
      </c>
      <c r="H9" s="1012"/>
      <c r="I9" s="1012"/>
      <c r="J9" s="1012"/>
      <c r="K9" s="824" t="s">
        <v>37</v>
      </c>
      <c r="L9" s="824"/>
      <c r="M9" s="824"/>
      <c r="N9" s="824"/>
      <c r="O9" s="1012" t="s">
        <v>62</v>
      </c>
      <c r="P9" s="1012"/>
      <c r="Q9" s="1012"/>
      <c r="R9" s="1013"/>
      <c r="S9" s="824" t="s">
        <v>62</v>
      </c>
      <c r="T9" s="824"/>
      <c r="U9" s="824"/>
      <c r="V9" s="824"/>
      <c r="W9" s="1012" t="s">
        <v>45</v>
      </c>
      <c r="X9" s="1012"/>
      <c r="Y9" s="1012"/>
      <c r="Z9" s="1013"/>
      <c r="AA9" s="19"/>
      <c r="AB9" s="19"/>
    </row>
    <row r="10" spans="1:36" ht="18.600000000000001" customHeight="1" thickBot="1">
      <c r="A10" s="384"/>
      <c r="B10" s="385"/>
      <c r="C10" s="1014" t="s">
        <v>4</v>
      </c>
      <c r="D10" s="1003"/>
      <c r="E10" s="820" t="s">
        <v>5</v>
      </c>
      <c r="F10" s="822"/>
      <c r="G10" s="1002" t="s">
        <v>4</v>
      </c>
      <c r="H10" s="1003"/>
      <c r="I10" s="820" t="s">
        <v>5</v>
      </c>
      <c r="J10" s="822"/>
      <c r="K10" s="1002" t="s">
        <v>4</v>
      </c>
      <c r="L10" s="1003"/>
      <c r="M10" s="820" t="s">
        <v>5</v>
      </c>
      <c r="N10" s="822"/>
      <c r="O10" s="1002" t="s">
        <v>4</v>
      </c>
      <c r="P10" s="1003"/>
      <c r="Q10" s="820" t="s">
        <v>5</v>
      </c>
      <c r="R10" s="821"/>
      <c r="S10" s="1002" t="s">
        <v>4</v>
      </c>
      <c r="T10" s="1003"/>
      <c r="U10" s="820" t="s">
        <v>5</v>
      </c>
      <c r="V10" s="822"/>
      <c r="W10" s="1002" t="s">
        <v>4</v>
      </c>
      <c r="X10" s="1003"/>
      <c r="Y10" s="820" t="s">
        <v>5</v>
      </c>
      <c r="Z10" s="821"/>
      <c r="AA10" s="19"/>
      <c r="AB10" s="19"/>
    </row>
    <row r="11" spans="1:36" ht="21" thickTop="1">
      <c r="A11" s="388" t="s">
        <v>6</v>
      </c>
      <c r="B11" s="389" t="s">
        <v>7</v>
      </c>
      <c r="C11" s="338" t="s">
        <v>8</v>
      </c>
      <c r="D11" s="339" t="s">
        <v>9</v>
      </c>
      <c r="E11" s="340" t="s">
        <v>8</v>
      </c>
      <c r="F11" s="341" t="s">
        <v>9</v>
      </c>
      <c r="G11" s="342" t="s">
        <v>8</v>
      </c>
      <c r="H11" s="339" t="s">
        <v>9</v>
      </c>
      <c r="I11" s="340" t="s">
        <v>8</v>
      </c>
      <c r="J11" s="341" t="s">
        <v>9</v>
      </c>
      <c r="K11" s="342" t="s">
        <v>8</v>
      </c>
      <c r="L11" s="339" t="s">
        <v>9</v>
      </c>
      <c r="M11" s="340" t="s">
        <v>8</v>
      </c>
      <c r="N11" s="341" t="s">
        <v>9</v>
      </c>
      <c r="O11" s="342" t="s">
        <v>8</v>
      </c>
      <c r="P11" s="339" t="s">
        <v>9</v>
      </c>
      <c r="Q11" s="340" t="s">
        <v>8</v>
      </c>
      <c r="R11" s="343" t="s">
        <v>9</v>
      </c>
      <c r="S11" s="342" t="s">
        <v>8</v>
      </c>
      <c r="T11" s="339" t="s">
        <v>9</v>
      </c>
      <c r="U11" s="340" t="s">
        <v>8</v>
      </c>
      <c r="V11" s="341" t="s">
        <v>9</v>
      </c>
      <c r="W11" s="342" t="s">
        <v>8</v>
      </c>
      <c r="X11" s="339" t="s">
        <v>9</v>
      </c>
      <c r="Y11" s="340" t="s">
        <v>8</v>
      </c>
      <c r="Z11" s="343" t="s">
        <v>9</v>
      </c>
      <c r="AA11" s="19"/>
      <c r="AB11" s="19"/>
      <c r="AC11" s="10"/>
    </row>
    <row r="12" spans="1:36" ht="54.95" customHeight="1">
      <c r="A12" s="391">
        <v>6</v>
      </c>
      <c r="B12" s="392" t="s">
        <v>25</v>
      </c>
      <c r="C12" s="467"/>
      <c r="D12" s="468">
        <v>1</v>
      </c>
      <c r="E12" s="469"/>
      <c r="F12" s="470"/>
      <c r="G12" s="471"/>
      <c r="H12" s="468"/>
      <c r="I12" s="469"/>
      <c r="J12" s="470"/>
      <c r="K12" s="471"/>
      <c r="L12" s="468"/>
      <c r="M12" s="469"/>
      <c r="N12" s="470"/>
      <c r="O12" s="471"/>
      <c r="P12" s="468"/>
      <c r="Q12" s="469"/>
      <c r="R12" s="472"/>
      <c r="S12" s="471"/>
      <c r="T12" s="468"/>
      <c r="U12" s="469"/>
      <c r="V12" s="470"/>
      <c r="W12" s="471"/>
      <c r="X12" s="468">
        <v>2</v>
      </c>
      <c r="Y12" s="469"/>
      <c r="Z12" s="472"/>
      <c r="AA12" s="19"/>
      <c r="AB12" s="19"/>
      <c r="AC12" s="2"/>
      <c r="AD12" s="2"/>
      <c r="AE12" s="2"/>
      <c r="AF12" s="2"/>
      <c r="AG12" s="2"/>
      <c r="AH12" s="2"/>
      <c r="AI12" s="2"/>
      <c r="AJ12" s="2"/>
    </row>
    <row r="13" spans="1:36" ht="54.95" customHeight="1">
      <c r="A13" s="391"/>
      <c r="B13" s="392" t="s">
        <v>26</v>
      </c>
      <c r="C13" s="467"/>
      <c r="D13" s="468"/>
      <c r="E13" s="469"/>
      <c r="F13" s="470"/>
      <c r="G13" s="471"/>
      <c r="H13" s="468"/>
      <c r="I13" s="469"/>
      <c r="J13" s="470"/>
      <c r="K13" s="471"/>
      <c r="L13" s="468"/>
      <c r="M13" s="469"/>
      <c r="N13" s="470"/>
      <c r="O13" s="471"/>
      <c r="P13" s="468"/>
      <c r="Q13" s="469"/>
      <c r="R13" s="472"/>
      <c r="S13" s="471"/>
      <c r="T13" s="468"/>
      <c r="U13" s="469"/>
      <c r="V13" s="470"/>
      <c r="W13" s="471"/>
      <c r="X13" s="468">
        <v>1</v>
      </c>
      <c r="Y13" s="469"/>
      <c r="Z13" s="472"/>
      <c r="AA13" s="19"/>
      <c r="AB13" s="19"/>
      <c r="AC13" s="2"/>
      <c r="AD13" s="2"/>
      <c r="AE13" s="2"/>
      <c r="AF13" s="2"/>
      <c r="AG13" s="2"/>
      <c r="AH13" s="2"/>
      <c r="AI13" s="2"/>
      <c r="AJ13" s="2"/>
    </row>
    <row r="14" spans="1:36" ht="54.95" customHeight="1">
      <c r="A14" s="391">
        <v>7</v>
      </c>
      <c r="B14" s="392" t="s">
        <v>23</v>
      </c>
      <c r="C14" s="467"/>
      <c r="D14" s="468"/>
      <c r="E14" s="469"/>
      <c r="F14" s="470"/>
      <c r="G14" s="471"/>
      <c r="H14" s="468"/>
      <c r="I14" s="469"/>
      <c r="J14" s="470"/>
      <c r="K14" s="471"/>
      <c r="L14" s="468"/>
      <c r="M14" s="469"/>
      <c r="N14" s="470"/>
      <c r="O14" s="471"/>
      <c r="P14" s="468"/>
      <c r="Q14" s="469"/>
      <c r="R14" s="472"/>
      <c r="S14" s="471"/>
      <c r="T14" s="468">
        <v>1</v>
      </c>
      <c r="U14" s="469"/>
      <c r="V14" s="470"/>
      <c r="W14" s="471">
        <v>1</v>
      </c>
      <c r="X14" s="468"/>
      <c r="Y14" s="469"/>
      <c r="Z14" s="472"/>
      <c r="AA14" s="19"/>
      <c r="AB14" s="19"/>
      <c r="AC14" s="2"/>
      <c r="AD14" s="2"/>
      <c r="AE14" s="2"/>
      <c r="AF14" s="2"/>
      <c r="AG14" s="2"/>
      <c r="AH14" s="2"/>
      <c r="AI14" s="2"/>
      <c r="AJ14" s="2"/>
    </row>
    <row r="15" spans="1:36" ht="54.95" customHeight="1">
      <c r="A15" s="391"/>
      <c r="B15" s="392" t="s">
        <v>24</v>
      </c>
      <c r="C15" s="467"/>
      <c r="D15" s="468"/>
      <c r="E15" s="469"/>
      <c r="F15" s="470"/>
      <c r="G15" s="471"/>
      <c r="H15" s="468"/>
      <c r="I15" s="469"/>
      <c r="J15" s="470"/>
      <c r="K15" s="471"/>
      <c r="L15" s="468"/>
      <c r="M15" s="469"/>
      <c r="N15" s="470"/>
      <c r="O15" s="471"/>
      <c r="P15" s="468"/>
      <c r="Q15" s="469"/>
      <c r="R15" s="472"/>
      <c r="S15" s="471"/>
      <c r="T15" s="468">
        <v>1</v>
      </c>
      <c r="U15" s="469"/>
      <c r="V15" s="470"/>
      <c r="W15" s="471"/>
      <c r="X15" s="468">
        <v>2</v>
      </c>
      <c r="Y15" s="469"/>
      <c r="Z15" s="472"/>
      <c r="AA15" s="19"/>
      <c r="AB15" s="19"/>
      <c r="AC15" s="2"/>
      <c r="AD15" s="2"/>
      <c r="AE15" s="2"/>
      <c r="AF15" s="2"/>
      <c r="AG15" s="2"/>
      <c r="AH15" s="2"/>
      <c r="AI15" s="2"/>
      <c r="AJ15" s="2"/>
    </row>
    <row r="16" spans="1:36" ht="54.95" customHeight="1">
      <c r="A16" s="391"/>
      <c r="B16" s="392" t="s">
        <v>25</v>
      </c>
      <c r="C16" s="467"/>
      <c r="D16" s="468"/>
      <c r="E16" s="469"/>
      <c r="F16" s="470"/>
      <c r="G16" s="471"/>
      <c r="H16" s="468"/>
      <c r="I16" s="469"/>
      <c r="J16" s="470"/>
      <c r="K16" s="471"/>
      <c r="L16" s="468"/>
      <c r="M16" s="469"/>
      <c r="N16" s="470"/>
      <c r="O16" s="471"/>
      <c r="P16" s="468"/>
      <c r="Q16" s="469"/>
      <c r="R16" s="472"/>
      <c r="S16" s="471"/>
      <c r="T16" s="468"/>
      <c r="U16" s="469"/>
      <c r="V16" s="470"/>
      <c r="W16" s="471"/>
      <c r="X16" s="468">
        <v>2</v>
      </c>
      <c r="Y16" s="469"/>
      <c r="Z16" s="472"/>
      <c r="AA16" s="19"/>
      <c r="AB16" s="19"/>
      <c r="AC16" s="2"/>
      <c r="AD16" s="2"/>
      <c r="AE16" s="2"/>
      <c r="AF16" s="2"/>
      <c r="AG16" s="2"/>
      <c r="AH16" s="2"/>
      <c r="AI16" s="2"/>
      <c r="AJ16" s="2"/>
    </row>
    <row r="17" spans="1:38" ht="54.95" customHeight="1">
      <c r="A17" s="391"/>
      <c r="B17" s="392" t="s">
        <v>26</v>
      </c>
      <c r="C17" s="467"/>
      <c r="D17" s="468"/>
      <c r="E17" s="469"/>
      <c r="F17" s="470"/>
      <c r="G17" s="471"/>
      <c r="H17" s="468"/>
      <c r="I17" s="469"/>
      <c r="J17" s="470"/>
      <c r="K17" s="471"/>
      <c r="L17" s="468"/>
      <c r="M17" s="469"/>
      <c r="N17" s="470"/>
      <c r="O17" s="471"/>
      <c r="P17" s="468"/>
      <c r="Q17" s="469"/>
      <c r="R17" s="472"/>
      <c r="S17" s="471"/>
      <c r="T17" s="468"/>
      <c r="U17" s="469"/>
      <c r="V17" s="470"/>
      <c r="W17" s="471"/>
      <c r="X17" s="468"/>
      <c r="Y17" s="469">
        <v>1</v>
      </c>
      <c r="Z17" s="472"/>
      <c r="AA17" s="19"/>
      <c r="AB17" s="19"/>
      <c r="AC17" s="2"/>
      <c r="AD17" s="2"/>
      <c r="AE17" s="2"/>
      <c r="AF17" s="2"/>
      <c r="AG17" s="2"/>
      <c r="AH17" s="2"/>
      <c r="AI17" s="2"/>
      <c r="AJ17" s="2"/>
    </row>
    <row r="18" spans="1:38" ht="54.95" customHeight="1">
      <c r="A18" s="391">
        <v>8</v>
      </c>
      <c r="B18" s="392" t="s">
        <v>23</v>
      </c>
      <c r="C18" s="467"/>
      <c r="D18" s="468"/>
      <c r="E18" s="469"/>
      <c r="F18" s="470"/>
      <c r="G18" s="471"/>
      <c r="H18" s="468"/>
      <c r="I18" s="469"/>
      <c r="J18" s="470"/>
      <c r="K18" s="471"/>
      <c r="L18" s="468"/>
      <c r="M18" s="469"/>
      <c r="N18" s="470"/>
      <c r="O18" s="471"/>
      <c r="P18" s="468"/>
      <c r="Q18" s="469"/>
      <c r="R18" s="472"/>
      <c r="S18" s="471"/>
      <c r="T18" s="468">
        <v>1</v>
      </c>
      <c r="U18" s="469"/>
      <c r="V18" s="470"/>
      <c r="W18" s="471"/>
      <c r="X18" s="468"/>
      <c r="Y18" s="469"/>
      <c r="Z18" s="472"/>
      <c r="AA18" s="19"/>
      <c r="AB18" s="19"/>
      <c r="AC18" s="2"/>
      <c r="AD18" s="2"/>
      <c r="AE18" s="2"/>
      <c r="AF18" s="2"/>
      <c r="AG18" s="2"/>
      <c r="AH18" s="2"/>
      <c r="AI18" s="2"/>
      <c r="AJ18" s="2"/>
    </row>
    <row r="19" spans="1:38" ht="54.95" customHeight="1">
      <c r="A19" s="391"/>
      <c r="B19" s="392" t="s">
        <v>24</v>
      </c>
      <c r="C19" s="467"/>
      <c r="D19" s="468"/>
      <c r="E19" s="469"/>
      <c r="F19" s="470"/>
      <c r="G19" s="471"/>
      <c r="H19" s="468"/>
      <c r="I19" s="469"/>
      <c r="J19" s="470"/>
      <c r="K19" s="471"/>
      <c r="L19" s="468"/>
      <c r="M19" s="469"/>
      <c r="N19" s="470"/>
      <c r="O19" s="471"/>
      <c r="P19" s="468">
        <v>1</v>
      </c>
      <c r="Q19" s="469"/>
      <c r="R19" s="472"/>
      <c r="S19" s="471"/>
      <c r="T19" s="468"/>
      <c r="U19" s="469"/>
      <c r="V19" s="470"/>
      <c r="W19" s="471">
        <v>2</v>
      </c>
      <c r="X19" s="468"/>
      <c r="Y19" s="469">
        <v>1</v>
      </c>
      <c r="Z19" s="472"/>
      <c r="AA19" s="19"/>
      <c r="AB19" s="19"/>
      <c r="AC19" s="2"/>
      <c r="AD19" s="2"/>
      <c r="AE19" s="2"/>
      <c r="AF19" s="2"/>
      <c r="AG19" s="2"/>
      <c r="AH19" s="2"/>
      <c r="AI19" s="2"/>
      <c r="AJ19" s="2"/>
    </row>
    <row r="20" spans="1:38" ht="54.95" customHeight="1">
      <c r="A20" s="391"/>
      <c r="B20" s="392" t="s">
        <v>25</v>
      </c>
      <c r="C20" s="467"/>
      <c r="D20" s="468"/>
      <c r="E20" s="469"/>
      <c r="F20" s="470"/>
      <c r="G20" s="471"/>
      <c r="H20" s="468"/>
      <c r="I20" s="469"/>
      <c r="J20" s="470"/>
      <c r="K20" s="471"/>
      <c r="L20" s="468"/>
      <c r="M20" s="469"/>
      <c r="N20" s="470"/>
      <c r="O20" s="471"/>
      <c r="P20" s="468"/>
      <c r="Q20" s="469"/>
      <c r="R20" s="472"/>
      <c r="S20" s="471"/>
      <c r="T20" s="468"/>
      <c r="U20" s="469"/>
      <c r="V20" s="470"/>
      <c r="W20" s="471"/>
      <c r="X20" s="468"/>
      <c r="Y20" s="469">
        <v>1</v>
      </c>
      <c r="Z20" s="472"/>
      <c r="AA20" s="19"/>
      <c r="AB20" s="19"/>
      <c r="AC20" s="2"/>
      <c r="AD20" s="2"/>
      <c r="AE20" s="2"/>
      <c r="AF20" s="2"/>
      <c r="AG20" s="2"/>
      <c r="AH20" s="2"/>
      <c r="AI20" s="2"/>
      <c r="AJ20" s="2"/>
    </row>
    <row r="21" spans="1:38" ht="54.95" customHeight="1">
      <c r="A21" s="391"/>
      <c r="B21" s="392" t="s">
        <v>26</v>
      </c>
      <c r="C21" s="467"/>
      <c r="D21" s="468"/>
      <c r="E21" s="469"/>
      <c r="F21" s="470"/>
      <c r="G21" s="471"/>
      <c r="H21" s="468"/>
      <c r="I21" s="469"/>
      <c r="J21" s="470"/>
      <c r="K21" s="471"/>
      <c r="L21" s="468"/>
      <c r="M21" s="469"/>
      <c r="N21" s="470"/>
      <c r="O21" s="471"/>
      <c r="P21" s="468"/>
      <c r="Q21" s="469"/>
      <c r="R21" s="472"/>
      <c r="S21" s="471"/>
      <c r="T21" s="468"/>
      <c r="U21" s="469"/>
      <c r="V21" s="470"/>
      <c r="W21" s="471"/>
      <c r="X21" s="468"/>
      <c r="Y21" s="469"/>
      <c r="Z21" s="472"/>
      <c r="AA21" s="19"/>
      <c r="AB21" s="19"/>
      <c r="AC21" s="2"/>
      <c r="AD21" s="2"/>
      <c r="AE21" s="2"/>
      <c r="AF21" s="2"/>
      <c r="AG21" s="2"/>
      <c r="AH21" s="2"/>
      <c r="AI21" s="2"/>
      <c r="AJ21" s="2"/>
    </row>
    <row r="22" spans="1:38" ht="54.95" customHeight="1">
      <c r="A22" s="391">
        <v>9</v>
      </c>
      <c r="B22" s="392" t="s">
        <v>23</v>
      </c>
      <c r="C22" s="467"/>
      <c r="D22" s="468"/>
      <c r="E22" s="469"/>
      <c r="F22" s="470"/>
      <c r="G22" s="471"/>
      <c r="H22" s="468"/>
      <c r="I22" s="469"/>
      <c r="J22" s="470"/>
      <c r="K22" s="471"/>
      <c r="L22" s="468"/>
      <c r="M22" s="469"/>
      <c r="N22" s="470"/>
      <c r="O22" s="471"/>
      <c r="P22" s="468"/>
      <c r="Q22" s="469"/>
      <c r="R22" s="472"/>
      <c r="S22" s="471"/>
      <c r="T22" s="468"/>
      <c r="U22" s="469"/>
      <c r="V22" s="470"/>
      <c r="W22" s="471"/>
      <c r="X22" s="468"/>
      <c r="Y22" s="469"/>
      <c r="Z22" s="472"/>
      <c r="AA22" s="19"/>
      <c r="AB22" s="19"/>
      <c r="AC22" s="2"/>
      <c r="AD22" s="2"/>
      <c r="AE22" s="2"/>
      <c r="AF22" s="2"/>
      <c r="AG22" s="2"/>
      <c r="AH22" s="2"/>
      <c r="AI22" s="2"/>
      <c r="AJ22" s="2"/>
    </row>
    <row r="23" spans="1:38" ht="54.95" customHeight="1" thickBot="1">
      <c r="A23" s="394"/>
      <c r="B23" s="395" t="s">
        <v>24</v>
      </c>
      <c r="C23" s="473"/>
      <c r="D23" s="474"/>
      <c r="E23" s="475"/>
      <c r="F23" s="476"/>
      <c r="G23" s="477"/>
      <c r="H23" s="474"/>
      <c r="I23" s="475"/>
      <c r="J23" s="476"/>
      <c r="K23" s="477"/>
      <c r="L23" s="474"/>
      <c r="M23" s="475"/>
      <c r="N23" s="476"/>
      <c r="O23" s="477"/>
      <c r="P23" s="474"/>
      <c r="Q23" s="475"/>
      <c r="R23" s="478"/>
      <c r="S23" s="477"/>
      <c r="T23" s="474"/>
      <c r="U23" s="475"/>
      <c r="V23" s="476"/>
      <c r="W23" s="477"/>
      <c r="X23" s="474"/>
      <c r="Y23" s="475"/>
      <c r="Z23" s="478"/>
      <c r="AA23" s="19"/>
      <c r="AB23" s="19"/>
      <c r="AC23" s="69"/>
      <c r="AD23" s="69"/>
      <c r="AE23" s="69"/>
      <c r="AF23" s="69"/>
      <c r="AG23" s="69"/>
      <c r="AH23" s="69"/>
      <c r="AI23" s="69"/>
      <c r="AJ23" s="69"/>
      <c r="AK23" s="70"/>
      <c r="AL23" s="70"/>
    </row>
    <row r="24" spans="1:38" ht="54.95" customHeight="1" thickTop="1" thickBot="1">
      <c r="A24" s="119"/>
      <c r="B24" s="1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69"/>
      <c r="AD24" s="69"/>
      <c r="AE24" s="69"/>
      <c r="AF24" s="69"/>
      <c r="AG24" s="69"/>
      <c r="AH24" s="69"/>
      <c r="AI24" s="69"/>
      <c r="AJ24" s="69"/>
      <c r="AK24" s="70"/>
      <c r="AL24" s="70"/>
    </row>
    <row r="25" spans="1:38" ht="52.5" customHeight="1" thickBot="1">
      <c r="A25" s="121" t="s">
        <v>0</v>
      </c>
      <c r="B25" s="162" t="str">
        <f>B1</f>
        <v>REIGNIER BAS_Giratoire D2 / D202 (vers le Foron)</v>
      </c>
      <c r="C25" s="72"/>
      <c r="D25" s="72"/>
      <c r="E25" s="72"/>
      <c r="F25" s="73"/>
      <c r="G25" s="73"/>
      <c r="H25" s="72"/>
      <c r="I25" s="72"/>
      <c r="J25" s="73"/>
      <c r="K25" s="73"/>
      <c r="L25" s="163"/>
      <c r="M25" s="109" t="s">
        <v>30</v>
      </c>
      <c r="N25" s="164" t="str">
        <f>N1</f>
        <v>mardi 31 mai 2022</v>
      </c>
      <c r="O25" s="72"/>
      <c r="P25" s="72"/>
      <c r="Q25" s="72"/>
      <c r="R25" s="72"/>
      <c r="S25" s="72"/>
      <c r="T25" s="72"/>
      <c r="U25" s="72"/>
      <c r="V25" s="165"/>
      <c r="W25" s="123"/>
      <c r="X25" s="123"/>
      <c r="Y25" s="123"/>
      <c r="Z25" s="139"/>
      <c r="AA25" s="159" t="s">
        <v>0</v>
      </c>
      <c r="AB25" s="162" t="str">
        <f>B25</f>
        <v>REIGNIER BAS_Giratoire D2 / D202 (vers le Foron)</v>
      </c>
      <c r="AC25" s="72"/>
      <c r="AD25" s="72"/>
      <c r="AE25" s="72"/>
      <c r="AF25" s="163"/>
      <c r="AG25" s="122" t="s">
        <v>1</v>
      </c>
      <c r="AH25" s="164" t="str">
        <f>N25</f>
        <v>mardi 31 mai 2022</v>
      </c>
      <c r="AI25" s="72"/>
      <c r="AJ25" s="74"/>
      <c r="AK25" s="165"/>
      <c r="AL25" s="86"/>
    </row>
    <row r="26" spans="1:38" ht="52.5" customHeight="1" thickBot="1">
      <c r="A26" s="111" t="s">
        <v>2</v>
      </c>
      <c r="B26" s="112"/>
      <c r="C26" s="112"/>
      <c r="D26" s="112"/>
      <c r="E26" s="112"/>
      <c r="F26" s="112"/>
      <c r="G26" s="162" t="str">
        <f>G2</f>
        <v>Joël MIGNON</v>
      </c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165"/>
      <c r="W26" s="112"/>
      <c r="X26" s="112"/>
      <c r="Y26" s="112"/>
      <c r="Z26" s="112"/>
      <c r="AA26" s="111" t="s">
        <v>2</v>
      </c>
      <c r="AB26" s="112"/>
      <c r="AC26" s="112"/>
      <c r="AD26" s="112"/>
      <c r="AE26" s="162" t="str">
        <f>G26</f>
        <v>Joël MIGNON</v>
      </c>
      <c r="AF26" s="72"/>
      <c r="AG26" s="72"/>
      <c r="AH26" s="72"/>
      <c r="AI26" s="72"/>
      <c r="AJ26" s="72"/>
      <c r="AK26" s="165"/>
      <c r="AL26" s="112"/>
    </row>
    <row r="27" spans="1:38" ht="52.5" customHeight="1" thickBot="1">
      <c r="A27" s="111" t="s">
        <v>3</v>
      </c>
      <c r="B27" s="112"/>
      <c r="C27" s="162">
        <f>C3</f>
        <v>0</v>
      </c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165"/>
      <c r="W27" s="112"/>
      <c r="X27" s="112"/>
      <c r="Y27" s="112"/>
      <c r="Z27" s="113"/>
      <c r="AA27" s="111" t="s">
        <v>3</v>
      </c>
      <c r="AB27" s="112"/>
      <c r="AC27" s="162">
        <f>C27</f>
        <v>0</v>
      </c>
      <c r="AD27" s="72"/>
      <c r="AE27" s="72"/>
      <c r="AF27" s="72"/>
      <c r="AG27" s="72"/>
      <c r="AH27" s="72"/>
      <c r="AI27" s="72"/>
      <c r="AJ27" s="72"/>
      <c r="AK27" s="165"/>
      <c r="AL27" s="87"/>
    </row>
    <row r="28" spans="1:38" ht="52.5" customHeight="1" thickBot="1">
      <c r="A28" s="111" t="s">
        <v>27</v>
      </c>
      <c r="B28" s="112"/>
      <c r="C28" s="162">
        <f>C4</f>
        <v>0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165"/>
      <c r="W28" s="112"/>
      <c r="X28" s="112"/>
      <c r="Y28" s="112"/>
      <c r="Z28" s="113"/>
      <c r="AA28" s="111" t="s">
        <v>27</v>
      </c>
      <c r="AB28" s="112"/>
      <c r="AC28" s="162">
        <f>C28</f>
        <v>0</v>
      </c>
      <c r="AD28" s="72"/>
      <c r="AE28" s="72"/>
      <c r="AF28" s="72"/>
      <c r="AG28" s="72"/>
      <c r="AH28" s="72"/>
      <c r="AI28" s="72"/>
      <c r="AJ28" s="72"/>
      <c r="AK28" s="165"/>
      <c r="AL28" s="87"/>
    </row>
    <row r="29" spans="1:38" ht="25.5" customHeight="1">
      <c r="A29" s="114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3"/>
      <c r="S29" s="112"/>
      <c r="T29" s="112"/>
      <c r="U29" s="112"/>
      <c r="V29" s="112"/>
      <c r="W29" s="112"/>
      <c r="X29" s="112"/>
      <c r="Y29" s="112"/>
      <c r="Z29" s="113"/>
      <c r="AA29" s="114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</row>
    <row r="30" spans="1:38" ht="25.5" customHeight="1">
      <c r="A30" s="114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3"/>
      <c r="S30" s="112"/>
      <c r="T30" s="112"/>
      <c r="U30" s="112"/>
      <c r="V30" s="112"/>
      <c r="W30" s="112"/>
      <c r="X30" s="112"/>
      <c r="Y30" s="112"/>
      <c r="Z30" s="113"/>
      <c r="AA30" s="114"/>
      <c r="AB30" s="112"/>
      <c r="AC30" s="112"/>
      <c r="AD30" s="112"/>
      <c r="AE30" s="112"/>
      <c r="AF30" s="112"/>
      <c r="AG30" s="112"/>
      <c r="AH30" s="112"/>
      <c r="AI30" s="112"/>
      <c r="AJ30" s="112"/>
      <c r="AK30" s="113"/>
      <c r="AL30" s="113"/>
    </row>
    <row r="31" spans="1:38" ht="25.5" customHeight="1" thickBot="1">
      <c r="A31" s="114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3"/>
      <c r="S31" s="112"/>
      <c r="T31" s="112"/>
      <c r="U31" s="112"/>
      <c r="V31" s="112"/>
      <c r="W31" s="112"/>
      <c r="X31" s="112"/>
      <c r="Y31" s="112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1:38" ht="32.25" customHeight="1" thickTop="1">
      <c r="A32" s="29"/>
      <c r="B32" s="30"/>
      <c r="C32" s="798" t="str">
        <f>C8</f>
        <v>Depuis 'Arthaz'</v>
      </c>
      <c r="D32" s="799"/>
      <c r="E32" s="799"/>
      <c r="F32" s="799"/>
      <c r="G32" s="799"/>
      <c r="H32" s="799"/>
      <c r="I32" s="799"/>
      <c r="J32" s="799"/>
      <c r="K32" s="799" t="str">
        <f>K8</f>
        <v>Depuis 'Annemasse'</v>
      </c>
      <c r="L32" s="799"/>
      <c r="M32" s="799"/>
      <c r="N32" s="799"/>
      <c r="O32" s="799"/>
      <c r="P32" s="799"/>
      <c r="Q32" s="799"/>
      <c r="R32" s="800"/>
      <c r="S32" s="799" t="str">
        <f>S8</f>
        <v>Depuis 'Reignier'</v>
      </c>
      <c r="T32" s="799"/>
      <c r="U32" s="799"/>
      <c r="V32" s="799"/>
      <c r="W32" s="799"/>
      <c r="X32" s="799"/>
      <c r="Y32" s="799"/>
      <c r="Z32" s="800"/>
      <c r="AA32" s="29"/>
      <c r="AB32" s="30"/>
      <c r="AC32" s="809" t="s">
        <v>12</v>
      </c>
      <c r="AD32" s="811" t="s">
        <v>14</v>
      </c>
      <c r="AE32" s="993" t="s">
        <v>15</v>
      </c>
      <c r="AF32" s="990" t="s">
        <v>18</v>
      </c>
      <c r="AG32" s="811" t="s">
        <v>16</v>
      </c>
      <c r="AH32" s="993" t="s">
        <v>20</v>
      </c>
      <c r="AI32" s="996" t="s">
        <v>63</v>
      </c>
      <c r="AJ32" s="999" t="s">
        <v>22</v>
      </c>
      <c r="AK32" s="956"/>
      <c r="AL32" s="957"/>
    </row>
    <row r="33" spans="1:38" ht="22.7" customHeight="1">
      <c r="A33" s="29"/>
      <c r="B33" s="30"/>
      <c r="C33" s="791" t="str">
        <f>C9</f>
        <v>vers 'Reignier'</v>
      </c>
      <c r="D33" s="792"/>
      <c r="E33" s="792"/>
      <c r="F33" s="792"/>
      <c r="G33" s="791" t="str">
        <f t="shared" ref="G33" si="0">G9</f>
        <v>vers 'Annemasse'</v>
      </c>
      <c r="H33" s="792"/>
      <c r="I33" s="792"/>
      <c r="J33" s="792"/>
      <c r="K33" s="791" t="str">
        <f t="shared" ref="K33" si="1">K9</f>
        <v>vers 'Reignier'</v>
      </c>
      <c r="L33" s="792"/>
      <c r="M33" s="792"/>
      <c r="N33" s="792"/>
      <c r="O33" s="791" t="str">
        <f t="shared" ref="O33" si="2">O9</f>
        <v>vers 'Arthaz'</v>
      </c>
      <c r="P33" s="792"/>
      <c r="Q33" s="792"/>
      <c r="R33" s="792"/>
      <c r="S33" s="791" t="str">
        <f t="shared" ref="S33" si="3">S9</f>
        <v>vers 'Arthaz'</v>
      </c>
      <c r="T33" s="792"/>
      <c r="U33" s="792"/>
      <c r="V33" s="792"/>
      <c r="W33" s="791" t="str">
        <f t="shared" ref="W33" si="4">W9</f>
        <v>vers 'Annemasse'</v>
      </c>
      <c r="X33" s="792"/>
      <c r="Y33" s="792"/>
      <c r="Z33" s="793"/>
      <c r="AA33" s="29"/>
      <c r="AB33" s="30"/>
      <c r="AC33" s="810"/>
      <c r="AD33" s="812"/>
      <c r="AE33" s="994"/>
      <c r="AF33" s="991"/>
      <c r="AG33" s="812"/>
      <c r="AH33" s="994"/>
      <c r="AI33" s="997"/>
      <c r="AJ33" s="1000"/>
      <c r="AK33" s="959"/>
      <c r="AL33" s="960"/>
    </row>
    <row r="34" spans="1:38" ht="18.600000000000001" customHeight="1" thickBot="1">
      <c r="A34" s="29"/>
      <c r="B34" s="30"/>
      <c r="C34" s="989" t="s">
        <v>4</v>
      </c>
      <c r="D34" s="987"/>
      <c r="E34" s="984" t="s">
        <v>5</v>
      </c>
      <c r="F34" s="985"/>
      <c r="G34" s="986" t="s">
        <v>4</v>
      </c>
      <c r="H34" s="987"/>
      <c r="I34" s="984" t="s">
        <v>5</v>
      </c>
      <c r="J34" s="985"/>
      <c r="K34" s="986" t="s">
        <v>4</v>
      </c>
      <c r="L34" s="987"/>
      <c r="M34" s="984" t="s">
        <v>5</v>
      </c>
      <c r="N34" s="985"/>
      <c r="O34" s="986" t="s">
        <v>4</v>
      </c>
      <c r="P34" s="987"/>
      <c r="Q34" s="984" t="s">
        <v>5</v>
      </c>
      <c r="R34" s="988"/>
      <c r="S34" s="986" t="s">
        <v>4</v>
      </c>
      <c r="T34" s="987"/>
      <c r="U34" s="984" t="s">
        <v>5</v>
      </c>
      <c r="V34" s="985"/>
      <c r="W34" s="986" t="s">
        <v>4</v>
      </c>
      <c r="X34" s="987"/>
      <c r="Y34" s="1004" t="s">
        <v>5</v>
      </c>
      <c r="Z34" s="1005"/>
      <c r="AA34" s="29"/>
      <c r="AB34" s="30"/>
      <c r="AC34" s="810"/>
      <c r="AD34" s="812"/>
      <c r="AE34" s="994"/>
      <c r="AF34" s="991"/>
      <c r="AG34" s="812"/>
      <c r="AH34" s="994"/>
      <c r="AI34" s="997"/>
      <c r="AJ34" s="1000"/>
      <c r="AK34" s="959"/>
      <c r="AL34" s="960"/>
    </row>
    <row r="35" spans="1:38" ht="21" thickTop="1">
      <c r="A35" s="789" t="s">
        <v>13</v>
      </c>
      <c r="B35" s="790"/>
      <c r="C35" s="17" t="s">
        <v>8</v>
      </c>
      <c r="D35" s="4" t="s">
        <v>9</v>
      </c>
      <c r="E35" s="5" t="s">
        <v>8</v>
      </c>
      <c r="F35" s="6" t="s">
        <v>9</v>
      </c>
      <c r="G35" s="3" t="s">
        <v>8</v>
      </c>
      <c r="H35" s="4" t="s">
        <v>9</v>
      </c>
      <c r="I35" s="5" t="s">
        <v>8</v>
      </c>
      <c r="J35" s="6" t="s">
        <v>9</v>
      </c>
      <c r="K35" s="3" t="s">
        <v>8</v>
      </c>
      <c r="L35" s="4" t="s">
        <v>9</v>
      </c>
      <c r="M35" s="5" t="s">
        <v>8</v>
      </c>
      <c r="N35" s="6" t="s">
        <v>9</v>
      </c>
      <c r="O35" s="3" t="s">
        <v>8</v>
      </c>
      <c r="P35" s="4" t="s">
        <v>9</v>
      </c>
      <c r="Q35" s="5" t="s">
        <v>8</v>
      </c>
      <c r="R35" s="18" t="s">
        <v>9</v>
      </c>
      <c r="S35" s="3" t="s">
        <v>8</v>
      </c>
      <c r="T35" s="4" t="s">
        <v>9</v>
      </c>
      <c r="U35" s="5" t="s">
        <v>8</v>
      </c>
      <c r="V35" s="6" t="s">
        <v>9</v>
      </c>
      <c r="W35" s="3" t="s">
        <v>8</v>
      </c>
      <c r="X35" s="4" t="s">
        <v>9</v>
      </c>
      <c r="Y35" s="5" t="s">
        <v>8</v>
      </c>
      <c r="Z35" s="18" t="s">
        <v>9</v>
      </c>
      <c r="AA35" s="805" t="s">
        <v>13</v>
      </c>
      <c r="AB35" s="806"/>
      <c r="AC35" s="810"/>
      <c r="AD35" s="813"/>
      <c r="AE35" s="995"/>
      <c r="AF35" s="992"/>
      <c r="AG35" s="813"/>
      <c r="AH35" s="995"/>
      <c r="AI35" s="998"/>
      <c r="AJ35" s="1001"/>
      <c r="AK35" s="962"/>
      <c r="AL35" s="963"/>
    </row>
    <row r="36" spans="1:38" ht="54.95" customHeight="1">
      <c r="A36" s="783" t="s">
        <v>28</v>
      </c>
      <c r="B36" s="784"/>
      <c r="C36" s="39">
        <f>SUM(C12:C15)</f>
        <v>0</v>
      </c>
      <c r="D36" s="40">
        <f t="shared" ref="D36:Z36" si="5">SUM(D12:D15)</f>
        <v>1</v>
      </c>
      <c r="E36" s="41">
        <f t="shared" si="5"/>
        <v>0</v>
      </c>
      <c r="F36" s="42">
        <f t="shared" si="5"/>
        <v>0</v>
      </c>
      <c r="G36" s="43">
        <f t="shared" si="5"/>
        <v>0</v>
      </c>
      <c r="H36" s="40">
        <f t="shared" si="5"/>
        <v>0</v>
      </c>
      <c r="I36" s="41">
        <f t="shared" si="5"/>
        <v>0</v>
      </c>
      <c r="J36" s="42">
        <f t="shared" si="5"/>
        <v>0</v>
      </c>
      <c r="K36" s="43">
        <f t="shared" si="5"/>
        <v>0</v>
      </c>
      <c r="L36" s="40">
        <f t="shared" si="5"/>
        <v>0</v>
      </c>
      <c r="M36" s="41">
        <f t="shared" si="5"/>
        <v>0</v>
      </c>
      <c r="N36" s="42">
        <f t="shared" si="5"/>
        <v>0</v>
      </c>
      <c r="O36" s="43">
        <f t="shared" si="5"/>
        <v>0</v>
      </c>
      <c r="P36" s="40">
        <f t="shared" si="5"/>
        <v>0</v>
      </c>
      <c r="Q36" s="41">
        <f t="shared" si="5"/>
        <v>0</v>
      </c>
      <c r="R36" s="44">
        <f t="shared" si="5"/>
        <v>0</v>
      </c>
      <c r="S36" s="43">
        <f t="shared" si="5"/>
        <v>0</v>
      </c>
      <c r="T36" s="40">
        <f t="shared" si="5"/>
        <v>2</v>
      </c>
      <c r="U36" s="41">
        <f t="shared" si="5"/>
        <v>0</v>
      </c>
      <c r="V36" s="42">
        <f t="shared" si="5"/>
        <v>0</v>
      </c>
      <c r="W36" s="43">
        <f t="shared" si="5"/>
        <v>1</v>
      </c>
      <c r="X36" s="40">
        <f t="shared" si="5"/>
        <v>5</v>
      </c>
      <c r="Y36" s="41">
        <f t="shared" si="5"/>
        <v>0</v>
      </c>
      <c r="Z36" s="44">
        <f t="shared" si="5"/>
        <v>0</v>
      </c>
      <c r="AA36" s="982" t="s">
        <v>28</v>
      </c>
      <c r="AB36" s="983"/>
      <c r="AC36" s="75">
        <f t="shared" ref="AC36:AC42" si="6">SUM(C36:Z36)</f>
        <v>9</v>
      </c>
      <c r="AD36" s="144">
        <f>IF(AC36=0,0,AD48/AC36)</f>
        <v>0.1111111111111111</v>
      </c>
      <c r="AE36" s="144">
        <f>IF(AC36=0,0,AE48/AC36)</f>
        <v>0</v>
      </c>
      <c r="AF36" s="144">
        <f>IF(AE48=0,0,AF48/AE48)</f>
        <v>0</v>
      </c>
      <c r="AG36" s="144">
        <f t="shared" ref="AG36:AG42" si="7">IF(AC36=0,0,AG48/AC36)</f>
        <v>0.66666666666666663</v>
      </c>
      <c r="AH36" s="152">
        <f>SUM(S36:Z36)</f>
        <v>8</v>
      </c>
      <c r="AI36" s="76">
        <f>RE_Eglise!AG72</f>
        <v>5</v>
      </c>
      <c r="AJ36" s="77">
        <f>AI36-AH36</f>
        <v>-3</v>
      </c>
      <c r="AK36" s="980"/>
      <c r="AL36" s="981"/>
    </row>
    <row r="37" spans="1:38" ht="54.95" customHeight="1">
      <c r="A37" s="774" t="s">
        <v>11</v>
      </c>
      <c r="B37" s="775"/>
      <c r="C37" s="45">
        <f>SUM(C14:C17)</f>
        <v>0</v>
      </c>
      <c r="D37" s="46">
        <f t="shared" ref="D37:Z37" si="8">SUM(D14:D17)</f>
        <v>0</v>
      </c>
      <c r="E37" s="47">
        <f t="shared" si="8"/>
        <v>0</v>
      </c>
      <c r="F37" s="48">
        <f t="shared" si="8"/>
        <v>0</v>
      </c>
      <c r="G37" s="49">
        <f t="shared" si="8"/>
        <v>0</v>
      </c>
      <c r="H37" s="46">
        <f t="shared" si="8"/>
        <v>0</v>
      </c>
      <c r="I37" s="47">
        <f t="shared" si="8"/>
        <v>0</v>
      </c>
      <c r="J37" s="48">
        <f t="shared" si="8"/>
        <v>0</v>
      </c>
      <c r="K37" s="49">
        <f t="shared" si="8"/>
        <v>0</v>
      </c>
      <c r="L37" s="46">
        <f t="shared" si="8"/>
        <v>0</v>
      </c>
      <c r="M37" s="47">
        <f t="shared" si="8"/>
        <v>0</v>
      </c>
      <c r="N37" s="48">
        <f t="shared" si="8"/>
        <v>0</v>
      </c>
      <c r="O37" s="49">
        <f t="shared" si="8"/>
        <v>0</v>
      </c>
      <c r="P37" s="46">
        <f t="shared" si="8"/>
        <v>0</v>
      </c>
      <c r="Q37" s="47">
        <f t="shared" si="8"/>
        <v>0</v>
      </c>
      <c r="R37" s="50">
        <f t="shared" si="8"/>
        <v>0</v>
      </c>
      <c r="S37" s="49">
        <f t="shared" si="8"/>
        <v>0</v>
      </c>
      <c r="T37" s="46">
        <f t="shared" si="8"/>
        <v>2</v>
      </c>
      <c r="U37" s="47">
        <f t="shared" si="8"/>
        <v>0</v>
      </c>
      <c r="V37" s="48">
        <f t="shared" si="8"/>
        <v>0</v>
      </c>
      <c r="W37" s="49">
        <f t="shared" si="8"/>
        <v>1</v>
      </c>
      <c r="X37" s="46">
        <f t="shared" si="8"/>
        <v>4</v>
      </c>
      <c r="Y37" s="47">
        <f t="shared" si="8"/>
        <v>1</v>
      </c>
      <c r="Z37" s="50">
        <f t="shared" si="8"/>
        <v>0</v>
      </c>
      <c r="AA37" s="972" t="s">
        <v>11</v>
      </c>
      <c r="AB37" s="973"/>
      <c r="AC37" s="78">
        <f t="shared" si="6"/>
        <v>8</v>
      </c>
      <c r="AD37" s="146">
        <f t="shared" ref="AD37:AD42" si="9">IF(AC37=0,0,AD49/AC37)</f>
        <v>0.25</v>
      </c>
      <c r="AE37" s="146">
        <f t="shared" ref="AE37:AE42" si="10">IF(AC37=0,0,AE49/AC37)</f>
        <v>0.125</v>
      </c>
      <c r="AF37" s="146">
        <f t="shared" ref="AF37:AF42" si="11">IF(AE49=0,0,AF49/AE49)</f>
        <v>1</v>
      </c>
      <c r="AG37" s="146">
        <f t="shared" si="7"/>
        <v>0.75</v>
      </c>
      <c r="AH37" s="153">
        <f t="shared" ref="AH37:AH42" si="12">SUM(S37:Z37)</f>
        <v>8</v>
      </c>
      <c r="AI37" s="79">
        <f>RE_Eglise!AG73</f>
        <v>8</v>
      </c>
      <c r="AJ37" s="80">
        <f t="shared" ref="AJ37:AJ42" si="13">AI37-AH37</f>
        <v>0</v>
      </c>
      <c r="AK37" s="974"/>
      <c r="AL37" s="975"/>
    </row>
    <row r="38" spans="1:38" ht="54.95" customHeight="1">
      <c r="A38" s="774" t="s">
        <v>17</v>
      </c>
      <c r="B38" s="775"/>
      <c r="C38" s="45">
        <f>SUM(C16:C19)</f>
        <v>0</v>
      </c>
      <c r="D38" s="46">
        <f t="shared" ref="D38:Z38" si="14">SUM(D16:D19)</f>
        <v>0</v>
      </c>
      <c r="E38" s="47">
        <f t="shared" si="14"/>
        <v>0</v>
      </c>
      <c r="F38" s="48">
        <f t="shared" si="14"/>
        <v>0</v>
      </c>
      <c r="G38" s="49">
        <f t="shared" si="14"/>
        <v>0</v>
      </c>
      <c r="H38" s="46">
        <f t="shared" si="14"/>
        <v>0</v>
      </c>
      <c r="I38" s="47">
        <f t="shared" si="14"/>
        <v>0</v>
      </c>
      <c r="J38" s="48">
        <f t="shared" si="14"/>
        <v>0</v>
      </c>
      <c r="K38" s="49">
        <f t="shared" si="14"/>
        <v>0</v>
      </c>
      <c r="L38" s="46">
        <f t="shared" si="14"/>
        <v>0</v>
      </c>
      <c r="M38" s="47">
        <f t="shared" si="14"/>
        <v>0</v>
      </c>
      <c r="N38" s="48">
        <f t="shared" si="14"/>
        <v>0</v>
      </c>
      <c r="O38" s="49">
        <f t="shared" si="14"/>
        <v>0</v>
      </c>
      <c r="P38" s="46">
        <f t="shared" si="14"/>
        <v>1</v>
      </c>
      <c r="Q38" s="47">
        <f t="shared" si="14"/>
        <v>0</v>
      </c>
      <c r="R38" s="50">
        <f t="shared" si="14"/>
        <v>0</v>
      </c>
      <c r="S38" s="49">
        <f t="shared" si="14"/>
        <v>0</v>
      </c>
      <c r="T38" s="46">
        <f t="shared" si="14"/>
        <v>1</v>
      </c>
      <c r="U38" s="47">
        <f t="shared" si="14"/>
        <v>0</v>
      </c>
      <c r="V38" s="48">
        <f t="shared" si="14"/>
        <v>0</v>
      </c>
      <c r="W38" s="49">
        <f t="shared" si="14"/>
        <v>2</v>
      </c>
      <c r="X38" s="46">
        <f t="shared" si="14"/>
        <v>2</v>
      </c>
      <c r="Y38" s="47">
        <f t="shared" si="14"/>
        <v>2</v>
      </c>
      <c r="Z38" s="50">
        <f t="shared" si="14"/>
        <v>0</v>
      </c>
      <c r="AA38" s="972" t="s">
        <v>17</v>
      </c>
      <c r="AB38" s="973"/>
      <c r="AC38" s="78">
        <f t="shared" si="6"/>
        <v>8</v>
      </c>
      <c r="AD38" s="146">
        <f t="shared" si="9"/>
        <v>0.5</v>
      </c>
      <c r="AE38" s="146">
        <f t="shared" si="10"/>
        <v>0.25</v>
      </c>
      <c r="AF38" s="146">
        <f t="shared" si="11"/>
        <v>1</v>
      </c>
      <c r="AG38" s="146">
        <f t="shared" si="7"/>
        <v>0.75</v>
      </c>
      <c r="AH38" s="153">
        <f t="shared" si="12"/>
        <v>7</v>
      </c>
      <c r="AI38" s="79">
        <f>RE_Eglise!AG74</f>
        <v>4</v>
      </c>
      <c r="AJ38" s="80">
        <f t="shared" si="13"/>
        <v>-3</v>
      </c>
      <c r="AK38" s="974"/>
      <c r="AL38" s="975"/>
    </row>
    <row r="39" spans="1:38" ht="54.95" customHeight="1">
      <c r="A39" s="774" t="s">
        <v>10</v>
      </c>
      <c r="B39" s="775"/>
      <c r="C39" s="45">
        <f>SUM(C18:C21)</f>
        <v>0</v>
      </c>
      <c r="D39" s="46">
        <f t="shared" ref="D39:Z39" si="15">SUM(D18:D21)</f>
        <v>0</v>
      </c>
      <c r="E39" s="47">
        <f t="shared" si="15"/>
        <v>0</v>
      </c>
      <c r="F39" s="48">
        <f t="shared" si="15"/>
        <v>0</v>
      </c>
      <c r="G39" s="49">
        <f t="shared" si="15"/>
        <v>0</v>
      </c>
      <c r="H39" s="46">
        <f t="shared" si="15"/>
        <v>0</v>
      </c>
      <c r="I39" s="47">
        <f t="shared" si="15"/>
        <v>0</v>
      </c>
      <c r="J39" s="48">
        <f t="shared" si="15"/>
        <v>0</v>
      </c>
      <c r="K39" s="49">
        <f t="shared" si="15"/>
        <v>0</v>
      </c>
      <c r="L39" s="46">
        <f t="shared" si="15"/>
        <v>0</v>
      </c>
      <c r="M39" s="47">
        <f t="shared" si="15"/>
        <v>0</v>
      </c>
      <c r="N39" s="48">
        <f t="shared" si="15"/>
        <v>0</v>
      </c>
      <c r="O39" s="49">
        <f t="shared" si="15"/>
        <v>0</v>
      </c>
      <c r="P39" s="46">
        <f t="shared" si="15"/>
        <v>1</v>
      </c>
      <c r="Q39" s="47">
        <f t="shared" si="15"/>
        <v>0</v>
      </c>
      <c r="R39" s="50">
        <f t="shared" si="15"/>
        <v>0</v>
      </c>
      <c r="S39" s="49">
        <f t="shared" si="15"/>
        <v>0</v>
      </c>
      <c r="T39" s="46">
        <f t="shared" si="15"/>
        <v>1</v>
      </c>
      <c r="U39" s="47">
        <f t="shared" si="15"/>
        <v>0</v>
      </c>
      <c r="V39" s="48">
        <f t="shared" si="15"/>
        <v>0</v>
      </c>
      <c r="W39" s="49">
        <f t="shared" si="15"/>
        <v>2</v>
      </c>
      <c r="X39" s="46">
        <f t="shared" si="15"/>
        <v>0</v>
      </c>
      <c r="Y39" s="47">
        <f t="shared" si="15"/>
        <v>2</v>
      </c>
      <c r="Z39" s="50">
        <f t="shared" si="15"/>
        <v>0</v>
      </c>
      <c r="AA39" s="972" t="s">
        <v>10</v>
      </c>
      <c r="AB39" s="973"/>
      <c r="AC39" s="78">
        <f t="shared" si="6"/>
        <v>6</v>
      </c>
      <c r="AD39" s="146">
        <f t="shared" si="9"/>
        <v>0.66666666666666663</v>
      </c>
      <c r="AE39" s="146">
        <f t="shared" si="10"/>
        <v>0.33333333333333331</v>
      </c>
      <c r="AF39" s="146">
        <f t="shared" si="11"/>
        <v>1</v>
      </c>
      <c r="AG39" s="146">
        <f t="shared" si="7"/>
        <v>0.66666666666666663</v>
      </c>
      <c r="AH39" s="153">
        <f t="shared" si="12"/>
        <v>5</v>
      </c>
      <c r="AI39" s="79">
        <f>RE_Eglise!AG75</f>
        <v>3</v>
      </c>
      <c r="AJ39" s="80">
        <f t="shared" si="13"/>
        <v>-2</v>
      </c>
      <c r="AK39" s="974"/>
      <c r="AL39" s="975"/>
    </row>
    <row r="40" spans="1:38" ht="54.95" customHeight="1">
      <c r="A40" s="777" t="s">
        <v>29</v>
      </c>
      <c r="B40" s="778"/>
      <c r="C40" s="51">
        <f>SUM(C20:C23)</f>
        <v>0</v>
      </c>
      <c r="D40" s="52">
        <f t="shared" ref="D40:Z40" si="16">SUM(D20:D23)</f>
        <v>0</v>
      </c>
      <c r="E40" s="53">
        <f t="shared" si="16"/>
        <v>0</v>
      </c>
      <c r="F40" s="54">
        <f t="shared" si="16"/>
        <v>0</v>
      </c>
      <c r="G40" s="55">
        <f t="shared" si="16"/>
        <v>0</v>
      </c>
      <c r="H40" s="52">
        <f t="shared" si="16"/>
        <v>0</v>
      </c>
      <c r="I40" s="53">
        <f t="shared" si="16"/>
        <v>0</v>
      </c>
      <c r="J40" s="54">
        <f t="shared" si="16"/>
        <v>0</v>
      </c>
      <c r="K40" s="55">
        <f t="shared" si="16"/>
        <v>0</v>
      </c>
      <c r="L40" s="52">
        <f t="shared" si="16"/>
        <v>0</v>
      </c>
      <c r="M40" s="53">
        <f t="shared" si="16"/>
        <v>0</v>
      </c>
      <c r="N40" s="54">
        <f t="shared" si="16"/>
        <v>0</v>
      </c>
      <c r="O40" s="55">
        <f t="shared" si="16"/>
        <v>0</v>
      </c>
      <c r="P40" s="52">
        <f t="shared" si="16"/>
        <v>0</v>
      </c>
      <c r="Q40" s="53">
        <f t="shared" si="16"/>
        <v>0</v>
      </c>
      <c r="R40" s="56">
        <f t="shared" si="16"/>
        <v>0</v>
      </c>
      <c r="S40" s="55">
        <f t="shared" si="16"/>
        <v>0</v>
      </c>
      <c r="T40" s="52">
        <f t="shared" si="16"/>
        <v>0</v>
      </c>
      <c r="U40" s="53">
        <f t="shared" si="16"/>
        <v>0</v>
      </c>
      <c r="V40" s="54">
        <f t="shared" si="16"/>
        <v>0</v>
      </c>
      <c r="W40" s="55">
        <f t="shared" si="16"/>
        <v>0</v>
      </c>
      <c r="X40" s="52">
        <f t="shared" si="16"/>
        <v>0</v>
      </c>
      <c r="Y40" s="53">
        <f t="shared" si="16"/>
        <v>1</v>
      </c>
      <c r="Z40" s="56">
        <f t="shared" si="16"/>
        <v>0</v>
      </c>
      <c r="AA40" s="976" t="s">
        <v>29</v>
      </c>
      <c r="AB40" s="977"/>
      <c r="AC40" s="81">
        <f t="shared" si="6"/>
        <v>1</v>
      </c>
      <c r="AD40" s="148">
        <f t="shared" si="9"/>
        <v>1</v>
      </c>
      <c r="AE40" s="148">
        <f t="shared" si="10"/>
        <v>1</v>
      </c>
      <c r="AF40" s="148">
        <f t="shared" si="11"/>
        <v>1</v>
      </c>
      <c r="AG40" s="148">
        <f t="shared" si="7"/>
        <v>1</v>
      </c>
      <c r="AH40" s="154">
        <f t="shared" si="12"/>
        <v>1</v>
      </c>
      <c r="AI40" s="82">
        <f>RE_Eglise!AG76</f>
        <v>2</v>
      </c>
      <c r="AJ40" s="83">
        <f t="shared" si="13"/>
        <v>1</v>
      </c>
      <c r="AK40" s="978"/>
      <c r="AL40" s="979"/>
    </row>
    <row r="41" spans="1:38" ht="54.95" customHeight="1">
      <c r="A41" s="779" t="s">
        <v>12</v>
      </c>
      <c r="B41" s="780"/>
      <c r="C41" s="57">
        <f>SUM(C12:C23)</f>
        <v>0</v>
      </c>
      <c r="D41" s="58">
        <f t="shared" ref="D41:Z41" si="17">SUM(D12:D23)</f>
        <v>1</v>
      </c>
      <c r="E41" s="59">
        <f t="shared" si="17"/>
        <v>0</v>
      </c>
      <c r="F41" s="60">
        <f t="shared" si="17"/>
        <v>0</v>
      </c>
      <c r="G41" s="61">
        <f t="shared" si="17"/>
        <v>0</v>
      </c>
      <c r="H41" s="58">
        <f t="shared" si="17"/>
        <v>0</v>
      </c>
      <c r="I41" s="59">
        <f t="shared" si="17"/>
        <v>0</v>
      </c>
      <c r="J41" s="60">
        <f t="shared" si="17"/>
        <v>0</v>
      </c>
      <c r="K41" s="61">
        <f t="shared" si="17"/>
        <v>0</v>
      </c>
      <c r="L41" s="58">
        <f t="shared" si="17"/>
        <v>0</v>
      </c>
      <c r="M41" s="59">
        <f t="shared" si="17"/>
        <v>0</v>
      </c>
      <c r="N41" s="60">
        <f t="shared" si="17"/>
        <v>0</v>
      </c>
      <c r="O41" s="61">
        <f t="shared" si="17"/>
        <v>0</v>
      </c>
      <c r="P41" s="58">
        <f t="shared" si="17"/>
        <v>1</v>
      </c>
      <c r="Q41" s="59">
        <f t="shared" si="17"/>
        <v>0</v>
      </c>
      <c r="R41" s="62">
        <f t="shared" si="17"/>
        <v>0</v>
      </c>
      <c r="S41" s="61">
        <f t="shared" si="17"/>
        <v>0</v>
      </c>
      <c r="T41" s="58">
        <f t="shared" si="17"/>
        <v>3</v>
      </c>
      <c r="U41" s="59">
        <f t="shared" si="17"/>
        <v>0</v>
      </c>
      <c r="V41" s="60">
        <f t="shared" si="17"/>
        <v>0</v>
      </c>
      <c r="W41" s="61">
        <f t="shared" si="17"/>
        <v>3</v>
      </c>
      <c r="X41" s="58">
        <f t="shared" si="17"/>
        <v>7</v>
      </c>
      <c r="Y41" s="59">
        <f t="shared" si="17"/>
        <v>3</v>
      </c>
      <c r="Z41" s="62">
        <f t="shared" si="17"/>
        <v>0</v>
      </c>
      <c r="AA41" s="964" t="s">
        <v>12</v>
      </c>
      <c r="AB41" s="965"/>
      <c r="AC41" s="22">
        <f t="shared" si="6"/>
        <v>18</v>
      </c>
      <c r="AD41" s="267">
        <f t="shared" si="9"/>
        <v>0.33333333333333331</v>
      </c>
      <c r="AE41" s="267">
        <f t="shared" si="10"/>
        <v>0.16666666666666666</v>
      </c>
      <c r="AF41" s="267">
        <f t="shared" si="11"/>
        <v>1</v>
      </c>
      <c r="AG41" s="267">
        <f t="shared" si="7"/>
        <v>0.72222222222222221</v>
      </c>
      <c r="AH41" s="282">
        <f t="shared" si="12"/>
        <v>16</v>
      </c>
      <c r="AI41" s="283">
        <f>RE_Eglise!AG77</f>
        <v>11</v>
      </c>
      <c r="AJ41" s="284">
        <f t="shared" si="13"/>
        <v>-5</v>
      </c>
      <c r="AK41" s="966"/>
      <c r="AL41" s="967"/>
    </row>
    <row r="42" spans="1:38" ht="54.95" customHeight="1" thickBot="1">
      <c r="A42" s="781" t="str">
        <f>IF($AC$36=MAX($AC$36:$AC$40),A36,IF($AC$37=MAX($AC$36:$AC$40),A37,IF($AC$38=MAX($AC$36:$AC$40),A38,IF($AC$39=MAX($AC$36:$AC$40),A39,A40))))</f>
        <v>de 6:30 à 7:30</v>
      </c>
      <c r="B42" s="782"/>
      <c r="C42" s="63">
        <f>IF($AC$36=MAX($AC$36:$AC$40),C36,IF($AC$37=MAX($AC$36:$AC$40),C37,IF($AC$38=MAX($AC$36:$AC$40),C38,IF($AC$39=MAX($AC$36:$AC$40),C39,C40))))</f>
        <v>0</v>
      </c>
      <c r="D42" s="64">
        <f t="shared" ref="D42:Z42" si="18">IF($AC$36=MAX($AC$36:$AC$40),D36,IF($AC$37=MAX($AC$36:$AC$40),D37,IF($AC$38=MAX($AC$36:$AC$40),D38,IF($AC$39=MAX($AC$36:$AC$40),D39,D40))))</f>
        <v>1</v>
      </c>
      <c r="E42" s="65">
        <f t="shared" si="18"/>
        <v>0</v>
      </c>
      <c r="F42" s="66">
        <f t="shared" si="18"/>
        <v>0</v>
      </c>
      <c r="G42" s="67">
        <f t="shared" si="18"/>
        <v>0</v>
      </c>
      <c r="H42" s="64">
        <f t="shared" si="18"/>
        <v>0</v>
      </c>
      <c r="I42" s="65">
        <f t="shared" si="18"/>
        <v>0</v>
      </c>
      <c r="J42" s="66">
        <f t="shared" si="18"/>
        <v>0</v>
      </c>
      <c r="K42" s="67">
        <f t="shared" si="18"/>
        <v>0</v>
      </c>
      <c r="L42" s="64">
        <f t="shared" si="18"/>
        <v>0</v>
      </c>
      <c r="M42" s="65">
        <f t="shared" si="18"/>
        <v>0</v>
      </c>
      <c r="N42" s="66">
        <f t="shared" si="18"/>
        <v>0</v>
      </c>
      <c r="O42" s="67">
        <f t="shared" si="18"/>
        <v>0</v>
      </c>
      <c r="P42" s="64">
        <f t="shared" si="18"/>
        <v>0</v>
      </c>
      <c r="Q42" s="65">
        <f t="shared" si="18"/>
        <v>0</v>
      </c>
      <c r="R42" s="68">
        <f t="shared" si="18"/>
        <v>0</v>
      </c>
      <c r="S42" s="67">
        <f t="shared" si="18"/>
        <v>0</v>
      </c>
      <c r="T42" s="64">
        <f t="shared" si="18"/>
        <v>2</v>
      </c>
      <c r="U42" s="65">
        <f t="shared" si="18"/>
        <v>0</v>
      </c>
      <c r="V42" s="66">
        <f t="shared" si="18"/>
        <v>0</v>
      </c>
      <c r="W42" s="67">
        <f t="shared" si="18"/>
        <v>1</v>
      </c>
      <c r="X42" s="64">
        <f t="shared" si="18"/>
        <v>5</v>
      </c>
      <c r="Y42" s="65">
        <f t="shared" si="18"/>
        <v>0</v>
      </c>
      <c r="Z42" s="68">
        <f t="shared" si="18"/>
        <v>0</v>
      </c>
      <c r="AA42" s="968" t="str">
        <f>A42</f>
        <v>de 6:30 à 7:30</v>
      </c>
      <c r="AB42" s="969"/>
      <c r="AC42" s="23">
        <f t="shared" si="6"/>
        <v>9</v>
      </c>
      <c r="AD42" s="268">
        <f t="shared" si="9"/>
        <v>0.1111111111111111</v>
      </c>
      <c r="AE42" s="268">
        <f t="shared" si="10"/>
        <v>0</v>
      </c>
      <c r="AF42" s="268">
        <f t="shared" si="11"/>
        <v>0</v>
      </c>
      <c r="AG42" s="268">
        <f t="shared" si="7"/>
        <v>0.66666666666666663</v>
      </c>
      <c r="AH42" s="285">
        <f t="shared" si="12"/>
        <v>8</v>
      </c>
      <c r="AI42" s="286">
        <f>RE_Eglise!AG78</f>
        <v>4</v>
      </c>
      <c r="AJ42" s="287">
        <f t="shared" si="13"/>
        <v>-4</v>
      </c>
      <c r="AK42" s="970"/>
      <c r="AL42" s="971"/>
    </row>
    <row r="43" spans="1:38" ht="12.75" customHeight="1" thickTop="1" thickBot="1">
      <c r="A43" s="125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5"/>
      <c r="T43" s="126"/>
      <c r="U43" s="126"/>
      <c r="V43" s="126"/>
      <c r="W43" s="126"/>
      <c r="X43" s="126"/>
      <c r="Y43" s="126"/>
      <c r="Z43" s="126"/>
      <c r="AA43" s="300"/>
      <c r="AB43" s="300"/>
      <c r="AC43" s="126"/>
      <c r="AD43" s="126"/>
      <c r="AE43" s="125"/>
      <c r="AF43" s="126"/>
      <c r="AG43" s="126"/>
      <c r="AH43" s="126"/>
      <c r="AI43" s="126"/>
      <c r="AJ43" s="126"/>
      <c r="AK43" s="300"/>
      <c r="AL43" s="301"/>
    </row>
    <row r="44" spans="1:38" ht="32.25" customHeight="1" thickTop="1">
      <c r="A44" s="131"/>
      <c r="B44" s="71"/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131"/>
      <c r="AB44" s="71"/>
      <c r="AC44" s="290"/>
      <c r="AD44" s="1006" t="s">
        <v>115</v>
      </c>
      <c r="AE44" s="1006" t="s">
        <v>116</v>
      </c>
      <c r="AF44" s="1006" t="s">
        <v>117</v>
      </c>
      <c r="AG44" s="1009" t="s">
        <v>19</v>
      </c>
      <c r="AH44" s="293"/>
      <c r="AI44" s="294"/>
      <c r="AJ44" s="294"/>
      <c r="AK44" s="294"/>
      <c r="AL44" s="294"/>
    </row>
    <row r="45" spans="1:38" ht="22.7" customHeight="1">
      <c r="A45" s="131"/>
      <c r="B45" s="71"/>
      <c r="C45" s="298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8"/>
      <c r="W45" s="298"/>
      <c r="X45" s="298"/>
      <c r="Y45" s="298"/>
      <c r="Z45" s="298"/>
      <c r="AA45" s="131"/>
      <c r="AB45" s="71"/>
      <c r="AC45" s="290"/>
      <c r="AD45" s="1007"/>
      <c r="AE45" s="1007"/>
      <c r="AF45" s="1007"/>
      <c r="AG45" s="1010"/>
      <c r="AH45" s="293"/>
      <c r="AI45" s="294"/>
      <c r="AJ45" s="294"/>
      <c r="AK45" s="294"/>
      <c r="AL45" s="294"/>
    </row>
    <row r="46" spans="1:38" ht="18.600000000000001" customHeight="1">
      <c r="A46" s="131"/>
      <c r="B46" s="71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  <c r="Z46" s="299"/>
      <c r="AA46" s="131"/>
      <c r="AB46" s="71"/>
      <c r="AC46" s="290"/>
      <c r="AD46" s="1007"/>
      <c r="AE46" s="1007"/>
      <c r="AF46" s="1007"/>
      <c r="AG46" s="1010"/>
      <c r="AH46" s="293"/>
      <c r="AI46" s="294"/>
      <c r="AJ46" s="294"/>
      <c r="AK46" s="294"/>
      <c r="AL46" s="294"/>
    </row>
    <row r="47" spans="1:38" ht="20.25">
      <c r="A47" s="291"/>
      <c r="B47" s="2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291"/>
      <c r="AB47" s="291"/>
      <c r="AC47" s="290"/>
      <c r="AD47" s="1008"/>
      <c r="AE47" s="1008"/>
      <c r="AF47" s="1008"/>
      <c r="AG47" s="1011"/>
      <c r="AH47" s="293"/>
      <c r="AI47" s="294"/>
      <c r="AJ47" s="294"/>
      <c r="AK47" s="294"/>
      <c r="AL47" s="294"/>
    </row>
    <row r="48" spans="1:38" ht="54.95" customHeight="1">
      <c r="A48" s="291"/>
      <c r="B48" s="291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291"/>
      <c r="AB48" s="291"/>
      <c r="AC48" s="292"/>
      <c r="AD48" s="272">
        <f>(C36+E36+G36+I36+K36+M36+O36+Q36+S36+U36+W36+Y36)</f>
        <v>1</v>
      </c>
      <c r="AE48" s="272">
        <f>(E36+F36+I36+J36+M36+N36+Q36+R36+U36+V36+Y36+Z36)</f>
        <v>0</v>
      </c>
      <c r="AF48" s="272">
        <f>(E36+I36+M36+Q36+U36+Y36)</f>
        <v>0</v>
      </c>
      <c r="AG48" s="272">
        <f>SUM(G36:J36,W36:Z36)</f>
        <v>6</v>
      </c>
      <c r="AH48" s="295"/>
      <c r="AI48" s="129"/>
      <c r="AJ48" s="129"/>
      <c r="AK48" s="296"/>
      <c r="AL48" s="296"/>
    </row>
    <row r="49" spans="1:43" ht="54.95" customHeight="1">
      <c r="A49" s="291"/>
      <c r="B49" s="291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291"/>
      <c r="AB49" s="291"/>
      <c r="AC49" s="292"/>
      <c r="AD49" s="273">
        <f t="shared" ref="AD49:AD54" si="19">(C37+E37+G37+I37+K37+M37+O37+Q37+S37+U37+W37+Y37)</f>
        <v>2</v>
      </c>
      <c r="AE49" s="273">
        <f t="shared" ref="AE49:AE54" si="20">(E37+F37+I37+J37+M37+N37+Q37+R37+U37+V37+Y37+Z37)</f>
        <v>1</v>
      </c>
      <c r="AF49" s="273">
        <f t="shared" ref="AF49:AF54" si="21">(E37+I37+M37+Q37+U37+Y37)</f>
        <v>1</v>
      </c>
      <c r="AG49" s="273">
        <f t="shared" ref="AG49:AG54" si="22">SUM(G37:J37,W37:Z37)</f>
        <v>6</v>
      </c>
      <c r="AH49" s="295"/>
      <c r="AI49" s="129"/>
      <c r="AJ49" s="129"/>
      <c r="AK49" s="296"/>
      <c r="AL49" s="296"/>
    </row>
    <row r="50" spans="1:43" ht="54.95" customHeight="1">
      <c r="A50" s="291"/>
      <c r="B50" s="291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291"/>
      <c r="AB50" s="291"/>
      <c r="AC50" s="292"/>
      <c r="AD50" s="273">
        <f t="shared" si="19"/>
        <v>4</v>
      </c>
      <c r="AE50" s="273">
        <f t="shared" si="20"/>
        <v>2</v>
      </c>
      <c r="AF50" s="273">
        <f t="shared" si="21"/>
        <v>2</v>
      </c>
      <c r="AG50" s="273">
        <f t="shared" si="22"/>
        <v>6</v>
      </c>
      <c r="AH50" s="295"/>
      <c r="AI50" s="129"/>
      <c r="AJ50" s="129"/>
      <c r="AK50" s="296"/>
      <c r="AL50" s="296"/>
    </row>
    <row r="51" spans="1:43" ht="54.95" customHeight="1">
      <c r="A51" s="291"/>
      <c r="B51" s="291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291"/>
      <c r="AB51" s="291"/>
      <c r="AC51" s="292"/>
      <c r="AD51" s="273">
        <f t="shared" si="19"/>
        <v>4</v>
      </c>
      <c r="AE51" s="273">
        <f t="shared" si="20"/>
        <v>2</v>
      </c>
      <c r="AF51" s="273">
        <f t="shared" si="21"/>
        <v>2</v>
      </c>
      <c r="AG51" s="273">
        <f t="shared" si="22"/>
        <v>4</v>
      </c>
      <c r="AH51" s="295"/>
      <c r="AI51" s="129"/>
      <c r="AJ51" s="129"/>
      <c r="AK51" s="296"/>
      <c r="AL51" s="296"/>
    </row>
    <row r="52" spans="1:43" ht="54.95" customHeight="1">
      <c r="A52" s="291"/>
      <c r="B52" s="291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291"/>
      <c r="AB52" s="291"/>
      <c r="AC52" s="292"/>
      <c r="AD52" s="274">
        <f t="shared" si="19"/>
        <v>1</v>
      </c>
      <c r="AE52" s="274">
        <f t="shared" si="20"/>
        <v>1</v>
      </c>
      <c r="AF52" s="274">
        <f t="shared" si="21"/>
        <v>1</v>
      </c>
      <c r="AG52" s="274">
        <f t="shared" si="22"/>
        <v>1</v>
      </c>
      <c r="AH52" s="295"/>
      <c r="AI52" s="129"/>
      <c r="AJ52" s="129"/>
      <c r="AK52" s="296"/>
      <c r="AL52" s="296"/>
    </row>
    <row r="53" spans="1:43" ht="54.95" customHeight="1">
      <c r="A53" s="291"/>
      <c r="B53" s="291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291"/>
      <c r="AB53" s="291"/>
      <c r="AC53" s="292"/>
      <c r="AD53" s="275">
        <f t="shared" si="19"/>
        <v>6</v>
      </c>
      <c r="AE53" s="275">
        <f t="shared" si="20"/>
        <v>3</v>
      </c>
      <c r="AF53" s="275">
        <f t="shared" si="21"/>
        <v>3</v>
      </c>
      <c r="AG53" s="275">
        <f t="shared" si="22"/>
        <v>13</v>
      </c>
      <c r="AH53" s="295"/>
      <c r="AI53" s="129"/>
      <c r="AJ53" s="129"/>
      <c r="AK53" s="296"/>
      <c r="AL53" s="296"/>
    </row>
    <row r="54" spans="1:43" ht="54.95" customHeight="1" thickBot="1">
      <c r="A54" s="291"/>
      <c r="B54" s="291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291"/>
      <c r="AB54" s="291"/>
      <c r="AC54" s="292"/>
      <c r="AD54" s="276">
        <f t="shared" si="19"/>
        <v>1</v>
      </c>
      <c r="AE54" s="276">
        <f t="shared" si="20"/>
        <v>0</v>
      </c>
      <c r="AF54" s="276">
        <f t="shared" si="21"/>
        <v>0</v>
      </c>
      <c r="AG54" s="276">
        <f t="shared" si="22"/>
        <v>6</v>
      </c>
      <c r="AH54" s="295"/>
      <c r="AI54" s="129"/>
      <c r="AJ54" s="129"/>
      <c r="AK54" s="296"/>
      <c r="AL54" s="296"/>
    </row>
    <row r="55" spans="1:43" ht="24" thickTop="1">
      <c r="A55" s="270"/>
      <c r="B55" s="270"/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270"/>
      <c r="AB55" s="270"/>
      <c r="AC55" s="281"/>
      <c r="AD55" s="21"/>
      <c r="AE55" s="20"/>
      <c r="AF55" s="21"/>
      <c r="AG55" s="21"/>
      <c r="AH55" s="155"/>
      <c r="AI55" s="155"/>
      <c r="AJ55" s="155"/>
      <c r="AK55" s="7"/>
    </row>
    <row r="56" spans="1:43" ht="20.25">
      <c r="A56" s="1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1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1"/>
      <c r="AF56" s="7"/>
      <c r="AG56" s="7"/>
      <c r="AH56" s="155"/>
      <c r="AI56" s="155"/>
      <c r="AJ56" s="155"/>
      <c r="AK56" s="7"/>
    </row>
    <row r="57" spans="1:43" ht="20.25">
      <c r="A57" s="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1"/>
      <c r="AD57" s="7"/>
      <c r="AE57" s="7"/>
      <c r="AF57" s="7"/>
      <c r="AG57" s="7"/>
      <c r="AH57" s="7"/>
      <c r="AI57" s="7"/>
      <c r="AJ57" s="7"/>
      <c r="AK57" s="7"/>
      <c r="AL57" s="1"/>
      <c r="AM57" s="7"/>
      <c r="AN57" s="7"/>
      <c r="AO57" s="7"/>
      <c r="AP57" s="7"/>
      <c r="AQ57" s="7"/>
    </row>
    <row r="58" spans="1:43" ht="20.25">
      <c r="A58" s="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1"/>
      <c r="AD58" s="7"/>
      <c r="AE58" s="7"/>
      <c r="AF58" s="7"/>
      <c r="AG58" s="7"/>
      <c r="AH58" s="7"/>
      <c r="AI58" s="7"/>
      <c r="AJ58" s="7"/>
      <c r="AK58" s="7"/>
      <c r="AL58" s="1"/>
      <c r="AM58" s="7"/>
      <c r="AN58" s="7"/>
      <c r="AO58" s="7"/>
      <c r="AP58" s="7"/>
      <c r="AQ58" s="7"/>
    </row>
    <row r="59" spans="1:43" ht="20.25">
      <c r="A59" s="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1"/>
      <c r="AD59" s="7"/>
      <c r="AE59" s="7"/>
      <c r="AF59" s="7"/>
      <c r="AG59" s="7"/>
      <c r="AH59" s="7"/>
      <c r="AI59" s="7"/>
      <c r="AJ59" s="7"/>
      <c r="AK59" s="7"/>
      <c r="AL59" s="1"/>
      <c r="AM59" s="7"/>
      <c r="AN59" s="7"/>
      <c r="AO59" s="7"/>
      <c r="AP59" s="7"/>
      <c r="AQ59" s="7"/>
    </row>
    <row r="60" spans="1:43" ht="20.25">
      <c r="A60" s="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1"/>
      <c r="AD60" s="7"/>
      <c r="AE60" s="7"/>
      <c r="AF60" s="7"/>
      <c r="AG60" s="7"/>
      <c r="AH60" s="7"/>
      <c r="AI60" s="7"/>
      <c r="AJ60" s="7"/>
      <c r="AK60" s="7"/>
      <c r="AL60" s="1"/>
      <c r="AM60" s="7"/>
      <c r="AN60" s="7"/>
      <c r="AO60" s="7"/>
      <c r="AP60" s="7"/>
      <c r="AQ60" s="7"/>
    </row>
    <row r="61" spans="1:43" ht="20.25">
      <c r="A61" s="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1"/>
      <c r="AD61" s="7"/>
      <c r="AE61" s="7"/>
      <c r="AF61" s="7"/>
      <c r="AG61" s="7"/>
      <c r="AH61" s="7"/>
      <c r="AI61" s="7"/>
      <c r="AJ61" s="7"/>
      <c r="AK61" s="7"/>
      <c r="AL61" s="1"/>
      <c r="AM61" s="7"/>
      <c r="AN61" s="7"/>
      <c r="AO61" s="7"/>
      <c r="AP61" s="7"/>
      <c r="AQ61" s="7"/>
    </row>
    <row r="62" spans="1:43" ht="20.25">
      <c r="A62" s="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1"/>
      <c r="AD62" s="7"/>
      <c r="AE62" s="7"/>
      <c r="AF62" s="7"/>
      <c r="AG62" s="7"/>
      <c r="AH62" s="7"/>
      <c r="AI62" s="7"/>
      <c r="AJ62" s="7"/>
      <c r="AK62" s="7"/>
      <c r="AL62" s="1"/>
      <c r="AM62" s="7"/>
      <c r="AN62" s="7"/>
      <c r="AO62" s="7"/>
      <c r="AP62" s="7"/>
      <c r="AQ62" s="7"/>
    </row>
    <row r="63" spans="1:43" ht="20.25">
      <c r="F63" s="7"/>
      <c r="G63" s="7"/>
      <c r="H63" s="7"/>
      <c r="I63" s="7"/>
      <c r="J63" s="7"/>
      <c r="K63" s="7"/>
      <c r="L63" s="7"/>
      <c r="M63" s="7"/>
      <c r="S63" s="7"/>
      <c r="T63" s="7"/>
      <c r="U63" s="7"/>
    </row>
    <row r="64" spans="1:43" ht="20.25">
      <c r="F64" s="7"/>
      <c r="G64" s="7"/>
      <c r="H64" s="7"/>
      <c r="I64" s="7"/>
      <c r="J64" s="7"/>
      <c r="K64" s="7"/>
      <c r="L64" s="7"/>
      <c r="M64" s="7"/>
      <c r="S64" s="7"/>
      <c r="T64" s="7"/>
      <c r="U64" s="7"/>
    </row>
  </sheetData>
  <mergeCells count="77">
    <mergeCell ref="AD44:AD47"/>
    <mergeCell ref="AE44:AE47"/>
    <mergeCell ref="AF44:AF47"/>
    <mergeCell ref="AG44:AG47"/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E32:AE35"/>
    <mergeCell ref="W33:Z33"/>
    <mergeCell ref="S32:Z32"/>
    <mergeCell ref="AC32:AC35"/>
    <mergeCell ref="AD32:AD35"/>
    <mergeCell ref="S33:V33"/>
    <mergeCell ref="U34:V34"/>
    <mergeCell ref="W34:X34"/>
    <mergeCell ref="Y34:Z34"/>
    <mergeCell ref="C32:J32"/>
    <mergeCell ref="K32:R32"/>
    <mergeCell ref="C33:F33"/>
    <mergeCell ref="G33:J33"/>
    <mergeCell ref="K33:N33"/>
    <mergeCell ref="O33:R33"/>
    <mergeCell ref="AF32:AF35"/>
    <mergeCell ref="AG32:AG35"/>
    <mergeCell ref="AH32:AH35"/>
    <mergeCell ref="AI32:AI35"/>
    <mergeCell ref="AJ32:AL35"/>
    <mergeCell ref="A35:B35"/>
    <mergeCell ref="AA35:AB35"/>
    <mergeCell ref="I34:J34"/>
    <mergeCell ref="K34:L34"/>
    <mergeCell ref="M34:N34"/>
    <mergeCell ref="O34:P34"/>
    <mergeCell ref="Q34:R34"/>
    <mergeCell ref="S34:T34"/>
    <mergeCell ref="C34:D34"/>
    <mergeCell ref="E34:F34"/>
    <mergeCell ref="G34:H34"/>
    <mergeCell ref="AK36:AL36"/>
    <mergeCell ref="A37:B37"/>
    <mergeCell ref="AA37:AB37"/>
    <mergeCell ref="AK37:AL37"/>
    <mergeCell ref="A38:B38"/>
    <mergeCell ref="AA38:AB38"/>
    <mergeCell ref="AK38:AL38"/>
    <mergeCell ref="A36:B36"/>
    <mergeCell ref="AA36:AB36"/>
    <mergeCell ref="A39:B39"/>
    <mergeCell ref="AA39:AB39"/>
    <mergeCell ref="AK39:AL39"/>
    <mergeCell ref="A40:B40"/>
    <mergeCell ref="AA40:AB40"/>
    <mergeCell ref="AK40:AL40"/>
    <mergeCell ref="A41:B41"/>
    <mergeCell ref="AA41:AB41"/>
    <mergeCell ref="AK41:AL41"/>
    <mergeCell ref="A42:B42"/>
    <mergeCell ref="AA42:AB42"/>
    <mergeCell ref="AK42:AL42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M55"/>
  <sheetViews>
    <sheetView view="pageBreakPreview" zoomScale="50" zoomScaleNormal="40" zoomScaleSheetLayoutView="50" workbookViewId="0">
      <selection activeCell="H13" sqref="H13"/>
    </sheetView>
  </sheetViews>
  <sheetFormatPr baseColWidth="10" defaultRowHeight="14.25"/>
  <cols>
    <col min="1" max="1" width="9.125" style="169" customWidth="1"/>
    <col min="2" max="2" width="13.75" style="169" customWidth="1"/>
    <col min="3" max="26" width="10.875" style="169" customWidth="1"/>
    <col min="27" max="27" width="9.125" style="169" customWidth="1"/>
    <col min="28" max="28" width="13.75" style="169" customWidth="1"/>
    <col min="29" max="36" width="21.125" style="169" customWidth="1"/>
    <col min="37" max="37" width="82.625" style="169" customWidth="1"/>
    <col min="38" max="38" width="21.125" style="169" customWidth="1"/>
    <col min="39" max="43" width="10.625" style="169" customWidth="1"/>
    <col min="44" max="16384" width="11" style="169"/>
  </cols>
  <sheetData>
    <row r="1" spans="1:36" ht="52.5" customHeight="1" thickBot="1">
      <c r="A1" s="500" t="s">
        <v>89</v>
      </c>
      <c r="B1" s="168" t="s">
        <v>93</v>
      </c>
      <c r="C1" s="501"/>
      <c r="D1" s="501"/>
      <c r="E1" s="501"/>
      <c r="F1" s="502"/>
      <c r="G1" s="502"/>
      <c r="H1" s="501"/>
      <c r="I1" s="501"/>
      <c r="J1" s="502"/>
      <c r="K1" s="502"/>
      <c r="L1" s="503"/>
      <c r="M1" s="504" t="s">
        <v>30</v>
      </c>
      <c r="N1" s="443" t="s">
        <v>141</v>
      </c>
      <c r="O1" s="501"/>
      <c r="P1" s="501"/>
      <c r="Q1" s="501"/>
      <c r="R1" s="501"/>
      <c r="S1" s="501"/>
      <c r="T1" s="501"/>
      <c r="U1" s="501"/>
      <c r="V1" s="505"/>
      <c r="W1" s="506"/>
      <c r="X1" s="506"/>
      <c r="Y1" s="506"/>
      <c r="Z1" s="507"/>
    </row>
    <row r="2" spans="1:36" ht="52.5" customHeight="1" thickBot="1">
      <c r="A2" s="508" t="s">
        <v>2</v>
      </c>
      <c r="B2" s="509"/>
      <c r="C2" s="509"/>
      <c r="D2" s="509"/>
      <c r="E2" s="509"/>
      <c r="F2" s="509"/>
      <c r="G2" s="168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5"/>
      <c r="W2" s="509"/>
      <c r="X2" s="509"/>
      <c r="Y2" s="509"/>
      <c r="Z2" s="509"/>
    </row>
    <row r="3" spans="1:36" ht="52.5" customHeight="1" thickBot="1">
      <c r="A3" s="508" t="s">
        <v>3</v>
      </c>
      <c r="B3" s="509"/>
      <c r="C3" s="168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5"/>
      <c r="W3" s="509"/>
      <c r="X3" s="509"/>
      <c r="Y3" s="509"/>
      <c r="Z3" s="510"/>
    </row>
    <row r="4" spans="1:36" ht="52.5" customHeight="1" thickBot="1">
      <c r="A4" s="508" t="s">
        <v>27</v>
      </c>
      <c r="B4" s="509"/>
      <c r="C4" s="168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  <c r="P4" s="501"/>
      <c r="Q4" s="501"/>
      <c r="R4" s="501"/>
      <c r="S4" s="501"/>
      <c r="T4" s="501"/>
      <c r="U4" s="501"/>
      <c r="V4" s="505"/>
      <c r="W4" s="509"/>
      <c r="X4" s="509"/>
      <c r="Y4" s="509"/>
      <c r="Z4" s="510"/>
    </row>
    <row r="5" spans="1:36" ht="25.5" customHeight="1">
      <c r="A5" s="508" t="s">
        <v>71</v>
      </c>
      <c r="B5" s="509"/>
      <c r="C5" s="509" t="s">
        <v>72</v>
      </c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10"/>
      <c r="S5" s="509"/>
      <c r="T5" s="509"/>
      <c r="U5" s="509"/>
      <c r="V5" s="509"/>
      <c r="W5" s="509"/>
      <c r="X5" s="509"/>
      <c r="Y5" s="509"/>
      <c r="Z5" s="510"/>
    </row>
    <row r="6" spans="1:36" ht="25.5" customHeight="1">
      <c r="A6" s="511"/>
      <c r="B6" s="509"/>
      <c r="C6" s="509" t="s">
        <v>91</v>
      </c>
      <c r="D6" s="509"/>
      <c r="E6" s="509"/>
      <c r="F6" s="509"/>
      <c r="G6" s="509"/>
      <c r="H6" s="509"/>
      <c r="I6" s="509"/>
      <c r="J6" s="509"/>
      <c r="K6" s="509"/>
      <c r="L6" s="509"/>
      <c r="M6" s="509"/>
      <c r="N6" s="509"/>
      <c r="O6" s="509"/>
      <c r="P6" s="509"/>
      <c r="Q6" s="509"/>
      <c r="R6" s="510"/>
      <c r="S6" s="509"/>
      <c r="T6" s="509"/>
      <c r="U6" s="509"/>
      <c r="V6" s="509"/>
      <c r="W6" s="509"/>
      <c r="X6" s="509"/>
      <c r="Y6" s="509"/>
      <c r="Z6" s="510"/>
    </row>
    <row r="7" spans="1:36" ht="25.5" customHeight="1" thickBot="1">
      <c r="A7" s="511"/>
      <c r="B7" s="509"/>
      <c r="C7" s="509"/>
      <c r="D7" s="509"/>
      <c r="E7" s="509"/>
      <c r="F7" s="509"/>
      <c r="G7" s="509"/>
      <c r="H7" s="509"/>
      <c r="I7" s="509"/>
      <c r="J7" s="509"/>
      <c r="K7" s="509"/>
      <c r="L7" s="509"/>
      <c r="M7" s="509"/>
      <c r="N7" s="509"/>
      <c r="O7" s="509"/>
      <c r="P7" s="509"/>
      <c r="Q7" s="509"/>
      <c r="R7" s="510"/>
      <c r="S7" s="509"/>
      <c r="T7" s="509"/>
      <c r="U7" s="509"/>
      <c r="V7" s="509"/>
      <c r="W7" s="509"/>
      <c r="X7" s="509"/>
      <c r="Y7" s="509"/>
      <c r="Z7" s="510"/>
    </row>
    <row r="8" spans="1:36" ht="32.25" customHeight="1" thickTop="1">
      <c r="A8" s="512"/>
      <c r="B8" s="513"/>
      <c r="C8" s="856" t="s">
        <v>81</v>
      </c>
      <c r="D8" s="857"/>
      <c r="E8" s="857"/>
      <c r="F8" s="857"/>
      <c r="G8" s="857"/>
      <c r="H8" s="857"/>
      <c r="I8" s="857"/>
      <c r="J8" s="857"/>
      <c r="K8" s="857" t="s">
        <v>39</v>
      </c>
      <c r="L8" s="857"/>
      <c r="M8" s="857"/>
      <c r="N8" s="857"/>
      <c r="O8" s="857"/>
      <c r="P8" s="857"/>
      <c r="Q8" s="857"/>
      <c r="R8" s="858"/>
      <c r="S8" s="857" t="s">
        <v>46</v>
      </c>
      <c r="T8" s="857"/>
      <c r="U8" s="857"/>
      <c r="V8" s="857"/>
      <c r="W8" s="857"/>
      <c r="X8" s="857"/>
      <c r="Y8" s="857"/>
      <c r="Z8" s="858"/>
      <c r="AA8" s="170"/>
      <c r="AB8" s="170"/>
      <c r="AD8" s="171"/>
      <c r="AE8" s="171"/>
      <c r="AF8" s="171"/>
      <c r="AG8" s="171"/>
      <c r="AH8" s="171"/>
      <c r="AI8" s="171"/>
      <c r="AJ8" s="171"/>
    </row>
    <row r="9" spans="1:36" ht="22.7" customHeight="1">
      <c r="A9" s="512"/>
      <c r="B9" s="513"/>
      <c r="C9" s="859" t="s">
        <v>37</v>
      </c>
      <c r="D9" s="860"/>
      <c r="E9" s="860"/>
      <c r="F9" s="860"/>
      <c r="G9" s="861" t="s">
        <v>45</v>
      </c>
      <c r="H9" s="861"/>
      <c r="I9" s="861"/>
      <c r="J9" s="861"/>
      <c r="K9" s="860" t="s">
        <v>82</v>
      </c>
      <c r="L9" s="860"/>
      <c r="M9" s="860"/>
      <c r="N9" s="860"/>
      <c r="O9" s="861" t="s">
        <v>45</v>
      </c>
      <c r="P9" s="861"/>
      <c r="Q9" s="861"/>
      <c r="R9" s="862"/>
      <c r="S9" s="860" t="s">
        <v>37</v>
      </c>
      <c r="T9" s="860"/>
      <c r="U9" s="860"/>
      <c r="V9" s="860"/>
      <c r="W9" s="861" t="s">
        <v>82</v>
      </c>
      <c r="X9" s="861"/>
      <c r="Y9" s="861"/>
      <c r="Z9" s="862"/>
      <c r="AA9" s="170"/>
      <c r="AB9" s="170"/>
    </row>
    <row r="10" spans="1:36" ht="18.600000000000001" customHeight="1" thickBot="1">
      <c r="A10" s="512"/>
      <c r="B10" s="513"/>
      <c r="C10" s="865" t="s">
        <v>4</v>
      </c>
      <c r="D10" s="866"/>
      <c r="E10" s="863" t="s">
        <v>5</v>
      </c>
      <c r="F10" s="867"/>
      <c r="G10" s="868" t="s">
        <v>4</v>
      </c>
      <c r="H10" s="866"/>
      <c r="I10" s="863" t="s">
        <v>5</v>
      </c>
      <c r="J10" s="867"/>
      <c r="K10" s="868" t="s">
        <v>4</v>
      </c>
      <c r="L10" s="866"/>
      <c r="M10" s="863" t="s">
        <v>5</v>
      </c>
      <c r="N10" s="867"/>
      <c r="O10" s="868" t="s">
        <v>4</v>
      </c>
      <c r="P10" s="866"/>
      <c r="Q10" s="863" t="s">
        <v>5</v>
      </c>
      <c r="R10" s="864"/>
      <c r="S10" s="868" t="s">
        <v>4</v>
      </c>
      <c r="T10" s="866"/>
      <c r="U10" s="863" t="s">
        <v>5</v>
      </c>
      <c r="V10" s="867"/>
      <c r="W10" s="868" t="s">
        <v>4</v>
      </c>
      <c r="X10" s="866"/>
      <c r="Y10" s="863" t="s">
        <v>5</v>
      </c>
      <c r="Z10" s="864"/>
      <c r="AA10" s="170"/>
      <c r="AB10" s="170"/>
    </row>
    <row r="11" spans="1:36" ht="21" thickTop="1">
      <c r="A11" s="514" t="s">
        <v>6</v>
      </c>
      <c r="B11" s="515" t="s">
        <v>7</v>
      </c>
      <c r="C11" s="516" t="s">
        <v>8</v>
      </c>
      <c r="D11" s="517" t="s">
        <v>9</v>
      </c>
      <c r="E11" s="518" t="s">
        <v>8</v>
      </c>
      <c r="F11" s="519" t="s">
        <v>9</v>
      </c>
      <c r="G11" s="520" t="s">
        <v>8</v>
      </c>
      <c r="H11" s="517" t="s">
        <v>9</v>
      </c>
      <c r="I11" s="518" t="s">
        <v>8</v>
      </c>
      <c r="J11" s="519" t="s">
        <v>9</v>
      </c>
      <c r="K11" s="520" t="s">
        <v>8</v>
      </c>
      <c r="L11" s="517" t="s">
        <v>9</v>
      </c>
      <c r="M11" s="518" t="s">
        <v>8</v>
      </c>
      <c r="N11" s="519" t="s">
        <v>9</v>
      </c>
      <c r="O11" s="520" t="s">
        <v>8</v>
      </c>
      <c r="P11" s="517" t="s">
        <v>9</v>
      </c>
      <c r="Q11" s="518" t="s">
        <v>8</v>
      </c>
      <c r="R11" s="521" t="s">
        <v>9</v>
      </c>
      <c r="S11" s="520" t="s">
        <v>8</v>
      </c>
      <c r="T11" s="517" t="s">
        <v>9</v>
      </c>
      <c r="U11" s="518" t="s">
        <v>8</v>
      </c>
      <c r="V11" s="519" t="s">
        <v>9</v>
      </c>
      <c r="W11" s="520" t="s">
        <v>8</v>
      </c>
      <c r="X11" s="517" t="s">
        <v>9</v>
      </c>
      <c r="Y11" s="518" t="s">
        <v>8</v>
      </c>
      <c r="Z11" s="521" t="s">
        <v>9</v>
      </c>
      <c r="AA11" s="170"/>
      <c r="AB11" s="170"/>
      <c r="AC11" s="172"/>
    </row>
    <row r="12" spans="1:36" ht="54.95" customHeight="1">
      <c r="A12" s="522">
        <v>6</v>
      </c>
      <c r="B12" s="523" t="s">
        <v>25</v>
      </c>
      <c r="C12" s="173"/>
      <c r="D12" s="174"/>
      <c r="E12" s="175"/>
      <c r="F12" s="176"/>
      <c r="G12" s="177"/>
      <c r="H12" s="174"/>
      <c r="I12" s="175"/>
      <c r="J12" s="176"/>
      <c r="K12" s="177"/>
      <c r="L12" s="174"/>
      <c r="M12" s="175"/>
      <c r="N12" s="176"/>
      <c r="O12" s="177"/>
      <c r="P12" s="174"/>
      <c r="Q12" s="175"/>
      <c r="R12" s="178"/>
      <c r="S12" s="177"/>
      <c r="T12" s="174"/>
      <c r="U12" s="175"/>
      <c r="V12" s="176"/>
      <c r="W12" s="177"/>
      <c r="X12" s="174"/>
      <c r="Y12" s="175"/>
      <c r="Z12" s="178"/>
      <c r="AA12" s="170"/>
      <c r="AB12" s="170"/>
      <c r="AC12" s="179"/>
      <c r="AD12" s="179"/>
      <c r="AE12" s="179"/>
      <c r="AF12" s="179"/>
      <c r="AG12" s="179"/>
      <c r="AH12" s="179"/>
      <c r="AI12" s="179"/>
      <c r="AJ12" s="179"/>
    </row>
    <row r="13" spans="1:36" ht="54.95" customHeight="1">
      <c r="A13" s="522"/>
      <c r="B13" s="523" t="s">
        <v>26</v>
      </c>
      <c r="C13" s="173"/>
      <c r="D13" s="174"/>
      <c r="E13" s="175"/>
      <c r="F13" s="176"/>
      <c r="G13" s="177"/>
      <c r="H13" s="174"/>
      <c r="I13" s="175"/>
      <c r="J13" s="176"/>
      <c r="K13" s="177"/>
      <c r="L13" s="174"/>
      <c r="M13" s="175"/>
      <c r="N13" s="176"/>
      <c r="O13" s="177"/>
      <c r="P13" s="174"/>
      <c r="Q13" s="175"/>
      <c r="R13" s="178"/>
      <c r="S13" s="177"/>
      <c r="T13" s="174"/>
      <c r="U13" s="175"/>
      <c r="V13" s="176"/>
      <c r="W13" s="177"/>
      <c r="X13" s="174"/>
      <c r="Y13" s="175"/>
      <c r="Z13" s="178"/>
      <c r="AA13" s="170"/>
      <c r="AB13" s="170"/>
      <c r="AC13" s="179"/>
      <c r="AD13" s="179"/>
      <c r="AE13" s="179"/>
      <c r="AF13" s="179"/>
      <c r="AG13" s="179"/>
      <c r="AH13" s="179"/>
      <c r="AI13" s="179"/>
      <c r="AJ13" s="179"/>
    </row>
    <row r="14" spans="1:36" ht="54.95" customHeight="1">
      <c r="A14" s="522">
        <v>7</v>
      </c>
      <c r="B14" s="523" t="s">
        <v>23</v>
      </c>
      <c r="C14" s="173"/>
      <c r="D14" s="174"/>
      <c r="E14" s="175"/>
      <c r="F14" s="176"/>
      <c r="G14" s="177"/>
      <c r="H14" s="174"/>
      <c r="I14" s="175"/>
      <c r="J14" s="176"/>
      <c r="K14" s="177"/>
      <c r="L14" s="174"/>
      <c r="M14" s="175"/>
      <c r="N14" s="176"/>
      <c r="O14" s="177"/>
      <c r="P14" s="174"/>
      <c r="Q14" s="175"/>
      <c r="R14" s="178"/>
      <c r="S14" s="177"/>
      <c r="T14" s="174"/>
      <c r="U14" s="175"/>
      <c r="V14" s="176"/>
      <c r="W14" s="177"/>
      <c r="X14" s="174"/>
      <c r="Y14" s="175"/>
      <c r="Z14" s="178"/>
      <c r="AA14" s="170"/>
      <c r="AB14" s="170"/>
      <c r="AC14" s="179"/>
      <c r="AD14" s="179"/>
      <c r="AE14" s="179"/>
      <c r="AF14" s="179"/>
      <c r="AG14" s="179"/>
      <c r="AH14" s="179"/>
      <c r="AI14" s="179"/>
      <c r="AJ14" s="179"/>
    </row>
    <row r="15" spans="1:36" ht="54.95" customHeight="1">
      <c r="A15" s="522"/>
      <c r="B15" s="523" t="s">
        <v>24</v>
      </c>
      <c r="C15" s="173"/>
      <c r="D15" s="174"/>
      <c r="E15" s="175"/>
      <c r="F15" s="176"/>
      <c r="G15" s="177"/>
      <c r="H15" s="174"/>
      <c r="I15" s="175"/>
      <c r="J15" s="176"/>
      <c r="K15" s="177"/>
      <c r="L15" s="174"/>
      <c r="M15" s="175"/>
      <c r="N15" s="176"/>
      <c r="O15" s="177"/>
      <c r="P15" s="174"/>
      <c r="Q15" s="175"/>
      <c r="R15" s="178"/>
      <c r="S15" s="177"/>
      <c r="T15" s="174"/>
      <c r="U15" s="175"/>
      <c r="V15" s="176"/>
      <c r="W15" s="177"/>
      <c r="X15" s="174"/>
      <c r="Y15" s="175"/>
      <c r="Z15" s="178"/>
      <c r="AA15" s="170"/>
      <c r="AB15" s="170"/>
      <c r="AC15" s="179"/>
      <c r="AD15" s="179"/>
      <c r="AE15" s="179"/>
      <c r="AF15" s="179"/>
      <c r="AG15" s="179"/>
      <c r="AH15" s="179"/>
      <c r="AI15" s="179"/>
      <c r="AJ15" s="179"/>
    </row>
    <row r="16" spans="1:36" ht="54.95" customHeight="1">
      <c r="A16" s="522"/>
      <c r="B16" s="523" t="s">
        <v>25</v>
      </c>
      <c r="C16" s="173"/>
      <c r="D16" s="174"/>
      <c r="E16" s="175"/>
      <c r="F16" s="176"/>
      <c r="G16" s="177"/>
      <c r="H16" s="174"/>
      <c r="I16" s="175"/>
      <c r="J16" s="176"/>
      <c r="K16" s="177"/>
      <c r="L16" s="174"/>
      <c r="M16" s="175"/>
      <c r="N16" s="176"/>
      <c r="O16" s="177"/>
      <c r="P16" s="174"/>
      <c r="Q16" s="175"/>
      <c r="R16" s="178"/>
      <c r="S16" s="177"/>
      <c r="T16" s="174"/>
      <c r="U16" s="175"/>
      <c r="V16" s="176"/>
      <c r="W16" s="177"/>
      <c r="X16" s="174"/>
      <c r="Y16" s="175"/>
      <c r="Z16" s="178"/>
      <c r="AA16" s="170"/>
      <c r="AB16" s="170"/>
      <c r="AC16" s="179"/>
      <c r="AD16" s="179"/>
      <c r="AE16" s="179"/>
      <c r="AF16" s="179"/>
      <c r="AG16" s="179"/>
      <c r="AH16" s="179"/>
      <c r="AI16" s="179"/>
      <c r="AJ16" s="179"/>
    </row>
    <row r="17" spans="1:39" ht="54.95" customHeight="1">
      <c r="A17" s="522"/>
      <c r="B17" s="523" t="s">
        <v>26</v>
      </c>
      <c r="C17" s="173"/>
      <c r="D17" s="174"/>
      <c r="E17" s="175"/>
      <c r="F17" s="176"/>
      <c r="G17" s="177"/>
      <c r="H17" s="174"/>
      <c r="I17" s="175"/>
      <c r="J17" s="176"/>
      <c r="K17" s="177"/>
      <c r="L17" s="174"/>
      <c r="M17" s="175"/>
      <c r="N17" s="176"/>
      <c r="O17" s="177"/>
      <c r="P17" s="174"/>
      <c r="Q17" s="175"/>
      <c r="R17" s="178"/>
      <c r="S17" s="177"/>
      <c r="T17" s="174"/>
      <c r="U17" s="175"/>
      <c r="V17" s="176"/>
      <c r="W17" s="177"/>
      <c r="X17" s="174"/>
      <c r="Y17" s="175"/>
      <c r="Z17" s="178"/>
      <c r="AA17" s="170"/>
      <c r="AB17" s="170"/>
      <c r="AC17" s="179"/>
      <c r="AD17" s="179"/>
      <c r="AE17" s="179"/>
      <c r="AF17" s="179"/>
      <c r="AG17" s="179"/>
      <c r="AH17" s="179"/>
      <c r="AI17" s="179"/>
      <c r="AJ17" s="179"/>
    </row>
    <row r="18" spans="1:39" ht="54.95" customHeight="1">
      <c r="A18" s="522">
        <v>8</v>
      </c>
      <c r="B18" s="523" t="s">
        <v>23</v>
      </c>
      <c r="C18" s="173"/>
      <c r="D18" s="174"/>
      <c r="E18" s="175"/>
      <c r="F18" s="176"/>
      <c r="G18" s="177"/>
      <c r="H18" s="174"/>
      <c r="I18" s="175"/>
      <c r="J18" s="176"/>
      <c r="K18" s="177"/>
      <c r="L18" s="174"/>
      <c r="M18" s="175"/>
      <c r="N18" s="176"/>
      <c r="O18" s="177"/>
      <c r="P18" s="174"/>
      <c r="Q18" s="175"/>
      <c r="R18" s="178"/>
      <c r="S18" s="177"/>
      <c r="T18" s="174"/>
      <c r="U18" s="175"/>
      <c r="V18" s="176"/>
      <c r="W18" s="177"/>
      <c r="X18" s="174"/>
      <c r="Y18" s="175"/>
      <c r="Z18" s="178"/>
      <c r="AA18" s="170"/>
      <c r="AB18" s="170"/>
      <c r="AC18" s="179"/>
      <c r="AD18" s="179"/>
      <c r="AE18" s="179"/>
      <c r="AF18" s="179"/>
      <c r="AG18" s="179"/>
      <c r="AH18" s="179"/>
      <c r="AI18" s="179"/>
      <c r="AJ18" s="179"/>
    </row>
    <row r="19" spans="1:39" ht="54.95" customHeight="1">
      <c r="A19" s="522"/>
      <c r="B19" s="523" t="s">
        <v>24</v>
      </c>
      <c r="C19" s="173"/>
      <c r="D19" s="174"/>
      <c r="E19" s="175"/>
      <c r="F19" s="176"/>
      <c r="G19" s="177"/>
      <c r="H19" s="174"/>
      <c r="I19" s="175"/>
      <c r="J19" s="176"/>
      <c r="K19" s="177"/>
      <c r="L19" s="174"/>
      <c r="M19" s="175"/>
      <c r="N19" s="176"/>
      <c r="O19" s="177"/>
      <c r="P19" s="174"/>
      <c r="Q19" s="175"/>
      <c r="R19" s="178"/>
      <c r="S19" s="177"/>
      <c r="T19" s="174"/>
      <c r="U19" s="175"/>
      <c r="V19" s="176"/>
      <c r="W19" s="177"/>
      <c r="X19" s="174"/>
      <c r="Y19" s="175"/>
      <c r="Z19" s="178"/>
      <c r="AA19" s="170"/>
      <c r="AB19" s="170"/>
      <c r="AC19" s="179"/>
      <c r="AD19" s="179"/>
      <c r="AE19" s="179"/>
      <c r="AF19" s="179"/>
      <c r="AG19" s="179"/>
      <c r="AH19" s="179"/>
      <c r="AI19" s="179"/>
      <c r="AJ19" s="179"/>
    </row>
    <row r="20" spans="1:39" ht="54.95" customHeight="1">
      <c r="A20" s="522"/>
      <c r="B20" s="523" t="s">
        <v>25</v>
      </c>
      <c r="C20" s="173"/>
      <c r="D20" s="174"/>
      <c r="E20" s="175"/>
      <c r="F20" s="176"/>
      <c r="G20" s="177"/>
      <c r="H20" s="174"/>
      <c r="I20" s="175"/>
      <c r="J20" s="176"/>
      <c r="K20" s="177"/>
      <c r="L20" s="174"/>
      <c r="M20" s="175"/>
      <c r="N20" s="176"/>
      <c r="O20" s="177"/>
      <c r="P20" s="174"/>
      <c r="Q20" s="175"/>
      <c r="R20" s="178"/>
      <c r="S20" s="177"/>
      <c r="T20" s="174"/>
      <c r="U20" s="175"/>
      <c r="V20" s="176"/>
      <c r="W20" s="177"/>
      <c r="X20" s="174"/>
      <c r="Y20" s="175"/>
      <c r="Z20" s="178"/>
      <c r="AA20" s="170"/>
      <c r="AB20" s="170"/>
      <c r="AC20" s="179"/>
      <c r="AD20" s="179"/>
      <c r="AE20" s="179"/>
      <c r="AF20" s="179"/>
      <c r="AG20" s="179"/>
      <c r="AH20" s="179"/>
      <c r="AI20" s="179"/>
      <c r="AJ20" s="179"/>
    </row>
    <row r="21" spans="1:39" ht="54.95" customHeight="1">
      <c r="A21" s="522"/>
      <c r="B21" s="523" t="s">
        <v>26</v>
      </c>
      <c r="C21" s="173"/>
      <c r="D21" s="174"/>
      <c r="E21" s="175"/>
      <c r="F21" s="176"/>
      <c r="G21" s="177"/>
      <c r="H21" s="174"/>
      <c r="I21" s="175"/>
      <c r="J21" s="176"/>
      <c r="K21" s="177"/>
      <c r="L21" s="174"/>
      <c r="M21" s="175"/>
      <c r="N21" s="176"/>
      <c r="O21" s="177"/>
      <c r="P21" s="174"/>
      <c r="Q21" s="175"/>
      <c r="R21" s="178"/>
      <c r="S21" s="177"/>
      <c r="T21" s="174"/>
      <c r="U21" s="175"/>
      <c r="V21" s="176"/>
      <c r="W21" s="177"/>
      <c r="X21" s="174"/>
      <c r="Y21" s="175"/>
      <c r="Z21" s="178"/>
      <c r="AA21" s="170"/>
      <c r="AB21" s="170"/>
      <c r="AC21" s="179"/>
      <c r="AD21" s="179"/>
      <c r="AE21" s="179"/>
      <c r="AF21" s="179"/>
      <c r="AG21" s="179"/>
      <c r="AH21" s="179"/>
      <c r="AI21" s="179"/>
      <c r="AJ21" s="179"/>
    </row>
    <row r="22" spans="1:39" ht="54.95" customHeight="1">
      <c r="A22" s="522">
        <v>9</v>
      </c>
      <c r="B22" s="523" t="s">
        <v>23</v>
      </c>
      <c r="C22" s="173"/>
      <c r="D22" s="174"/>
      <c r="E22" s="175"/>
      <c r="F22" s="176"/>
      <c r="G22" s="177"/>
      <c r="H22" s="174"/>
      <c r="I22" s="175"/>
      <c r="J22" s="176"/>
      <c r="K22" s="177"/>
      <c r="L22" s="174"/>
      <c r="M22" s="175"/>
      <c r="N22" s="176"/>
      <c r="O22" s="177"/>
      <c r="P22" s="174"/>
      <c r="Q22" s="175"/>
      <c r="R22" s="178"/>
      <c r="S22" s="177"/>
      <c r="T22" s="174"/>
      <c r="U22" s="175"/>
      <c r="V22" s="176"/>
      <c r="W22" s="177"/>
      <c r="X22" s="174"/>
      <c r="Y22" s="175"/>
      <c r="Z22" s="178"/>
      <c r="AA22" s="170"/>
      <c r="AB22" s="170"/>
      <c r="AC22" s="179"/>
      <c r="AD22" s="179"/>
      <c r="AE22" s="179"/>
      <c r="AF22" s="179"/>
      <c r="AG22" s="179"/>
      <c r="AH22" s="179"/>
      <c r="AI22" s="179"/>
      <c r="AJ22" s="179"/>
    </row>
    <row r="23" spans="1:39" ht="54.95" customHeight="1" thickBot="1">
      <c r="A23" s="524"/>
      <c r="B23" s="525" t="s">
        <v>24</v>
      </c>
      <c r="C23" s="180"/>
      <c r="D23" s="181"/>
      <c r="E23" s="182"/>
      <c r="F23" s="183"/>
      <c r="G23" s="184"/>
      <c r="H23" s="181"/>
      <c r="I23" s="182"/>
      <c r="J23" s="183"/>
      <c r="K23" s="184"/>
      <c r="L23" s="181"/>
      <c r="M23" s="182"/>
      <c r="N23" s="183"/>
      <c r="O23" s="184"/>
      <c r="P23" s="181"/>
      <c r="Q23" s="182"/>
      <c r="R23" s="185"/>
      <c r="S23" s="184"/>
      <c r="T23" s="181"/>
      <c r="U23" s="182"/>
      <c r="V23" s="183"/>
      <c r="W23" s="184"/>
      <c r="X23" s="181"/>
      <c r="Y23" s="182"/>
      <c r="Z23" s="185"/>
      <c r="AA23" s="170"/>
      <c r="AB23" s="170"/>
      <c r="AC23" s="186"/>
      <c r="AD23" s="186"/>
      <c r="AE23" s="186"/>
      <c r="AF23" s="186"/>
      <c r="AG23" s="186"/>
      <c r="AH23" s="186"/>
      <c r="AI23" s="186"/>
      <c r="AJ23" s="186"/>
      <c r="AK23" s="187"/>
      <c r="AL23" s="187"/>
    </row>
    <row r="24" spans="1:39" ht="54.95" customHeight="1" thickTop="1" thickBot="1">
      <c r="A24" s="188"/>
      <c r="B24" s="188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86"/>
      <c r="AD24" s="186"/>
      <c r="AE24" s="186"/>
      <c r="AF24" s="186"/>
      <c r="AG24" s="186"/>
      <c r="AH24" s="186"/>
      <c r="AI24" s="186"/>
      <c r="AJ24" s="186"/>
      <c r="AK24" s="187"/>
      <c r="AL24" s="187"/>
    </row>
    <row r="25" spans="1:39" ht="52.5" customHeight="1" thickBot="1">
      <c r="A25" s="500" t="s">
        <v>0</v>
      </c>
      <c r="B25" s="168" t="str">
        <f>B1</f>
        <v>REIGNIER_Giratoire de la Forge (en-dessous du Fil des Saisons)</v>
      </c>
      <c r="C25" s="501"/>
      <c r="D25" s="501"/>
      <c r="E25" s="501"/>
      <c r="F25" s="502"/>
      <c r="G25" s="502"/>
      <c r="H25" s="501"/>
      <c r="I25" s="501"/>
      <c r="J25" s="502"/>
      <c r="K25" s="502"/>
      <c r="L25" s="503"/>
      <c r="M25" s="504" t="s">
        <v>30</v>
      </c>
      <c r="N25" s="526" t="str">
        <f>N1</f>
        <v>mardi 31 mai 2022</v>
      </c>
      <c r="O25" s="501"/>
      <c r="P25" s="501"/>
      <c r="Q25" s="501"/>
      <c r="R25" s="501"/>
      <c r="S25" s="501"/>
      <c r="T25" s="501"/>
      <c r="U25" s="501"/>
      <c r="V25" s="505"/>
      <c r="W25" s="506"/>
      <c r="X25" s="506"/>
      <c r="Y25" s="506"/>
      <c r="Z25" s="507"/>
      <c r="AA25" s="527" t="s">
        <v>0</v>
      </c>
      <c r="AB25" s="168" t="str">
        <f>B25</f>
        <v>REIGNIER_Giratoire de la Forge (en-dessous du Fil des Saisons)</v>
      </c>
      <c r="AC25" s="501"/>
      <c r="AD25" s="501"/>
      <c r="AE25" s="501"/>
      <c r="AF25" s="502"/>
      <c r="AG25" s="528"/>
      <c r="AH25" s="529" t="s">
        <v>1</v>
      </c>
      <c r="AI25" s="526" t="str">
        <f>N25</f>
        <v>mardi 31 mai 2022</v>
      </c>
      <c r="AJ25" s="501"/>
      <c r="AK25" s="530"/>
      <c r="AL25" s="505"/>
      <c r="AM25" s="531"/>
    </row>
    <row r="26" spans="1:39" ht="52.5" customHeight="1" thickBot="1">
      <c r="A26" s="508" t="s">
        <v>2</v>
      </c>
      <c r="B26" s="509"/>
      <c r="C26" s="509"/>
      <c r="D26" s="509"/>
      <c r="E26" s="509"/>
      <c r="F26" s="509"/>
      <c r="G26" s="168">
        <f>G2</f>
        <v>0</v>
      </c>
      <c r="H26" s="501"/>
      <c r="I26" s="501"/>
      <c r="J26" s="501"/>
      <c r="K26" s="501"/>
      <c r="L26" s="501"/>
      <c r="M26" s="501"/>
      <c r="N26" s="501"/>
      <c r="O26" s="501"/>
      <c r="P26" s="501"/>
      <c r="Q26" s="501"/>
      <c r="R26" s="501"/>
      <c r="S26" s="501"/>
      <c r="T26" s="501"/>
      <c r="U26" s="501"/>
      <c r="V26" s="505"/>
      <c r="W26" s="509"/>
      <c r="X26" s="509"/>
      <c r="Y26" s="509"/>
      <c r="Z26" s="509"/>
      <c r="AA26" s="508" t="s">
        <v>2</v>
      </c>
      <c r="AB26" s="509"/>
      <c r="AC26" s="509"/>
      <c r="AD26" s="509"/>
      <c r="AE26" s="168">
        <f>G26</f>
        <v>0</v>
      </c>
      <c r="AF26" s="501"/>
      <c r="AG26" s="501"/>
      <c r="AH26" s="501"/>
      <c r="AI26" s="501"/>
      <c r="AJ26" s="501"/>
      <c r="AK26" s="501"/>
      <c r="AL26" s="505"/>
      <c r="AM26" s="509"/>
    </row>
    <row r="27" spans="1:39" ht="52.5" customHeight="1" thickBot="1">
      <c r="A27" s="508" t="s">
        <v>3</v>
      </c>
      <c r="B27" s="509"/>
      <c r="C27" s="168">
        <f>C3</f>
        <v>0</v>
      </c>
      <c r="D27" s="501"/>
      <c r="E27" s="501"/>
      <c r="F27" s="501"/>
      <c r="G27" s="501"/>
      <c r="H27" s="501"/>
      <c r="I27" s="501"/>
      <c r="J27" s="501"/>
      <c r="K27" s="501"/>
      <c r="L27" s="501"/>
      <c r="M27" s="501"/>
      <c r="N27" s="501"/>
      <c r="O27" s="501"/>
      <c r="P27" s="501"/>
      <c r="Q27" s="501"/>
      <c r="R27" s="501"/>
      <c r="S27" s="501"/>
      <c r="T27" s="501"/>
      <c r="U27" s="501"/>
      <c r="V27" s="505"/>
      <c r="W27" s="509"/>
      <c r="X27" s="509"/>
      <c r="Y27" s="509"/>
      <c r="Z27" s="510"/>
      <c r="AA27" s="508" t="s">
        <v>3</v>
      </c>
      <c r="AB27" s="509"/>
      <c r="AC27" s="168">
        <f>C27</f>
        <v>0</v>
      </c>
      <c r="AD27" s="501"/>
      <c r="AE27" s="501"/>
      <c r="AF27" s="501"/>
      <c r="AG27" s="501"/>
      <c r="AH27" s="501"/>
      <c r="AI27" s="501"/>
      <c r="AJ27" s="501"/>
      <c r="AK27" s="501"/>
      <c r="AL27" s="505"/>
      <c r="AM27" s="532"/>
    </row>
    <row r="28" spans="1:39" ht="52.5" customHeight="1" thickBot="1">
      <c r="A28" s="508" t="s">
        <v>27</v>
      </c>
      <c r="B28" s="509"/>
      <c r="C28" s="168">
        <f>C4</f>
        <v>0</v>
      </c>
      <c r="D28" s="501"/>
      <c r="E28" s="501"/>
      <c r="F28" s="501"/>
      <c r="G28" s="501"/>
      <c r="H28" s="501"/>
      <c r="I28" s="501"/>
      <c r="J28" s="501"/>
      <c r="K28" s="501"/>
      <c r="L28" s="501"/>
      <c r="M28" s="501"/>
      <c r="N28" s="501"/>
      <c r="O28" s="501"/>
      <c r="P28" s="501"/>
      <c r="Q28" s="501"/>
      <c r="R28" s="501"/>
      <c r="S28" s="501"/>
      <c r="T28" s="501"/>
      <c r="U28" s="501"/>
      <c r="V28" s="505"/>
      <c r="W28" s="509"/>
      <c r="X28" s="509"/>
      <c r="Y28" s="509"/>
      <c r="Z28" s="510"/>
      <c r="AA28" s="508" t="s">
        <v>27</v>
      </c>
      <c r="AB28" s="509"/>
      <c r="AC28" s="168">
        <f>C28</f>
        <v>0</v>
      </c>
      <c r="AD28" s="501"/>
      <c r="AE28" s="501"/>
      <c r="AF28" s="501"/>
      <c r="AG28" s="501"/>
      <c r="AH28" s="501"/>
      <c r="AI28" s="501"/>
      <c r="AJ28" s="501"/>
      <c r="AK28" s="501"/>
      <c r="AL28" s="505"/>
      <c r="AM28" s="532"/>
    </row>
    <row r="29" spans="1:39" ht="25.5" customHeight="1">
      <c r="A29" s="511"/>
      <c r="B29" s="509"/>
      <c r="C29" s="509"/>
      <c r="D29" s="509"/>
      <c r="E29" s="509"/>
      <c r="F29" s="509"/>
      <c r="G29" s="509"/>
      <c r="H29" s="509"/>
      <c r="I29" s="509"/>
      <c r="J29" s="509"/>
      <c r="K29" s="509"/>
      <c r="L29" s="509"/>
      <c r="M29" s="509"/>
      <c r="N29" s="509"/>
      <c r="O29" s="509"/>
      <c r="P29" s="509"/>
      <c r="Q29" s="509"/>
      <c r="R29" s="510"/>
      <c r="S29" s="509"/>
      <c r="T29" s="509"/>
      <c r="U29" s="509"/>
      <c r="V29" s="509"/>
      <c r="W29" s="509"/>
      <c r="X29" s="509"/>
      <c r="Y29" s="509"/>
      <c r="Z29" s="510"/>
      <c r="AA29" s="511"/>
      <c r="AB29" s="509"/>
      <c r="AC29" s="509"/>
      <c r="AD29" s="509"/>
      <c r="AE29" s="509"/>
      <c r="AF29" s="509"/>
      <c r="AG29" s="509"/>
      <c r="AH29" s="509"/>
      <c r="AI29" s="509"/>
      <c r="AJ29" s="509"/>
      <c r="AK29" s="509"/>
      <c r="AL29" s="509"/>
      <c r="AM29" s="509"/>
    </row>
    <row r="30" spans="1:39" ht="25.5" customHeight="1">
      <c r="A30" s="511"/>
      <c r="B30" s="509"/>
      <c r="C30" s="509"/>
      <c r="D30" s="509"/>
      <c r="E30" s="509"/>
      <c r="F30" s="509"/>
      <c r="G30" s="509"/>
      <c r="H30" s="509"/>
      <c r="I30" s="509"/>
      <c r="J30" s="509"/>
      <c r="K30" s="509"/>
      <c r="L30" s="509"/>
      <c r="M30" s="509"/>
      <c r="N30" s="509"/>
      <c r="O30" s="509"/>
      <c r="P30" s="509"/>
      <c r="Q30" s="509"/>
      <c r="R30" s="510"/>
      <c r="S30" s="509"/>
      <c r="T30" s="509"/>
      <c r="U30" s="509"/>
      <c r="V30" s="509"/>
      <c r="W30" s="509"/>
      <c r="X30" s="509"/>
      <c r="Y30" s="509"/>
      <c r="Z30" s="510"/>
      <c r="AA30" s="511"/>
      <c r="AB30" s="509"/>
      <c r="AC30" s="509"/>
      <c r="AD30" s="509"/>
      <c r="AE30" s="509"/>
      <c r="AF30" s="509"/>
      <c r="AG30" s="509"/>
      <c r="AH30" s="509"/>
      <c r="AI30" s="509"/>
      <c r="AJ30" s="509"/>
      <c r="AK30" s="509"/>
      <c r="AL30" s="510"/>
      <c r="AM30" s="510"/>
    </row>
    <row r="31" spans="1:39" ht="25.5" customHeight="1" thickBot="1">
      <c r="A31" s="511"/>
      <c r="B31" s="509"/>
      <c r="C31" s="509"/>
      <c r="D31" s="509"/>
      <c r="E31" s="509"/>
      <c r="F31" s="509"/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509"/>
      <c r="R31" s="510"/>
      <c r="S31" s="509"/>
      <c r="T31" s="509"/>
      <c r="U31" s="509"/>
      <c r="V31" s="509"/>
      <c r="W31" s="509"/>
      <c r="X31" s="509"/>
      <c r="Y31" s="509"/>
      <c r="Z31" s="510"/>
      <c r="AA31" s="510"/>
      <c r="AB31" s="510"/>
      <c r="AC31" s="510"/>
      <c r="AD31" s="510"/>
      <c r="AE31" s="510"/>
      <c r="AF31" s="510"/>
      <c r="AG31" s="510"/>
      <c r="AH31" s="510"/>
      <c r="AI31" s="510"/>
      <c r="AJ31" s="510"/>
      <c r="AK31" s="510"/>
      <c r="AL31" s="510"/>
      <c r="AM31" s="510"/>
    </row>
    <row r="32" spans="1:39" ht="32.25" customHeight="1" thickTop="1">
      <c r="A32" s="512"/>
      <c r="B32" s="513"/>
      <c r="C32" s="856" t="str">
        <f>C8</f>
        <v>Depuis 'Esery'</v>
      </c>
      <c r="D32" s="857"/>
      <c r="E32" s="857"/>
      <c r="F32" s="857"/>
      <c r="G32" s="857"/>
      <c r="H32" s="857"/>
      <c r="I32" s="857"/>
      <c r="J32" s="857"/>
      <c r="K32" s="857" t="str">
        <f>K8</f>
        <v>Depuis 'Reignier'</v>
      </c>
      <c r="L32" s="857"/>
      <c r="M32" s="857"/>
      <c r="N32" s="857"/>
      <c r="O32" s="857"/>
      <c r="P32" s="857"/>
      <c r="Q32" s="857"/>
      <c r="R32" s="858"/>
      <c r="S32" s="857" t="str">
        <f>S8</f>
        <v>Depuis 'Annemasse'</v>
      </c>
      <c r="T32" s="857"/>
      <c r="U32" s="857"/>
      <c r="V32" s="857"/>
      <c r="W32" s="857"/>
      <c r="X32" s="857"/>
      <c r="Y32" s="857"/>
      <c r="Z32" s="858"/>
      <c r="AA32" s="512"/>
      <c r="AB32" s="513"/>
      <c r="AC32" s="873" t="s">
        <v>12</v>
      </c>
      <c r="AD32" s="875" t="s">
        <v>14</v>
      </c>
      <c r="AE32" s="869" t="s">
        <v>15</v>
      </c>
      <c r="AF32" s="878" t="s">
        <v>18</v>
      </c>
      <c r="AG32" s="875" t="s">
        <v>16</v>
      </c>
      <c r="AH32" s="875" t="s">
        <v>79</v>
      </c>
      <c r="AI32" s="875" t="s">
        <v>118</v>
      </c>
      <c r="AJ32" s="881" t="s">
        <v>31</v>
      </c>
      <c r="AK32" s="882"/>
      <c r="AL32" s="882"/>
      <c r="AM32" s="883"/>
    </row>
    <row r="33" spans="1:39" ht="22.7" customHeight="1">
      <c r="A33" s="512"/>
      <c r="B33" s="513"/>
      <c r="C33" s="859" t="str">
        <f>C9</f>
        <v>vers 'Reignier'</v>
      </c>
      <c r="D33" s="860"/>
      <c r="E33" s="860"/>
      <c r="F33" s="860"/>
      <c r="G33" s="859" t="str">
        <f t="shared" ref="G33" si="0">G9</f>
        <v>vers 'Annemasse'</v>
      </c>
      <c r="H33" s="860"/>
      <c r="I33" s="860"/>
      <c r="J33" s="860"/>
      <c r="K33" s="859" t="str">
        <f t="shared" ref="K33" si="1">K9</f>
        <v>vers 'Esery'</v>
      </c>
      <c r="L33" s="860"/>
      <c r="M33" s="860"/>
      <c r="N33" s="860"/>
      <c r="O33" s="859" t="str">
        <f t="shared" ref="O33" si="2">O9</f>
        <v>vers 'Annemasse'</v>
      </c>
      <c r="P33" s="860"/>
      <c r="Q33" s="860"/>
      <c r="R33" s="860"/>
      <c r="S33" s="859" t="str">
        <f t="shared" ref="S33" si="3">S9</f>
        <v>vers 'Reignier'</v>
      </c>
      <c r="T33" s="860"/>
      <c r="U33" s="860"/>
      <c r="V33" s="860"/>
      <c r="W33" s="859" t="str">
        <f t="shared" ref="W33" si="4">W9</f>
        <v>vers 'Esery'</v>
      </c>
      <c r="X33" s="860"/>
      <c r="Y33" s="860"/>
      <c r="Z33" s="872"/>
      <c r="AA33" s="512"/>
      <c r="AB33" s="513"/>
      <c r="AC33" s="874"/>
      <c r="AD33" s="876"/>
      <c r="AE33" s="870"/>
      <c r="AF33" s="879"/>
      <c r="AG33" s="876"/>
      <c r="AH33" s="876"/>
      <c r="AI33" s="876"/>
      <c r="AJ33" s="884"/>
      <c r="AK33" s="885"/>
      <c r="AL33" s="885"/>
      <c r="AM33" s="886"/>
    </row>
    <row r="34" spans="1:39" ht="18.600000000000001" customHeight="1" thickBot="1">
      <c r="A34" s="512"/>
      <c r="B34" s="513"/>
      <c r="C34" s="865" t="s">
        <v>4</v>
      </c>
      <c r="D34" s="866"/>
      <c r="E34" s="863" t="s">
        <v>5</v>
      </c>
      <c r="F34" s="867"/>
      <c r="G34" s="868" t="s">
        <v>4</v>
      </c>
      <c r="H34" s="866"/>
      <c r="I34" s="863" t="s">
        <v>5</v>
      </c>
      <c r="J34" s="867"/>
      <c r="K34" s="868" t="s">
        <v>4</v>
      </c>
      <c r="L34" s="866"/>
      <c r="M34" s="863" t="s">
        <v>5</v>
      </c>
      <c r="N34" s="867"/>
      <c r="O34" s="868" t="s">
        <v>4</v>
      </c>
      <c r="P34" s="866"/>
      <c r="Q34" s="863" t="s">
        <v>5</v>
      </c>
      <c r="R34" s="864"/>
      <c r="S34" s="868" t="s">
        <v>4</v>
      </c>
      <c r="T34" s="866"/>
      <c r="U34" s="863" t="s">
        <v>5</v>
      </c>
      <c r="V34" s="867"/>
      <c r="W34" s="868" t="s">
        <v>4</v>
      </c>
      <c r="X34" s="866"/>
      <c r="Y34" s="890" t="s">
        <v>5</v>
      </c>
      <c r="Z34" s="891"/>
      <c r="AA34" s="512"/>
      <c r="AB34" s="513"/>
      <c r="AC34" s="874"/>
      <c r="AD34" s="876"/>
      <c r="AE34" s="870"/>
      <c r="AF34" s="879"/>
      <c r="AG34" s="876"/>
      <c r="AH34" s="876"/>
      <c r="AI34" s="876"/>
      <c r="AJ34" s="884"/>
      <c r="AK34" s="885"/>
      <c r="AL34" s="885"/>
      <c r="AM34" s="886"/>
    </row>
    <row r="35" spans="1:39" ht="21" thickTop="1">
      <c r="A35" s="892" t="s">
        <v>13</v>
      </c>
      <c r="B35" s="893"/>
      <c r="C35" s="516" t="s">
        <v>8</v>
      </c>
      <c r="D35" s="517" t="s">
        <v>9</v>
      </c>
      <c r="E35" s="518" t="s">
        <v>8</v>
      </c>
      <c r="F35" s="519" t="s">
        <v>9</v>
      </c>
      <c r="G35" s="520" t="s">
        <v>8</v>
      </c>
      <c r="H35" s="517" t="s">
        <v>9</v>
      </c>
      <c r="I35" s="518" t="s">
        <v>8</v>
      </c>
      <c r="J35" s="519" t="s">
        <v>9</v>
      </c>
      <c r="K35" s="520" t="s">
        <v>8</v>
      </c>
      <c r="L35" s="517" t="s">
        <v>9</v>
      </c>
      <c r="M35" s="518" t="s">
        <v>8</v>
      </c>
      <c r="N35" s="519" t="s">
        <v>9</v>
      </c>
      <c r="O35" s="520" t="s">
        <v>8</v>
      </c>
      <c r="P35" s="517" t="s">
        <v>9</v>
      </c>
      <c r="Q35" s="518" t="s">
        <v>8</v>
      </c>
      <c r="R35" s="521" t="s">
        <v>9</v>
      </c>
      <c r="S35" s="520" t="s">
        <v>8</v>
      </c>
      <c r="T35" s="517" t="s">
        <v>9</v>
      </c>
      <c r="U35" s="518" t="s">
        <v>8</v>
      </c>
      <c r="V35" s="519" t="s">
        <v>9</v>
      </c>
      <c r="W35" s="520" t="s">
        <v>8</v>
      </c>
      <c r="X35" s="517" t="s">
        <v>9</v>
      </c>
      <c r="Y35" s="518" t="s">
        <v>8</v>
      </c>
      <c r="Z35" s="521" t="s">
        <v>9</v>
      </c>
      <c r="AA35" s="894" t="s">
        <v>13</v>
      </c>
      <c r="AB35" s="895"/>
      <c r="AC35" s="874"/>
      <c r="AD35" s="877"/>
      <c r="AE35" s="871"/>
      <c r="AF35" s="880"/>
      <c r="AG35" s="877"/>
      <c r="AH35" s="877"/>
      <c r="AI35" s="877"/>
      <c r="AJ35" s="887"/>
      <c r="AK35" s="888"/>
      <c r="AL35" s="888"/>
      <c r="AM35" s="889"/>
    </row>
    <row r="36" spans="1:39" ht="54.95" customHeight="1">
      <c r="A36" s="906" t="s">
        <v>28</v>
      </c>
      <c r="B36" s="907"/>
      <c r="C36" s="533">
        <f>SUM(C12:C15)</f>
        <v>0</v>
      </c>
      <c r="D36" s="534">
        <f t="shared" ref="D36:Z36" si="5">SUM(D12:D15)</f>
        <v>0</v>
      </c>
      <c r="E36" s="535">
        <f t="shared" si="5"/>
        <v>0</v>
      </c>
      <c r="F36" s="536">
        <f t="shared" si="5"/>
        <v>0</v>
      </c>
      <c r="G36" s="537">
        <f t="shared" si="5"/>
        <v>0</v>
      </c>
      <c r="H36" s="534">
        <f t="shared" si="5"/>
        <v>0</v>
      </c>
      <c r="I36" s="535">
        <f t="shared" si="5"/>
        <v>0</v>
      </c>
      <c r="J36" s="536">
        <f t="shared" si="5"/>
        <v>0</v>
      </c>
      <c r="K36" s="537">
        <f t="shared" si="5"/>
        <v>0</v>
      </c>
      <c r="L36" s="534">
        <f t="shared" si="5"/>
        <v>0</v>
      </c>
      <c r="M36" s="535">
        <f t="shared" si="5"/>
        <v>0</v>
      </c>
      <c r="N36" s="536">
        <f t="shared" si="5"/>
        <v>0</v>
      </c>
      <c r="O36" s="537">
        <f t="shared" si="5"/>
        <v>0</v>
      </c>
      <c r="P36" s="534">
        <f t="shared" si="5"/>
        <v>0</v>
      </c>
      <c r="Q36" s="535">
        <f t="shared" si="5"/>
        <v>0</v>
      </c>
      <c r="R36" s="538">
        <f t="shared" si="5"/>
        <v>0</v>
      </c>
      <c r="S36" s="537">
        <f t="shared" si="5"/>
        <v>0</v>
      </c>
      <c r="T36" s="534">
        <f t="shared" si="5"/>
        <v>0</v>
      </c>
      <c r="U36" s="535">
        <f t="shared" si="5"/>
        <v>0</v>
      </c>
      <c r="V36" s="536">
        <f t="shared" si="5"/>
        <v>0</v>
      </c>
      <c r="W36" s="537">
        <f t="shared" si="5"/>
        <v>0</v>
      </c>
      <c r="X36" s="534">
        <f t="shared" si="5"/>
        <v>0</v>
      </c>
      <c r="Y36" s="535">
        <f t="shared" si="5"/>
        <v>0</v>
      </c>
      <c r="Z36" s="538">
        <f t="shared" si="5"/>
        <v>0</v>
      </c>
      <c r="AA36" s="908" t="s">
        <v>28</v>
      </c>
      <c r="AB36" s="909"/>
      <c r="AC36" s="539">
        <f t="shared" ref="AC36:AC42" si="6">SUM(C36:Z36)</f>
        <v>0</v>
      </c>
      <c r="AD36" s="540">
        <f>IF(AC36=0,0,AD48/AC36)</f>
        <v>0</v>
      </c>
      <c r="AE36" s="540">
        <f>IF(AC36=0,0,AE48/AC36)</f>
        <v>0</v>
      </c>
      <c r="AF36" s="540">
        <f>IF(AE48=0,0,AF48/AE48)</f>
        <v>0</v>
      </c>
      <c r="AG36" s="540">
        <f t="shared" ref="AG36:AG42" si="7">IF(AC36=0,0,AG48/AC36)</f>
        <v>0</v>
      </c>
      <c r="AH36" s="540">
        <f>IF(AC36=0,0,AH48/AC36)</f>
        <v>0</v>
      </c>
      <c r="AI36" s="540">
        <f>IF(AC36=0,0,AI48/AC36)</f>
        <v>0</v>
      </c>
      <c r="AJ36" s="896"/>
      <c r="AK36" s="897"/>
      <c r="AL36" s="897"/>
      <c r="AM36" s="898"/>
    </row>
    <row r="37" spans="1:39" ht="54.95" customHeight="1">
      <c r="A37" s="899" t="s">
        <v>11</v>
      </c>
      <c r="B37" s="900"/>
      <c r="C37" s="541">
        <f>SUM(C14:C17)</f>
        <v>0</v>
      </c>
      <c r="D37" s="542">
        <f t="shared" ref="D37:Z37" si="8">SUM(D14:D17)</f>
        <v>0</v>
      </c>
      <c r="E37" s="543">
        <f t="shared" si="8"/>
        <v>0</v>
      </c>
      <c r="F37" s="544">
        <f t="shared" si="8"/>
        <v>0</v>
      </c>
      <c r="G37" s="545">
        <f t="shared" si="8"/>
        <v>0</v>
      </c>
      <c r="H37" s="542">
        <f t="shared" si="8"/>
        <v>0</v>
      </c>
      <c r="I37" s="543">
        <f t="shared" si="8"/>
        <v>0</v>
      </c>
      <c r="J37" s="544">
        <f t="shared" si="8"/>
        <v>0</v>
      </c>
      <c r="K37" s="545">
        <f t="shared" si="8"/>
        <v>0</v>
      </c>
      <c r="L37" s="542">
        <f t="shared" si="8"/>
        <v>0</v>
      </c>
      <c r="M37" s="543">
        <f t="shared" si="8"/>
        <v>0</v>
      </c>
      <c r="N37" s="544">
        <f t="shared" si="8"/>
        <v>0</v>
      </c>
      <c r="O37" s="545">
        <f t="shared" si="8"/>
        <v>0</v>
      </c>
      <c r="P37" s="542">
        <f t="shared" si="8"/>
        <v>0</v>
      </c>
      <c r="Q37" s="543">
        <f t="shared" si="8"/>
        <v>0</v>
      </c>
      <c r="R37" s="546">
        <f t="shared" si="8"/>
        <v>0</v>
      </c>
      <c r="S37" s="545">
        <f t="shared" si="8"/>
        <v>0</v>
      </c>
      <c r="T37" s="542">
        <f t="shared" si="8"/>
        <v>0</v>
      </c>
      <c r="U37" s="543">
        <f t="shared" si="8"/>
        <v>0</v>
      </c>
      <c r="V37" s="544">
        <f t="shared" si="8"/>
        <v>0</v>
      </c>
      <c r="W37" s="545">
        <f t="shared" si="8"/>
        <v>0</v>
      </c>
      <c r="X37" s="542">
        <f t="shared" si="8"/>
        <v>0</v>
      </c>
      <c r="Y37" s="543">
        <f t="shared" si="8"/>
        <v>0</v>
      </c>
      <c r="Z37" s="546">
        <f t="shared" si="8"/>
        <v>0</v>
      </c>
      <c r="AA37" s="901" t="s">
        <v>11</v>
      </c>
      <c r="AB37" s="902"/>
      <c r="AC37" s="547">
        <f t="shared" si="6"/>
        <v>0</v>
      </c>
      <c r="AD37" s="548">
        <f t="shared" ref="AD37:AD42" si="9">IF(AC37=0,0,AD49/AC37)</f>
        <v>0</v>
      </c>
      <c r="AE37" s="548">
        <f t="shared" ref="AE37:AE42" si="10">IF(AC37=0,0,AE49/AC37)</f>
        <v>0</v>
      </c>
      <c r="AF37" s="548">
        <f t="shared" ref="AF37:AF42" si="11">IF(AE49=0,0,AF49/AE49)</f>
        <v>0</v>
      </c>
      <c r="AG37" s="548">
        <f t="shared" si="7"/>
        <v>0</v>
      </c>
      <c r="AH37" s="548">
        <f t="shared" ref="AH37:AH42" si="12">IF(AC37=0,0,AH49/AC37)</f>
        <v>0</v>
      </c>
      <c r="AI37" s="548">
        <f t="shared" ref="AI37:AI42" si="13">IF(AC37=0,0,AI49/AC37)</f>
        <v>0</v>
      </c>
      <c r="AJ37" s="903"/>
      <c r="AK37" s="904"/>
      <c r="AL37" s="904"/>
      <c r="AM37" s="905"/>
    </row>
    <row r="38" spans="1:39" ht="54.95" customHeight="1">
      <c r="A38" s="899" t="s">
        <v>17</v>
      </c>
      <c r="B38" s="900"/>
      <c r="C38" s="541">
        <f>SUM(C16:C19)</f>
        <v>0</v>
      </c>
      <c r="D38" s="542">
        <f t="shared" ref="D38:Z38" si="14">SUM(D16:D19)</f>
        <v>0</v>
      </c>
      <c r="E38" s="543">
        <f t="shared" si="14"/>
        <v>0</v>
      </c>
      <c r="F38" s="544">
        <f t="shared" si="14"/>
        <v>0</v>
      </c>
      <c r="G38" s="545">
        <f t="shared" si="14"/>
        <v>0</v>
      </c>
      <c r="H38" s="542">
        <f t="shared" si="14"/>
        <v>0</v>
      </c>
      <c r="I38" s="543">
        <f t="shared" si="14"/>
        <v>0</v>
      </c>
      <c r="J38" s="544">
        <f t="shared" si="14"/>
        <v>0</v>
      </c>
      <c r="K38" s="545">
        <f t="shared" si="14"/>
        <v>0</v>
      </c>
      <c r="L38" s="542">
        <f t="shared" si="14"/>
        <v>0</v>
      </c>
      <c r="M38" s="543">
        <f t="shared" si="14"/>
        <v>0</v>
      </c>
      <c r="N38" s="544">
        <f t="shared" si="14"/>
        <v>0</v>
      </c>
      <c r="O38" s="545">
        <f t="shared" si="14"/>
        <v>0</v>
      </c>
      <c r="P38" s="542">
        <f t="shared" si="14"/>
        <v>0</v>
      </c>
      <c r="Q38" s="543">
        <f t="shared" si="14"/>
        <v>0</v>
      </c>
      <c r="R38" s="546">
        <f t="shared" si="14"/>
        <v>0</v>
      </c>
      <c r="S38" s="545">
        <f t="shared" si="14"/>
        <v>0</v>
      </c>
      <c r="T38" s="542">
        <f t="shared" si="14"/>
        <v>0</v>
      </c>
      <c r="U38" s="543">
        <f t="shared" si="14"/>
        <v>0</v>
      </c>
      <c r="V38" s="544">
        <f t="shared" si="14"/>
        <v>0</v>
      </c>
      <c r="W38" s="545">
        <f t="shared" si="14"/>
        <v>0</v>
      </c>
      <c r="X38" s="542">
        <f t="shared" si="14"/>
        <v>0</v>
      </c>
      <c r="Y38" s="543">
        <f t="shared" si="14"/>
        <v>0</v>
      </c>
      <c r="Z38" s="546">
        <f t="shared" si="14"/>
        <v>0</v>
      </c>
      <c r="AA38" s="901" t="s">
        <v>17</v>
      </c>
      <c r="AB38" s="902"/>
      <c r="AC38" s="547">
        <f t="shared" si="6"/>
        <v>0</v>
      </c>
      <c r="AD38" s="548">
        <f t="shared" si="9"/>
        <v>0</v>
      </c>
      <c r="AE38" s="548">
        <f t="shared" si="10"/>
        <v>0</v>
      </c>
      <c r="AF38" s="548">
        <f t="shared" si="11"/>
        <v>0</v>
      </c>
      <c r="AG38" s="548">
        <f t="shared" si="7"/>
        <v>0</v>
      </c>
      <c r="AH38" s="548">
        <f t="shared" si="12"/>
        <v>0</v>
      </c>
      <c r="AI38" s="548">
        <f t="shared" si="13"/>
        <v>0</v>
      </c>
      <c r="AJ38" s="903"/>
      <c r="AK38" s="904"/>
      <c r="AL38" s="904"/>
      <c r="AM38" s="905"/>
    </row>
    <row r="39" spans="1:39" ht="54.95" customHeight="1">
      <c r="A39" s="899" t="s">
        <v>10</v>
      </c>
      <c r="B39" s="900"/>
      <c r="C39" s="541">
        <f>SUM(C18:C21)</f>
        <v>0</v>
      </c>
      <c r="D39" s="542">
        <f t="shared" ref="D39:Z39" si="15">SUM(D18:D21)</f>
        <v>0</v>
      </c>
      <c r="E39" s="543">
        <f t="shared" si="15"/>
        <v>0</v>
      </c>
      <c r="F39" s="544">
        <f t="shared" si="15"/>
        <v>0</v>
      </c>
      <c r="G39" s="545">
        <f t="shared" si="15"/>
        <v>0</v>
      </c>
      <c r="H39" s="542">
        <f t="shared" si="15"/>
        <v>0</v>
      </c>
      <c r="I39" s="543">
        <f t="shared" si="15"/>
        <v>0</v>
      </c>
      <c r="J39" s="544">
        <f t="shared" si="15"/>
        <v>0</v>
      </c>
      <c r="K39" s="545">
        <f t="shared" si="15"/>
        <v>0</v>
      </c>
      <c r="L39" s="542">
        <f t="shared" si="15"/>
        <v>0</v>
      </c>
      <c r="M39" s="543">
        <f t="shared" si="15"/>
        <v>0</v>
      </c>
      <c r="N39" s="544">
        <f t="shared" si="15"/>
        <v>0</v>
      </c>
      <c r="O39" s="545">
        <f t="shared" si="15"/>
        <v>0</v>
      </c>
      <c r="P39" s="542">
        <f t="shared" si="15"/>
        <v>0</v>
      </c>
      <c r="Q39" s="543">
        <f t="shared" si="15"/>
        <v>0</v>
      </c>
      <c r="R39" s="546">
        <f t="shared" si="15"/>
        <v>0</v>
      </c>
      <c r="S39" s="545">
        <f t="shared" si="15"/>
        <v>0</v>
      </c>
      <c r="T39" s="542">
        <f t="shared" si="15"/>
        <v>0</v>
      </c>
      <c r="U39" s="543">
        <f t="shared" si="15"/>
        <v>0</v>
      </c>
      <c r="V39" s="544">
        <f t="shared" si="15"/>
        <v>0</v>
      </c>
      <c r="W39" s="545">
        <f t="shared" si="15"/>
        <v>0</v>
      </c>
      <c r="X39" s="542">
        <f t="shared" si="15"/>
        <v>0</v>
      </c>
      <c r="Y39" s="543">
        <f t="shared" si="15"/>
        <v>0</v>
      </c>
      <c r="Z39" s="546">
        <f t="shared" si="15"/>
        <v>0</v>
      </c>
      <c r="AA39" s="901" t="s">
        <v>10</v>
      </c>
      <c r="AB39" s="902"/>
      <c r="AC39" s="547">
        <f t="shared" si="6"/>
        <v>0</v>
      </c>
      <c r="AD39" s="548">
        <f t="shared" si="9"/>
        <v>0</v>
      </c>
      <c r="AE39" s="548">
        <f t="shared" si="10"/>
        <v>0</v>
      </c>
      <c r="AF39" s="548">
        <f t="shared" si="11"/>
        <v>0</v>
      </c>
      <c r="AG39" s="548">
        <f t="shared" si="7"/>
        <v>0</v>
      </c>
      <c r="AH39" s="548">
        <f t="shared" si="12"/>
        <v>0</v>
      </c>
      <c r="AI39" s="548">
        <f t="shared" si="13"/>
        <v>0</v>
      </c>
      <c r="AJ39" s="903"/>
      <c r="AK39" s="904"/>
      <c r="AL39" s="904"/>
      <c r="AM39" s="905"/>
    </row>
    <row r="40" spans="1:39" ht="54.95" customHeight="1">
      <c r="A40" s="910" t="s">
        <v>29</v>
      </c>
      <c r="B40" s="911"/>
      <c r="C40" s="549">
        <f>SUM(C20:C23)</f>
        <v>0</v>
      </c>
      <c r="D40" s="550">
        <f t="shared" ref="D40:Z40" si="16">SUM(D20:D23)</f>
        <v>0</v>
      </c>
      <c r="E40" s="551">
        <f t="shared" si="16"/>
        <v>0</v>
      </c>
      <c r="F40" s="552">
        <f t="shared" si="16"/>
        <v>0</v>
      </c>
      <c r="G40" s="553">
        <f t="shared" si="16"/>
        <v>0</v>
      </c>
      <c r="H40" s="550">
        <f t="shared" si="16"/>
        <v>0</v>
      </c>
      <c r="I40" s="551">
        <f t="shared" si="16"/>
        <v>0</v>
      </c>
      <c r="J40" s="552">
        <f t="shared" si="16"/>
        <v>0</v>
      </c>
      <c r="K40" s="553">
        <f t="shared" si="16"/>
        <v>0</v>
      </c>
      <c r="L40" s="550">
        <f t="shared" si="16"/>
        <v>0</v>
      </c>
      <c r="M40" s="551">
        <f t="shared" si="16"/>
        <v>0</v>
      </c>
      <c r="N40" s="552">
        <f t="shared" si="16"/>
        <v>0</v>
      </c>
      <c r="O40" s="553">
        <f t="shared" si="16"/>
        <v>0</v>
      </c>
      <c r="P40" s="550">
        <f t="shared" si="16"/>
        <v>0</v>
      </c>
      <c r="Q40" s="551">
        <f t="shared" si="16"/>
        <v>0</v>
      </c>
      <c r="R40" s="554">
        <f t="shared" si="16"/>
        <v>0</v>
      </c>
      <c r="S40" s="553">
        <f t="shared" si="16"/>
        <v>0</v>
      </c>
      <c r="T40" s="550">
        <f t="shared" si="16"/>
        <v>0</v>
      </c>
      <c r="U40" s="551">
        <f t="shared" si="16"/>
        <v>0</v>
      </c>
      <c r="V40" s="552">
        <f t="shared" si="16"/>
        <v>0</v>
      </c>
      <c r="W40" s="553">
        <f t="shared" si="16"/>
        <v>0</v>
      </c>
      <c r="X40" s="550">
        <f t="shared" si="16"/>
        <v>0</v>
      </c>
      <c r="Y40" s="551">
        <f t="shared" si="16"/>
        <v>0</v>
      </c>
      <c r="Z40" s="554">
        <f t="shared" si="16"/>
        <v>0</v>
      </c>
      <c r="AA40" s="912" t="s">
        <v>29</v>
      </c>
      <c r="AB40" s="913"/>
      <c r="AC40" s="555">
        <f t="shared" si="6"/>
        <v>0</v>
      </c>
      <c r="AD40" s="556">
        <f t="shared" si="9"/>
        <v>0</v>
      </c>
      <c r="AE40" s="556">
        <f t="shared" si="10"/>
        <v>0</v>
      </c>
      <c r="AF40" s="556">
        <f t="shared" si="11"/>
        <v>0</v>
      </c>
      <c r="AG40" s="556">
        <f t="shared" si="7"/>
        <v>0</v>
      </c>
      <c r="AH40" s="556">
        <f t="shared" si="12"/>
        <v>0</v>
      </c>
      <c r="AI40" s="556">
        <f t="shared" si="13"/>
        <v>0</v>
      </c>
      <c r="AJ40" s="914"/>
      <c r="AK40" s="915"/>
      <c r="AL40" s="915"/>
      <c r="AM40" s="916"/>
    </row>
    <row r="41" spans="1:39" ht="54.95" customHeight="1">
      <c r="A41" s="920" t="s">
        <v>12</v>
      </c>
      <c r="B41" s="921"/>
      <c r="C41" s="557">
        <f>SUM(C12:C23)</f>
        <v>0</v>
      </c>
      <c r="D41" s="558">
        <f t="shared" ref="D41:Z41" si="17">SUM(D12:D23)</f>
        <v>0</v>
      </c>
      <c r="E41" s="559">
        <f t="shared" si="17"/>
        <v>0</v>
      </c>
      <c r="F41" s="560">
        <f t="shared" si="17"/>
        <v>0</v>
      </c>
      <c r="G41" s="561">
        <f t="shared" si="17"/>
        <v>0</v>
      </c>
      <c r="H41" s="558">
        <f t="shared" si="17"/>
        <v>0</v>
      </c>
      <c r="I41" s="559">
        <f t="shared" si="17"/>
        <v>0</v>
      </c>
      <c r="J41" s="560">
        <f t="shared" si="17"/>
        <v>0</v>
      </c>
      <c r="K41" s="561">
        <f t="shared" si="17"/>
        <v>0</v>
      </c>
      <c r="L41" s="558">
        <f t="shared" si="17"/>
        <v>0</v>
      </c>
      <c r="M41" s="559">
        <f t="shared" si="17"/>
        <v>0</v>
      </c>
      <c r="N41" s="560">
        <f t="shared" si="17"/>
        <v>0</v>
      </c>
      <c r="O41" s="561">
        <f t="shared" si="17"/>
        <v>0</v>
      </c>
      <c r="P41" s="558">
        <f t="shared" si="17"/>
        <v>0</v>
      </c>
      <c r="Q41" s="559">
        <f t="shared" si="17"/>
        <v>0</v>
      </c>
      <c r="R41" s="562">
        <f t="shared" si="17"/>
        <v>0</v>
      </c>
      <c r="S41" s="561">
        <f t="shared" si="17"/>
        <v>0</v>
      </c>
      <c r="T41" s="558">
        <f t="shared" si="17"/>
        <v>0</v>
      </c>
      <c r="U41" s="559">
        <f t="shared" si="17"/>
        <v>0</v>
      </c>
      <c r="V41" s="560">
        <f t="shared" si="17"/>
        <v>0</v>
      </c>
      <c r="W41" s="561">
        <f t="shared" si="17"/>
        <v>0</v>
      </c>
      <c r="X41" s="558">
        <f t="shared" si="17"/>
        <v>0</v>
      </c>
      <c r="Y41" s="559">
        <f t="shared" si="17"/>
        <v>0</v>
      </c>
      <c r="Z41" s="562">
        <f t="shared" si="17"/>
        <v>0</v>
      </c>
      <c r="AA41" s="922" t="s">
        <v>12</v>
      </c>
      <c r="AB41" s="923"/>
      <c r="AC41" s="563">
        <f t="shared" si="6"/>
        <v>0</v>
      </c>
      <c r="AD41" s="564">
        <f t="shared" si="9"/>
        <v>0</v>
      </c>
      <c r="AE41" s="564">
        <f t="shared" si="10"/>
        <v>0</v>
      </c>
      <c r="AF41" s="564">
        <f t="shared" si="11"/>
        <v>0</v>
      </c>
      <c r="AG41" s="564">
        <f t="shared" si="7"/>
        <v>0</v>
      </c>
      <c r="AH41" s="564">
        <f t="shared" si="12"/>
        <v>0</v>
      </c>
      <c r="AI41" s="564">
        <f t="shared" si="13"/>
        <v>0</v>
      </c>
      <c r="AJ41" s="924"/>
      <c r="AK41" s="925"/>
      <c r="AL41" s="925"/>
      <c r="AM41" s="926"/>
    </row>
    <row r="42" spans="1:39" ht="54.95" customHeight="1" thickBot="1">
      <c r="A42" s="927" t="str">
        <f>IF($AC$36=MAX($AC$36:$AC$40),A36,IF($AC$37=MAX($AC$36:$AC$40),A37,IF($AC$38=MAX($AC$36:$AC$40),A38,IF($AC$39=MAX($AC$36:$AC$40),A39,A40))))</f>
        <v>de 6:30 à 7:30</v>
      </c>
      <c r="B42" s="928"/>
      <c r="C42" s="565">
        <f>IF($AC$36=MAX($AC$36:$AC$40),C36,IF($AC$37=MAX($AC$36:$AC$40),C37,IF($AC$38=MAX($AC$36:$AC$40),C38,IF($AC$39=MAX($AC$36:$AC$40),C39,C40))))</f>
        <v>0</v>
      </c>
      <c r="D42" s="566">
        <f t="shared" ref="D42:Z42" si="18">IF($AC$36=MAX($AC$36:$AC$40),D36,IF($AC$37=MAX($AC$36:$AC$40),D37,IF($AC$38=MAX($AC$36:$AC$40),D38,IF($AC$39=MAX($AC$36:$AC$40),D39,D40))))</f>
        <v>0</v>
      </c>
      <c r="E42" s="567">
        <f t="shared" si="18"/>
        <v>0</v>
      </c>
      <c r="F42" s="568">
        <f t="shared" si="18"/>
        <v>0</v>
      </c>
      <c r="G42" s="569">
        <f t="shared" si="18"/>
        <v>0</v>
      </c>
      <c r="H42" s="566">
        <f t="shared" si="18"/>
        <v>0</v>
      </c>
      <c r="I42" s="567">
        <f t="shared" si="18"/>
        <v>0</v>
      </c>
      <c r="J42" s="568">
        <f t="shared" si="18"/>
        <v>0</v>
      </c>
      <c r="K42" s="569">
        <f t="shared" si="18"/>
        <v>0</v>
      </c>
      <c r="L42" s="566">
        <f t="shared" si="18"/>
        <v>0</v>
      </c>
      <c r="M42" s="567">
        <f t="shared" si="18"/>
        <v>0</v>
      </c>
      <c r="N42" s="568">
        <f t="shared" si="18"/>
        <v>0</v>
      </c>
      <c r="O42" s="569">
        <f t="shared" si="18"/>
        <v>0</v>
      </c>
      <c r="P42" s="566">
        <f t="shared" si="18"/>
        <v>0</v>
      </c>
      <c r="Q42" s="567">
        <f t="shared" si="18"/>
        <v>0</v>
      </c>
      <c r="R42" s="570">
        <f t="shared" si="18"/>
        <v>0</v>
      </c>
      <c r="S42" s="569">
        <f t="shared" si="18"/>
        <v>0</v>
      </c>
      <c r="T42" s="566">
        <f t="shared" si="18"/>
        <v>0</v>
      </c>
      <c r="U42" s="567">
        <f t="shared" si="18"/>
        <v>0</v>
      </c>
      <c r="V42" s="568">
        <f t="shared" si="18"/>
        <v>0</v>
      </c>
      <c r="W42" s="569">
        <f t="shared" si="18"/>
        <v>0</v>
      </c>
      <c r="X42" s="566">
        <f t="shared" si="18"/>
        <v>0</v>
      </c>
      <c r="Y42" s="567">
        <f t="shared" si="18"/>
        <v>0</v>
      </c>
      <c r="Z42" s="570">
        <f t="shared" si="18"/>
        <v>0</v>
      </c>
      <c r="AA42" s="929" t="str">
        <f>A42</f>
        <v>de 6:30 à 7:30</v>
      </c>
      <c r="AB42" s="930"/>
      <c r="AC42" s="571">
        <f t="shared" si="6"/>
        <v>0</v>
      </c>
      <c r="AD42" s="572">
        <f t="shared" si="9"/>
        <v>0</v>
      </c>
      <c r="AE42" s="572">
        <f t="shared" si="10"/>
        <v>0</v>
      </c>
      <c r="AF42" s="572">
        <f t="shared" si="11"/>
        <v>0</v>
      </c>
      <c r="AG42" s="572">
        <f t="shared" si="7"/>
        <v>0</v>
      </c>
      <c r="AH42" s="572">
        <f t="shared" si="12"/>
        <v>0</v>
      </c>
      <c r="AI42" s="572">
        <f t="shared" si="13"/>
        <v>0</v>
      </c>
      <c r="AJ42" s="931"/>
      <c r="AK42" s="932"/>
      <c r="AL42" s="932"/>
      <c r="AM42" s="933"/>
    </row>
    <row r="43" spans="1:39" ht="12.75" customHeight="1" thickTop="1" thickBot="1">
      <c r="A43" s="573"/>
      <c r="B43" s="574"/>
      <c r="C43" s="574"/>
      <c r="D43" s="574"/>
      <c r="E43" s="574"/>
      <c r="F43" s="574"/>
      <c r="G43" s="574"/>
      <c r="H43" s="574"/>
      <c r="I43" s="574"/>
      <c r="J43" s="574"/>
      <c r="K43" s="574"/>
      <c r="L43" s="574"/>
      <c r="M43" s="574"/>
      <c r="N43" s="574"/>
      <c r="O43" s="574"/>
      <c r="P43" s="574"/>
      <c r="Q43" s="574"/>
      <c r="R43" s="574"/>
      <c r="S43" s="573"/>
      <c r="T43" s="574"/>
      <c r="U43" s="574"/>
      <c r="V43" s="574"/>
      <c r="W43" s="574"/>
      <c r="X43" s="574"/>
      <c r="Y43" s="574"/>
      <c r="Z43" s="574"/>
      <c r="AA43" s="575"/>
      <c r="AB43" s="575"/>
      <c r="AC43" s="574"/>
      <c r="AD43" s="574"/>
      <c r="AE43" s="573"/>
      <c r="AF43" s="574"/>
      <c r="AG43" s="574"/>
      <c r="AH43" s="574"/>
      <c r="AI43" s="574"/>
      <c r="AJ43" s="576"/>
      <c r="AK43" s="575"/>
      <c r="AL43" s="577"/>
      <c r="AM43" s="577"/>
    </row>
    <row r="44" spans="1:39" ht="32.25" customHeight="1" thickTop="1">
      <c r="A44" s="578"/>
      <c r="B44" s="576"/>
      <c r="C44" s="579"/>
      <c r="D44" s="579"/>
      <c r="E44" s="579"/>
      <c r="F44" s="579"/>
      <c r="G44" s="579"/>
      <c r="H44" s="579"/>
      <c r="I44" s="579"/>
      <c r="J44" s="579"/>
      <c r="K44" s="579"/>
      <c r="L44" s="579"/>
      <c r="M44" s="579"/>
      <c r="N44" s="579"/>
      <c r="O44" s="579"/>
      <c r="P44" s="579"/>
      <c r="Q44" s="579"/>
      <c r="R44" s="579"/>
      <c r="S44" s="579"/>
      <c r="T44" s="579"/>
      <c r="U44" s="579"/>
      <c r="V44" s="579"/>
      <c r="W44" s="579"/>
      <c r="X44" s="579"/>
      <c r="Y44" s="579"/>
      <c r="Z44" s="579"/>
      <c r="AA44" s="578"/>
      <c r="AB44" s="576"/>
      <c r="AC44" s="580"/>
      <c r="AD44" s="917" t="s">
        <v>115</v>
      </c>
      <c r="AE44" s="917" t="s">
        <v>116</v>
      </c>
      <c r="AF44" s="917" t="s">
        <v>117</v>
      </c>
      <c r="AG44" s="917" t="s">
        <v>19</v>
      </c>
      <c r="AH44" s="917" t="s">
        <v>20</v>
      </c>
      <c r="AI44" s="917" t="s">
        <v>83</v>
      </c>
      <c r="AJ44" s="581"/>
      <c r="AK44" s="582"/>
      <c r="AL44" s="582"/>
      <c r="AM44" s="577"/>
    </row>
    <row r="45" spans="1:39" ht="22.7" customHeight="1">
      <c r="A45" s="578"/>
      <c r="B45" s="576"/>
      <c r="C45" s="583"/>
      <c r="D45" s="583"/>
      <c r="E45" s="583"/>
      <c r="F45" s="583"/>
      <c r="G45" s="583"/>
      <c r="H45" s="583"/>
      <c r="I45" s="583"/>
      <c r="J45" s="583"/>
      <c r="K45" s="583"/>
      <c r="L45" s="583"/>
      <c r="M45" s="583"/>
      <c r="N45" s="583"/>
      <c r="O45" s="583"/>
      <c r="P45" s="583"/>
      <c r="Q45" s="583"/>
      <c r="R45" s="583"/>
      <c r="S45" s="583"/>
      <c r="T45" s="583"/>
      <c r="U45" s="583"/>
      <c r="V45" s="583"/>
      <c r="W45" s="583"/>
      <c r="X45" s="583"/>
      <c r="Y45" s="583"/>
      <c r="Z45" s="583"/>
      <c r="AA45" s="578"/>
      <c r="AB45" s="576"/>
      <c r="AC45" s="580"/>
      <c r="AD45" s="918"/>
      <c r="AE45" s="918"/>
      <c r="AF45" s="918"/>
      <c r="AG45" s="918"/>
      <c r="AH45" s="918"/>
      <c r="AI45" s="918"/>
      <c r="AJ45" s="581"/>
      <c r="AK45" s="582"/>
      <c r="AL45" s="582"/>
      <c r="AM45" s="577"/>
    </row>
    <row r="46" spans="1:39" ht="18.600000000000001" customHeight="1">
      <c r="A46" s="578"/>
      <c r="B46" s="576"/>
      <c r="C46" s="584"/>
      <c r="D46" s="584"/>
      <c r="E46" s="584"/>
      <c r="F46" s="584"/>
      <c r="G46" s="584"/>
      <c r="H46" s="584"/>
      <c r="I46" s="584"/>
      <c r="J46" s="584"/>
      <c r="K46" s="584"/>
      <c r="L46" s="584"/>
      <c r="M46" s="584"/>
      <c r="N46" s="584"/>
      <c r="O46" s="584"/>
      <c r="P46" s="584"/>
      <c r="Q46" s="584"/>
      <c r="R46" s="584"/>
      <c r="S46" s="584"/>
      <c r="T46" s="584"/>
      <c r="U46" s="584"/>
      <c r="V46" s="584"/>
      <c r="W46" s="584"/>
      <c r="X46" s="584"/>
      <c r="Y46" s="584"/>
      <c r="Z46" s="584"/>
      <c r="AA46" s="578"/>
      <c r="AB46" s="576"/>
      <c r="AC46" s="580"/>
      <c r="AD46" s="918"/>
      <c r="AE46" s="918"/>
      <c r="AF46" s="918"/>
      <c r="AG46" s="918"/>
      <c r="AH46" s="918"/>
      <c r="AI46" s="918"/>
      <c r="AJ46" s="581"/>
      <c r="AK46" s="582"/>
      <c r="AL46" s="582"/>
      <c r="AM46" s="577"/>
    </row>
    <row r="47" spans="1:39" ht="20.25">
      <c r="A47" s="585"/>
      <c r="B47" s="585"/>
      <c r="C47" s="586"/>
      <c r="D47" s="586"/>
      <c r="E47" s="586"/>
      <c r="F47" s="586"/>
      <c r="G47" s="586"/>
      <c r="H47" s="586"/>
      <c r="I47" s="586"/>
      <c r="J47" s="586"/>
      <c r="K47" s="586"/>
      <c r="L47" s="586"/>
      <c r="M47" s="586"/>
      <c r="N47" s="586"/>
      <c r="O47" s="586"/>
      <c r="P47" s="586"/>
      <c r="Q47" s="586"/>
      <c r="R47" s="586"/>
      <c r="S47" s="586"/>
      <c r="T47" s="586"/>
      <c r="U47" s="586"/>
      <c r="V47" s="586"/>
      <c r="W47" s="586"/>
      <c r="X47" s="586"/>
      <c r="Y47" s="586"/>
      <c r="Z47" s="586"/>
      <c r="AA47" s="585"/>
      <c r="AB47" s="585"/>
      <c r="AC47" s="580"/>
      <c r="AD47" s="919"/>
      <c r="AE47" s="919"/>
      <c r="AF47" s="919"/>
      <c r="AG47" s="919"/>
      <c r="AH47" s="919"/>
      <c r="AI47" s="919"/>
      <c r="AJ47" s="581"/>
      <c r="AK47" s="582"/>
      <c r="AL47" s="582"/>
      <c r="AM47" s="577"/>
    </row>
    <row r="48" spans="1:39" ht="54.95" customHeight="1">
      <c r="A48" s="585"/>
      <c r="B48" s="585"/>
      <c r="C48" s="587"/>
      <c r="D48" s="587"/>
      <c r="E48" s="587"/>
      <c r="F48" s="587"/>
      <c r="G48" s="587"/>
      <c r="H48" s="587"/>
      <c r="I48" s="587"/>
      <c r="J48" s="587"/>
      <c r="K48" s="587"/>
      <c r="L48" s="587"/>
      <c r="M48" s="587"/>
      <c r="N48" s="587"/>
      <c r="O48" s="587"/>
      <c r="P48" s="587"/>
      <c r="Q48" s="587"/>
      <c r="R48" s="587"/>
      <c r="S48" s="587"/>
      <c r="T48" s="587"/>
      <c r="U48" s="587"/>
      <c r="V48" s="587"/>
      <c r="W48" s="587"/>
      <c r="X48" s="587"/>
      <c r="Y48" s="587"/>
      <c r="Z48" s="587"/>
      <c r="AA48" s="585"/>
      <c r="AB48" s="585"/>
      <c r="AC48" s="588"/>
      <c r="AD48" s="589">
        <f>(C36+E36+G36+I36+K36+M36+O36+Q36+S36+U36+W36+Y36)</f>
        <v>0</v>
      </c>
      <c r="AE48" s="589">
        <f>(E36+F36+I36+J36+M36+N36+Q36+R36+U36+V36+Y36+Z36)</f>
        <v>0</v>
      </c>
      <c r="AF48" s="589">
        <f>(E36+I36+M36+Q36+U36+Y36)</f>
        <v>0</v>
      </c>
      <c r="AG48" s="589">
        <f>SUM(G36:J36,O36:R36)</f>
        <v>0</v>
      </c>
      <c r="AH48" s="589">
        <f>SUM(K36:R36)</f>
        <v>0</v>
      </c>
      <c r="AI48" s="589">
        <f>SUM(C36:J36)</f>
        <v>0</v>
      </c>
      <c r="AJ48" s="590"/>
      <c r="AK48" s="591"/>
      <c r="AL48" s="591"/>
      <c r="AM48" s="577"/>
    </row>
    <row r="49" spans="1:39" ht="54.95" customHeight="1">
      <c r="A49" s="585"/>
      <c r="B49" s="585"/>
      <c r="C49" s="587"/>
      <c r="D49" s="587"/>
      <c r="E49" s="587"/>
      <c r="F49" s="587"/>
      <c r="G49" s="587"/>
      <c r="H49" s="587"/>
      <c r="I49" s="587"/>
      <c r="J49" s="587"/>
      <c r="K49" s="587"/>
      <c r="L49" s="587"/>
      <c r="M49" s="587"/>
      <c r="N49" s="587"/>
      <c r="O49" s="587"/>
      <c r="P49" s="587"/>
      <c r="Q49" s="587"/>
      <c r="R49" s="587"/>
      <c r="S49" s="587"/>
      <c r="T49" s="587"/>
      <c r="U49" s="587"/>
      <c r="V49" s="587"/>
      <c r="W49" s="587"/>
      <c r="X49" s="587"/>
      <c r="Y49" s="587"/>
      <c r="Z49" s="587"/>
      <c r="AA49" s="585"/>
      <c r="AB49" s="585"/>
      <c r="AC49" s="588"/>
      <c r="AD49" s="592">
        <f t="shared" ref="AD49:AD54" si="19">(C37+E37+G37+I37+K37+M37+O37+Q37+S37+U37+W37+Y37)</f>
        <v>0</v>
      </c>
      <c r="AE49" s="592">
        <f t="shared" ref="AE49:AE54" si="20">(E37+F37+I37+J37+M37+N37+Q37+R37+U37+V37+Y37+Z37)</f>
        <v>0</v>
      </c>
      <c r="AF49" s="592">
        <f t="shared" ref="AF49:AF54" si="21">(E37+I37+M37+Q37+U37+Y37)</f>
        <v>0</v>
      </c>
      <c r="AG49" s="592">
        <f t="shared" ref="AG49:AG54" si="22">SUM(G37:J37,O37:R37)</f>
        <v>0</v>
      </c>
      <c r="AH49" s="592">
        <f t="shared" ref="AH49:AH54" si="23">SUM(K37:R37)</f>
        <v>0</v>
      </c>
      <c r="AI49" s="592">
        <f t="shared" ref="AI49:AI54" si="24">SUM(C37:J37)</f>
        <v>0</v>
      </c>
      <c r="AJ49" s="590"/>
      <c r="AK49" s="591"/>
      <c r="AL49" s="591"/>
      <c r="AM49" s="577"/>
    </row>
    <row r="50" spans="1:39" ht="54.95" customHeight="1">
      <c r="A50" s="585"/>
      <c r="B50" s="585"/>
      <c r="C50" s="587"/>
      <c r="D50" s="587"/>
      <c r="E50" s="587"/>
      <c r="F50" s="587"/>
      <c r="G50" s="587"/>
      <c r="H50" s="587"/>
      <c r="I50" s="587"/>
      <c r="J50" s="587"/>
      <c r="K50" s="587"/>
      <c r="L50" s="587"/>
      <c r="M50" s="587"/>
      <c r="N50" s="587"/>
      <c r="O50" s="587"/>
      <c r="P50" s="587"/>
      <c r="Q50" s="587"/>
      <c r="R50" s="587"/>
      <c r="S50" s="587"/>
      <c r="T50" s="587"/>
      <c r="U50" s="587"/>
      <c r="V50" s="587"/>
      <c r="W50" s="587"/>
      <c r="X50" s="587"/>
      <c r="Y50" s="587"/>
      <c r="Z50" s="587"/>
      <c r="AA50" s="585"/>
      <c r="AB50" s="585"/>
      <c r="AC50" s="588"/>
      <c r="AD50" s="592">
        <f t="shared" si="19"/>
        <v>0</v>
      </c>
      <c r="AE50" s="592">
        <f t="shared" si="20"/>
        <v>0</v>
      </c>
      <c r="AF50" s="592">
        <f t="shared" si="21"/>
        <v>0</v>
      </c>
      <c r="AG50" s="592">
        <f t="shared" si="22"/>
        <v>0</v>
      </c>
      <c r="AH50" s="592">
        <f t="shared" si="23"/>
        <v>0</v>
      </c>
      <c r="AI50" s="592">
        <f t="shared" si="24"/>
        <v>0</v>
      </c>
      <c r="AJ50" s="590"/>
      <c r="AK50" s="591"/>
      <c r="AL50" s="591"/>
      <c r="AM50" s="577"/>
    </row>
    <row r="51" spans="1:39" ht="54.95" customHeight="1">
      <c r="A51" s="585"/>
      <c r="B51" s="585"/>
      <c r="C51" s="587"/>
      <c r="D51" s="587"/>
      <c r="E51" s="587"/>
      <c r="F51" s="587"/>
      <c r="G51" s="587"/>
      <c r="H51" s="587"/>
      <c r="I51" s="587"/>
      <c r="J51" s="587"/>
      <c r="K51" s="587"/>
      <c r="L51" s="587"/>
      <c r="M51" s="587"/>
      <c r="N51" s="587"/>
      <c r="O51" s="587"/>
      <c r="P51" s="587"/>
      <c r="Q51" s="587"/>
      <c r="R51" s="587"/>
      <c r="S51" s="587"/>
      <c r="T51" s="587"/>
      <c r="U51" s="587"/>
      <c r="V51" s="587"/>
      <c r="W51" s="587"/>
      <c r="X51" s="587"/>
      <c r="Y51" s="587"/>
      <c r="Z51" s="587"/>
      <c r="AA51" s="585"/>
      <c r="AB51" s="585"/>
      <c r="AC51" s="588"/>
      <c r="AD51" s="592">
        <f t="shared" si="19"/>
        <v>0</v>
      </c>
      <c r="AE51" s="592">
        <f t="shared" si="20"/>
        <v>0</v>
      </c>
      <c r="AF51" s="592">
        <f t="shared" si="21"/>
        <v>0</v>
      </c>
      <c r="AG51" s="592">
        <f t="shared" si="22"/>
        <v>0</v>
      </c>
      <c r="AH51" s="592">
        <f t="shared" si="23"/>
        <v>0</v>
      </c>
      <c r="AI51" s="592">
        <f t="shared" si="24"/>
        <v>0</v>
      </c>
      <c r="AJ51" s="590"/>
      <c r="AK51" s="591"/>
      <c r="AL51" s="591"/>
      <c r="AM51" s="577"/>
    </row>
    <row r="52" spans="1:39" ht="54.95" customHeight="1">
      <c r="A52" s="585"/>
      <c r="B52" s="585"/>
      <c r="C52" s="587"/>
      <c r="D52" s="587"/>
      <c r="E52" s="587"/>
      <c r="F52" s="587"/>
      <c r="G52" s="587"/>
      <c r="H52" s="587"/>
      <c r="I52" s="587"/>
      <c r="J52" s="587"/>
      <c r="K52" s="587"/>
      <c r="L52" s="587"/>
      <c r="M52" s="587"/>
      <c r="N52" s="587"/>
      <c r="O52" s="587"/>
      <c r="P52" s="587"/>
      <c r="Q52" s="587"/>
      <c r="R52" s="587"/>
      <c r="S52" s="587"/>
      <c r="T52" s="587"/>
      <c r="U52" s="587"/>
      <c r="V52" s="587"/>
      <c r="W52" s="587"/>
      <c r="X52" s="587"/>
      <c r="Y52" s="587"/>
      <c r="Z52" s="587"/>
      <c r="AA52" s="585"/>
      <c r="AB52" s="585"/>
      <c r="AC52" s="588"/>
      <c r="AD52" s="593">
        <f t="shared" si="19"/>
        <v>0</v>
      </c>
      <c r="AE52" s="593">
        <f t="shared" si="20"/>
        <v>0</v>
      </c>
      <c r="AF52" s="593">
        <f t="shared" si="21"/>
        <v>0</v>
      </c>
      <c r="AG52" s="593">
        <f t="shared" si="22"/>
        <v>0</v>
      </c>
      <c r="AH52" s="593">
        <f t="shared" si="23"/>
        <v>0</v>
      </c>
      <c r="AI52" s="593">
        <f t="shared" si="24"/>
        <v>0</v>
      </c>
      <c r="AJ52" s="590"/>
      <c r="AK52" s="591"/>
      <c r="AL52" s="591"/>
      <c r="AM52" s="577"/>
    </row>
    <row r="53" spans="1:39" ht="54.95" customHeight="1">
      <c r="A53" s="585"/>
      <c r="B53" s="585"/>
      <c r="C53" s="587"/>
      <c r="D53" s="587"/>
      <c r="E53" s="587"/>
      <c r="F53" s="587"/>
      <c r="G53" s="587"/>
      <c r="H53" s="587"/>
      <c r="I53" s="587"/>
      <c r="J53" s="587"/>
      <c r="K53" s="587"/>
      <c r="L53" s="587"/>
      <c r="M53" s="587"/>
      <c r="N53" s="587"/>
      <c r="O53" s="587"/>
      <c r="P53" s="587"/>
      <c r="Q53" s="587"/>
      <c r="R53" s="587"/>
      <c r="S53" s="587"/>
      <c r="T53" s="587"/>
      <c r="U53" s="587"/>
      <c r="V53" s="587"/>
      <c r="W53" s="587"/>
      <c r="X53" s="587"/>
      <c r="Y53" s="587"/>
      <c r="Z53" s="587"/>
      <c r="AA53" s="585"/>
      <c r="AB53" s="585"/>
      <c r="AC53" s="588"/>
      <c r="AD53" s="594">
        <f t="shared" si="19"/>
        <v>0</v>
      </c>
      <c r="AE53" s="594">
        <f t="shared" si="20"/>
        <v>0</v>
      </c>
      <c r="AF53" s="594">
        <f t="shared" si="21"/>
        <v>0</v>
      </c>
      <c r="AG53" s="594">
        <f t="shared" si="22"/>
        <v>0</v>
      </c>
      <c r="AH53" s="594">
        <f t="shared" si="23"/>
        <v>0</v>
      </c>
      <c r="AI53" s="594">
        <f t="shared" si="24"/>
        <v>0</v>
      </c>
      <c r="AJ53" s="590"/>
      <c r="AK53" s="591"/>
      <c r="AL53" s="591"/>
      <c r="AM53" s="577"/>
    </row>
    <row r="54" spans="1:39" ht="54.95" customHeight="1" thickBot="1">
      <c r="A54" s="585"/>
      <c r="B54" s="585"/>
      <c r="C54" s="587"/>
      <c r="D54" s="587"/>
      <c r="E54" s="587"/>
      <c r="F54" s="587"/>
      <c r="G54" s="587"/>
      <c r="H54" s="587"/>
      <c r="I54" s="587"/>
      <c r="J54" s="587"/>
      <c r="K54" s="587"/>
      <c r="L54" s="587"/>
      <c r="M54" s="587"/>
      <c r="N54" s="587"/>
      <c r="O54" s="587"/>
      <c r="P54" s="587"/>
      <c r="Q54" s="587"/>
      <c r="R54" s="587"/>
      <c r="S54" s="587"/>
      <c r="T54" s="587"/>
      <c r="U54" s="587"/>
      <c r="V54" s="587"/>
      <c r="W54" s="587"/>
      <c r="X54" s="587"/>
      <c r="Y54" s="587"/>
      <c r="Z54" s="587"/>
      <c r="AA54" s="585"/>
      <c r="AB54" s="585"/>
      <c r="AC54" s="588"/>
      <c r="AD54" s="595">
        <f t="shared" si="19"/>
        <v>0</v>
      </c>
      <c r="AE54" s="595">
        <f t="shared" si="20"/>
        <v>0</v>
      </c>
      <c r="AF54" s="595">
        <f t="shared" si="21"/>
        <v>0</v>
      </c>
      <c r="AG54" s="595">
        <f t="shared" si="22"/>
        <v>0</v>
      </c>
      <c r="AH54" s="595">
        <f t="shared" si="23"/>
        <v>0</v>
      </c>
      <c r="AI54" s="595">
        <f t="shared" si="24"/>
        <v>0</v>
      </c>
      <c r="AJ54" s="590"/>
      <c r="AK54" s="591"/>
      <c r="AL54" s="591"/>
      <c r="AM54" s="577"/>
    </row>
    <row r="55" spans="1:39" ht="15" thickTop="1"/>
  </sheetData>
  <mergeCells count="79">
    <mergeCell ref="AI44:AI47"/>
    <mergeCell ref="AJ32:AM35"/>
    <mergeCell ref="AJ36:AM36"/>
    <mergeCell ref="AJ37:AM37"/>
    <mergeCell ref="AJ38:AM38"/>
    <mergeCell ref="AJ39:AM39"/>
    <mergeCell ref="AJ40:AM40"/>
    <mergeCell ref="AJ41:AM41"/>
    <mergeCell ref="AJ42:AM42"/>
    <mergeCell ref="AD44:AD47"/>
    <mergeCell ref="AE44:AE47"/>
    <mergeCell ref="AF44:AF47"/>
    <mergeCell ref="AG44:AG47"/>
    <mergeCell ref="AH44:AH47"/>
    <mergeCell ref="A41:B41"/>
    <mergeCell ref="AA41:AB41"/>
    <mergeCell ref="A42:B42"/>
    <mergeCell ref="AA42:AB42"/>
    <mergeCell ref="A39:B39"/>
    <mergeCell ref="AA39:AB39"/>
    <mergeCell ref="A40:B40"/>
    <mergeCell ref="AA40:AB40"/>
    <mergeCell ref="A37:B37"/>
    <mergeCell ref="AA37:AB37"/>
    <mergeCell ref="A38:B38"/>
    <mergeCell ref="AA38:AB38"/>
    <mergeCell ref="A36:B36"/>
    <mergeCell ref="AA36:AB36"/>
    <mergeCell ref="Y34:Z34"/>
    <mergeCell ref="A35:B35"/>
    <mergeCell ref="AA35:AB35"/>
    <mergeCell ref="I34:J34"/>
    <mergeCell ref="K34:L34"/>
    <mergeCell ref="M34:N34"/>
    <mergeCell ref="O34:P34"/>
    <mergeCell ref="Q34:R34"/>
    <mergeCell ref="S34:T34"/>
    <mergeCell ref="AF32:AF35"/>
    <mergeCell ref="AH32:AH35"/>
    <mergeCell ref="AI32:AI35"/>
    <mergeCell ref="AG32:AG35"/>
    <mergeCell ref="AE32:AE35"/>
    <mergeCell ref="AC32:AC35"/>
    <mergeCell ref="AD32:AD35"/>
    <mergeCell ref="C33:F33"/>
    <mergeCell ref="G33:J33"/>
    <mergeCell ref="K33:N33"/>
    <mergeCell ref="O33:R33"/>
    <mergeCell ref="S33:V33"/>
    <mergeCell ref="U34:V34"/>
    <mergeCell ref="W33:Z33"/>
    <mergeCell ref="C34:D34"/>
    <mergeCell ref="E34:F34"/>
    <mergeCell ref="G34:H34"/>
    <mergeCell ref="C32:J32"/>
    <mergeCell ref="K32:R32"/>
    <mergeCell ref="S32:Z32"/>
    <mergeCell ref="W34:X34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C8:J8"/>
    <mergeCell ref="K8:R8"/>
    <mergeCell ref="S8:Z8"/>
    <mergeCell ref="C9:F9"/>
    <mergeCell ref="G9:J9"/>
    <mergeCell ref="K9:N9"/>
    <mergeCell ref="O9:R9"/>
    <mergeCell ref="S9:V9"/>
    <mergeCell ref="W9:Z9"/>
  </mergeCells>
  <pageMargins left="0.39370078740157483" right="0.39370078740157483" top="0.39370078740157483" bottom="0.39370078740157483" header="0.59055118110236227" footer="0.59055118110236227"/>
  <pageSetup paperSize="9" scale="41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Q65"/>
  <sheetViews>
    <sheetView view="pageBreakPreview" topLeftCell="M21" zoomScale="40" zoomScaleNormal="40" zoomScaleSheetLayoutView="40" workbookViewId="0">
      <selection activeCell="AD39" sqref="AD39"/>
    </sheetView>
  </sheetViews>
  <sheetFormatPr baseColWidth="10" defaultRowHeight="14.25"/>
  <cols>
    <col min="1" max="1" width="9.125" style="169" customWidth="1"/>
    <col min="2" max="2" width="13.75" style="169" customWidth="1"/>
    <col min="3" max="26" width="10.875" style="169" customWidth="1"/>
    <col min="27" max="27" width="9.125" style="169" customWidth="1"/>
    <col min="28" max="28" width="13.75" style="169" customWidth="1"/>
    <col min="29" max="36" width="21.125" style="169" customWidth="1"/>
    <col min="37" max="37" width="82.625" style="169" customWidth="1"/>
    <col min="38" max="38" width="21.125" style="169" customWidth="1"/>
    <col min="39" max="43" width="10.625" style="169" customWidth="1"/>
    <col min="44" max="16384" width="11" style="169"/>
  </cols>
  <sheetData>
    <row r="1" spans="1:36" ht="52.5" customHeight="1" thickBot="1">
      <c r="A1" s="374" t="s">
        <v>89</v>
      </c>
      <c r="B1" s="375" t="s">
        <v>94</v>
      </c>
      <c r="C1" s="376"/>
      <c r="D1" s="376"/>
      <c r="E1" s="376"/>
      <c r="F1" s="377"/>
      <c r="G1" s="377"/>
      <c r="H1" s="376"/>
      <c r="I1" s="376"/>
      <c r="J1" s="377"/>
      <c r="K1" s="377"/>
      <c r="L1" s="378"/>
      <c r="M1" s="331" t="s">
        <v>30</v>
      </c>
      <c r="N1" s="332" t="s">
        <v>141</v>
      </c>
      <c r="O1" s="376"/>
      <c r="P1" s="376"/>
      <c r="Q1" s="376"/>
      <c r="R1" s="376"/>
      <c r="S1" s="376"/>
      <c r="T1" s="376"/>
      <c r="U1" s="376"/>
      <c r="V1" s="380"/>
      <c r="W1" s="381"/>
      <c r="X1" s="381"/>
      <c r="Y1" s="381"/>
      <c r="Z1" s="382"/>
    </row>
    <row r="2" spans="1:36" ht="52.5" customHeight="1" thickBot="1">
      <c r="A2" s="318" t="s">
        <v>2</v>
      </c>
      <c r="B2" s="319"/>
      <c r="C2" s="319"/>
      <c r="D2" s="319"/>
      <c r="E2" s="319"/>
      <c r="F2" s="319"/>
      <c r="G2" s="375" t="s">
        <v>137</v>
      </c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  <c r="V2" s="380"/>
      <c r="W2" s="319"/>
      <c r="X2" s="319"/>
      <c r="Y2" s="319"/>
      <c r="Z2" s="319"/>
    </row>
    <row r="3" spans="1:36" ht="52.5" hidden="1" customHeight="1" thickBot="1">
      <c r="A3" s="318" t="s">
        <v>3</v>
      </c>
      <c r="B3" s="319"/>
      <c r="C3" s="375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80"/>
      <c r="W3" s="319"/>
      <c r="X3" s="319"/>
      <c r="Y3" s="319"/>
      <c r="Z3" s="336"/>
    </row>
    <row r="4" spans="1:36" ht="52.5" customHeight="1" thickBot="1">
      <c r="A4" s="318" t="s">
        <v>27</v>
      </c>
      <c r="B4" s="319"/>
      <c r="C4" s="375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U4" s="376"/>
      <c r="V4" s="380"/>
      <c r="W4" s="319"/>
      <c r="X4" s="319"/>
      <c r="Y4" s="319"/>
      <c r="Z4" s="336"/>
    </row>
    <row r="5" spans="1:36" ht="25.5" customHeight="1">
      <c r="A5" s="318" t="s">
        <v>71</v>
      </c>
      <c r="B5" s="319"/>
      <c r="C5" s="319" t="s">
        <v>72</v>
      </c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36"/>
      <c r="S5" s="319"/>
      <c r="T5" s="319"/>
      <c r="U5" s="319"/>
      <c r="V5" s="319"/>
      <c r="W5" s="319"/>
      <c r="X5" s="319"/>
      <c r="Y5" s="319"/>
      <c r="Z5" s="336"/>
    </row>
    <row r="6" spans="1:36" ht="25.5" customHeight="1">
      <c r="A6" s="337"/>
      <c r="B6" s="319"/>
      <c r="C6" s="319" t="s">
        <v>91</v>
      </c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36"/>
      <c r="S6" s="319"/>
      <c r="T6" s="319"/>
      <c r="U6" s="319"/>
      <c r="V6" s="319"/>
      <c r="W6" s="319"/>
      <c r="X6" s="319"/>
      <c r="Y6" s="319"/>
      <c r="Z6" s="336"/>
    </row>
    <row r="7" spans="1:36" ht="25.5" customHeight="1" thickBot="1">
      <c r="A7" s="337"/>
      <c r="B7" s="319"/>
      <c r="C7" s="319"/>
      <c r="D7" s="319"/>
      <c r="E7" s="319"/>
      <c r="F7" s="319"/>
      <c r="G7" s="319"/>
      <c r="H7" s="319"/>
      <c r="I7" s="319"/>
      <c r="J7" s="319"/>
      <c r="K7" s="319"/>
      <c r="L7" s="319"/>
      <c r="M7" s="319"/>
      <c r="N7" s="319"/>
      <c r="O7" s="319"/>
      <c r="P7" s="319"/>
      <c r="Q7" s="319"/>
      <c r="R7" s="336"/>
      <c r="S7" s="319"/>
      <c r="T7" s="319"/>
      <c r="U7" s="319"/>
      <c r="V7" s="319"/>
      <c r="W7" s="319"/>
      <c r="X7" s="319"/>
      <c r="Y7" s="319"/>
      <c r="Z7" s="336"/>
    </row>
    <row r="8" spans="1:36" ht="32.25" customHeight="1" thickTop="1">
      <c r="A8" s="384"/>
      <c r="B8" s="385"/>
      <c r="C8" s="826" t="s">
        <v>81</v>
      </c>
      <c r="D8" s="827"/>
      <c r="E8" s="827"/>
      <c r="F8" s="827"/>
      <c r="G8" s="827"/>
      <c r="H8" s="827"/>
      <c r="I8" s="827"/>
      <c r="J8" s="827"/>
      <c r="K8" s="827" t="s">
        <v>39</v>
      </c>
      <c r="L8" s="827"/>
      <c r="M8" s="827"/>
      <c r="N8" s="827"/>
      <c r="O8" s="827"/>
      <c r="P8" s="827"/>
      <c r="Q8" s="827"/>
      <c r="R8" s="828"/>
      <c r="S8" s="827" t="s">
        <v>46</v>
      </c>
      <c r="T8" s="827"/>
      <c r="U8" s="827"/>
      <c r="V8" s="827"/>
      <c r="W8" s="827"/>
      <c r="X8" s="827"/>
      <c r="Y8" s="827"/>
      <c r="Z8" s="828"/>
      <c r="AA8" s="170"/>
      <c r="AB8" s="170"/>
      <c r="AD8" s="171"/>
      <c r="AE8" s="171"/>
      <c r="AF8" s="171"/>
      <c r="AG8" s="171"/>
      <c r="AH8" s="171"/>
      <c r="AI8" s="171"/>
      <c r="AJ8" s="171"/>
    </row>
    <row r="9" spans="1:36" ht="22.7" customHeight="1">
      <c r="A9" s="384"/>
      <c r="B9" s="385"/>
      <c r="C9" s="823" t="s">
        <v>37</v>
      </c>
      <c r="D9" s="824"/>
      <c r="E9" s="824"/>
      <c r="F9" s="824"/>
      <c r="G9" s="1012" t="s">
        <v>45</v>
      </c>
      <c r="H9" s="1012"/>
      <c r="I9" s="1012"/>
      <c r="J9" s="1012"/>
      <c r="K9" s="824" t="s">
        <v>82</v>
      </c>
      <c r="L9" s="824"/>
      <c r="M9" s="824"/>
      <c r="N9" s="824"/>
      <c r="O9" s="1012" t="s">
        <v>45</v>
      </c>
      <c r="P9" s="1012"/>
      <c r="Q9" s="1012"/>
      <c r="R9" s="1013"/>
      <c r="S9" s="824" t="s">
        <v>37</v>
      </c>
      <c r="T9" s="824"/>
      <c r="U9" s="824"/>
      <c r="V9" s="824"/>
      <c r="W9" s="1012" t="s">
        <v>82</v>
      </c>
      <c r="X9" s="1012"/>
      <c r="Y9" s="1012"/>
      <c r="Z9" s="1013"/>
      <c r="AA9" s="170"/>
      <c r="AB9" s="170"/>
    </row>
    <row r="10" spans="1:36" ht="18.600000000000001" customHeight="1" thickBot="1">
      <c r="A10" s="384"/>
      <c r="B10" s="385"/>
      <c r="C10" s="1014" t="s">
        <v>4</v>
      </c>
      <c r="D10" s="1003"/>
      <c r="E10" s="820" t="s">
        <v>5</v>
      </c>
      <c r="F10" s="822"/>
      <c r="G10" s="1002" t="s">
        <v>4</v>
      </c>
      <c r="H10" s="1003"/>
      <c r="I10" s="820" t="s">
        <v>5</v>
      </c>
      <c r="J10" s="822"/>
      <c r="K10" s="1002" t="s">
        <v>4</v>
      </c>
      <c r="L10" s="1003"/>
      <c r="M10" s="820" t="s">
        <v>5</v>
      </c>
      <c r="N10" s="822"/>
      <c r="O10" s="1002" t="s">
        <v>4</v>
      </c>
      <c r="P10" s="1003"/>
      <c r="Q10" s="820" t="s">
        <v>5</v>
      </c>
      <c r="R10" s="821"/>
      <c r="S10" s="1002" t="s">
        <v>4</v>
      </c>
      <c r="T10" s="1003"/>
      <c r="U10" s="820" t="s">
        <v>5</v>
      </c>
      <c r="V10" s="822"/>
      <c r="W10" s="1002" t="s">
        <v>4</v>
      </c>
      <c r="X10" s="1003"/>
      <c r="Y10" s="820" t="s">
        <v>5</v>
      </c>
      <c r="Z10" s="821"/>
      <c r="AA10" s="170"/>
      <c r="AB10" s="170"/>
    </row>
    <row r="11" spans="1:36" ht="21" thickTop="1">
      <c r="A11" s="388" t="s">
        <v>6</v>
      </c>
      <c r="B11" s="389" t="s">
        <v>7</v>
      </c>
      <c r="C11" s="338" t="s">
        <v>8</v>
      </c>
      <c r="D11" s="339" t="s">
        <v>9</v>
      </c>
      <c r="E11" s="340" t="s">
        <v>8</v>
      </c>
      <c r="F11" s="341" t="s">
        <v>9</v>
      </c>
      <c r="G11" s="342" t="s">
        <v>8</v>
      </c>
      <c r="H11" s="339" t="s">
        <v>9</v>
      </c>
      <c r="I11" s="340" t="s">
        <v>8</v>
      </c>
      <c r="J11" s="341" t="s">
        <v>9</v>
      </c>
      <c r="K11" s="342" t="s">
        <v>8</v>
      </c>
      <c r="L11" s="339" t="s">
        <v>9</v>
      </c>
      <c r="M11" s="340" t="s">
        <v>8</v>
      </c>
      <c r="N11" s="341" t="s">
        <v>9</v>
      </c>
      <c r="O11" s="342" t="s">
        <v>8</v>
      </c>
      <c r="P11" s="339" t="s">
        <v>9</v>
      </c>
      <c r="Q11" s="340" t="s">
        <v>8</v>
      </c>
      <c r="R11" s="343" t="s">
        <v>9</v>
      </c>
      <c r="S11" s="342" t="s">
        <v>8</v>
      </c>
      <c r="T11" s="339" t="s">
        <v>9</v>
      </c>
      <c r="U11" s="340" t="s">
        <v>8</v>
      </c>
      <c r="V11" s="341" t="s">
        <v>9</v>
      </c>
      <c r="W11" s="342" t="s">
        <v>8</v>
      </c>
      <c r="X11" s="339" t="s">
        <v>9</v>
      </c>
      <c r="Y11" s="340" t="s">
        <v>8</v>
      </c>
      <c r="Z11" s="343" t="s">
        <v>9</v>
      </c>
      <c r="AA11" s="170"/>
      <c r="AB11" s="170"/>
      <c r="AC11" s="172"/>
    </row>
    <row r="12" spans="1:36" ht="54.95" customHeight="1">
      <c r="A12" s="391">
        <v>6</v>
      </c>
      <c r="B12" s="392" t="s">
        <v>25</v>
      </c>
      <c r="C12" s="467"/>
      <c r="D12" s="468"/>
      <c r="E12" s="469"/>
      <c r="F12" s="470"/>
      <c r="G12" s="471"/>
      <c r="H12" s="468"/>
      <c r="I12" s="469"/>
      <c r="J12" s="470"/>
      <c r="K12" s="471"/>
      <c r="L12" s="468"/>
      <c r="M12" s="469"/>
      <c r="N12" s="470"/>
      <c r="O12" s="471"/>
      <c r="P12" s="468"/>
      <c r="Q12" s="469"/>
      <c r="R12" s="472"/>
      <c r="S12" s="471"/>
      <c r="T12" s="468"/>
      <c r="U12" s="469"/>
      <c r="V12" s="470"/>
      <c r="W12" s="471"/>
      <c r="X12" s="468"/>
      <c r="Y12" s="469"/>
      <c r="Z12" s="472"/>
      <c r="AA12" s="170"/>
      <c r="AB12" s="170"/>
      <c r="AC12" s="179"/>
      <c r="AD12" s="179"/>
      <c r="AE12" s="179"/>
      <c r="AF12" s="179"/>
      <c r="AG12" s="179"/>
      <c r="AH12" s="179"/>
      <c r="AI12" s="179"/>
      <c r="AJ12" s="179"/>
    </row>
    <row r="13" spans="1:36" ht="54.95" customHeight="1">
      <c r="A13" s="391"/>
      <c r="B13" s="392" t="s">
        <v>26</v>
      </c>
      <c r="C13" s="467"/>
      <c r="D13" s="468"/>
      <c r="E13" s="469"/>
      <c r="F13" s="470"/>
      <c r="G13" s="471"/>
      <c r="H13" s="468"/>
      <c r="I13" s="469"/>
      <c r="J13" s="470"/>
      <c r="K13" s="471"/>
      <c r="L13" s="468"/>
      <c r="M13" s="469"/>
      <c r="N13" s="470"/>
      <c r="O13" s="471">
        <v>2</v>
      </c>
      <c r="P13" s="468">
        <v>1</v>
      </c>
      <c r="Q13" s="469"/>
      <c r="R13" s="472"/>
      <c r="S13" s="471"/>
      <c r="T13" s="468"/>
      <c r="U13" s="469"/>
      <c r="V13" s="470"/>
      <c r="W13" s="471"/>
      <c r="X13" s="468"/>
      <c r="Y13" s="469"/>
      <c r="Z13" s="472"/>
      <c r="AA13" s="170"/>
      <c r="AB13" s="170"/>
      <c r="AC13" s="179"/>
      <c r="AD13" s="179"/>
      <c r="AE13" s="179"/>
      <c r="AF13" s="179"/>
      <c r="AG13" s="179"/>
      <c r="AH13" s="179"/>
      <c r="AI13" s="179"/>
      <c r="AJ13" s="179"/>
    </row>
    <row r="14" spans="1:36" ht="54.95" customHeight="1">
      <c r="A14" s="391">
        <v>7</v>
      </c>
      <c r="B14" s="392" t="s">
        <v>23</v>
      </c>
      <c r="C14" s="467"/>
      <c r="D14" s="468"/>
      <c r="E14" s="469"/>
      <c r="F14" s="470"/>
      <c r="G14" s="471"/>
      <c r="H14" s="468"/>
      <c r="I14" s="469"/>
      <c r="J14" s="470"/>
      <c r="K14" s="471"/>
      <c r="L14" s="468"/>
      <c r="M14" s="469"/>
      <c r="N14" s="470"/>
      <c r="O14" s="471">
        <v>1</v>
      </c>
      <c r="P14" s="468"/>
      <c r="Q14" s="469"/>
      <c r="R14" s="472"/>
      <c r="S14" s="471"/>
      <c r="T14" s="468"/>
      <c r="U14" s="469"/>
      <c r="V14" s="470"/>
      <c r="W14" s="471"/>
      <c r="X14" s="468"/>
      <c r="Y14" s="469"/>
      <c r="Z14" s="472"/>
      <c r="AA14" s="170"/>
      <c r="AB14" s="170"/>
      <c r="AC14" s="179"/>
      <c r="AD14" s="179"/>
      <c r="AE14" s="179"/>
      <c r="AF14" s="179"/>
      <c r="AG14" s="179"/>
      <c r="AH14" s="179"/>
      <c r="AI14" s="179"/>
      <c r="AJ14" s="179"/>
    </row>
    <row r="15" spans="1:36" ht="54.95" customHeight="1">
      <c r="A15" s="391"/>
      <c r="B15" s="392" t="s">
        <v>24</v>
      </c>
      <c r="C15" s="467"/>
      <c r="D15" s="468"/>
      <c r="E15" s="469"/>
      <c r="F15" s="470"/>
      <c r="G15" s="471"/>
      <c r="H15" s="468"/>
      <c r="I15" s="469"/>
      <c r="J15" s="470"/>
      <c r="K15" s="471"/>
      <c r="L15" s="468"/>
      <c r="M15" s="469"/>
      <c r="N15" s="470"/>
      <c r="O15" s="471">
        <v>2</v>
      </c>
      <c r="P15" s="468">
        <v>1</v>
      </c>
      <c r="Q15" s="469"/>
      <c r="R15" s="472"/>
      <c r="S15" s="471"/>
      <c r="T15" s="468"/>
      <c r="U15" s="469"/>
      <c r="V15" s="470"/>
      <c r="W15" s="471"/>
      <c r="X15" s="468"/>
      <c r="Y15" s="469"/>
      <c r="Z15" s="472"/>
      <c r="AA15" s="170"/>
      <c r="AB15" s="170"/>
      <c r="AC15" s="179"/>
      <c r="AD15" s="179"/>
      <c r="AE15" s="179"/>
      <c r="AF15" s="179"/>
      <c r="AG15" s="179"/>
      <c r="AH15" s="179"/>
      <c r="AI15" s="179"/>
      <c r="AJ15" s="179"/>
    </row>
    <row r="16" spans="1:36" ht="54.95" hidden="1" customHeight="1">
      <c r="A16" s="391"/>
      <c r="B16" s="392" t="s">
        <v>25</v>
      </c>
      <c r="C16" s="467"/>
      <c r="D16" s="468"/>
      <c r="E16" s="469"/>
      <c r="F16" s="470"/>
      <c r="G16" s="471"/>
      <c r="H16" s="468"/>
      <c r="I16" s="469"/>
      <c r="J16" s="470"/>
      <c r="K16" s="471"/>
      <c r="L16" s="468"/>
      <c r="M16" s="469"/>
      <c r="N16" s="470"/>
      <c r="O16" s="471"/>
      <c r="P16" s="468"/>
      <c r="Q16" s="469"/>
      <c r="R16" s="472"/>
      <c r="S16" s="471"/>
      <c r="T16" s="468"/>
      <c r="U16" s="469"/>
      <c r="V16" s="470"/>
      <c r="W16" s="471"/>
      <c r="X16" s="468"/>
      <c r="Y16" s="469"/>
      <c r="Z16" s="472"/>
      <c r="AA16" s="170"/>
      <c r="AB16" s="170"/>
      <c r="AC16" s="179"/>
      <c r="AD16" s="179"/>
      <c r="AE16" s="179"/>
      <c r="AF16" s="179"/>
      <c r="AG16" s="179"/>
      <c r="AH16" s="179"/>
      <c r="AI16" s="179"/>
      <c r="AJ16" s="179"/>
    </row>
    <row r="17" spans="1:39" ht="54.95" customHeight="1">
      <c r="A17" s="391"/>
      <c r="B17" s="392" t="s">
        <v>26</v>
      </c>
      <c r="C17" s="467"/>
      <c r="D17" s="468"/>
      <c r="E17" s="469"/>
      <c r="F17" s="470"/>
      <c r="G17" s="471">
        <v>1</v>
      </c>
      <c r="H17" s="468"/>
      <c r="I17" s="469"/>
      <c r="J17" s="470"/>
      <c r="K17" s="471"/>
      <c r="L17" s="468"/>
      <c r="M17" s="469"/>
      <c r="N17" s="470"/>
      <c r="O17" s="471"/>
      <c r="P17" s="468">
        <v>1</v>
      </c>
      <c r="Q17" s="469">
        <v>1</v>
      </c>
      <c r="R17" s="472"/>
      <c r="S17" s="471"/>
      <c r="T17" s="468"/>
      <c r="U17" s="469"/>
      <c r="V17" s="470"/>
      <c r="W17" s="471"/>
      <c r="X17" s="468"/>
      <c r="Y17" s="469"/>
      <c r="Z17" s="472"/>
      <c r="AA17" s="170"/>
      <c r="AB17" s="170"/>
      <c r="AC17" s="179"/>
      <c r="AD17" s="179"/>
      <c r="AE17" s="179"/>
      <c r="AF17" s="179"/>
      <c r="AG17" s="179"/>
      <c r="AH17" s="179"/>
      <c r="AI17" s="179"/>
      <c r="AJ17" s="179"/>
    </row>
    <row r="18" spans="1:39" ht="54.95" customHeight="1">
      <c r="A18" s="391">
        <v>8</v>
      </c>
      <c r="B18" s="392" t="s">
        <v>23</v>
      </c>
      <c r="C18" s="467"/>
      <c r="D18" s="468"/>
      <c r="E18" s="469"/>
      <c r="F18" s="470"/>
      <c r="G18" s="471"/>
      <c r="H18" s="468"/>
      <c r="I18" s="469"/>
      <c r="J18" s="470"/>
      <c r="K18" s="471"/>
      <c r="L18" s="468"/>
      <c r="M18" s="469"/>
      <c r="N18" s="470"/>
      <c r="O18" s="471"/>
      <c r="P18" s="468">
        <v>1</v>
      </c>
      <c r="Q18" s="469"/>
      <c r="R18" s="472"/>
      <c r="S18" s="471"/>
      <c r="T18" s="468"/>
      <c r="U18" s="469"/>
      <c r="V18" s="470"/>
      <c r="W18" s="471"/>
      <c r="X18" s="468"/>
      <c r="Y18" s="469"/>
      <c r="Z18" s="472"/>
      <c r="AA18" s="170"/>
      <c r="AB18" s="170"/>
      <c r="AC18" s="179"/>
      <c r="AD18" s="179"/>
      <c r="AE18" s="179"/>
      <c r="AF18" s="179"/>
      <c r="AG18" s="179"/>
      <c r="AH18" s="179"/>
      <c r="AI18" s="179"/>
      <c r="AJ18" s="179"/>
    </row>
    <row r="19" spans="1:39" ht="54.95" customHeight="1">
      <c r="A19" s="391"/>
      <c r="B19" s="392" t="s">
        <v>24</v>
      </c>
      <c r="C19" s="467"/>
      <c r="D19" s="468"/>
      <c r="E19" s="469"/>
      <c r="F19" s="470"/>
      <c r="G19" s="471"/>
      <c r="H19" s="468"/>
      <c r="I19" s="469"/>
      <c r="J19" s="470"/>
      <c r="K19" s="471"/>
      <c r="L19" s="468"/>
      <c r="M19" s="469"/>
      <c r="N19" s="470"/>
      <c r="O19" s="471"/>
      <c r="P19" s="468"/>
      <c r="Q19" s="469"/>
      <c r="R19" s="472"/>
      <c r="S19" s="471"/>
      <c r="T19" s="468"/>
      <c r="U19" s="469"/>
      <c r="V19" s="470"/>
      <c r="W19" s="471"/>
      <c r="X19" s="468"/>
      <c r="Y19" s="469"/>
      <c r="Z19" s="472"/>
      <c r="AA19" s="170"/>
      <c r="AB19" s="170"/>
      <c r="AC19" s="179"/>
      <c r="AD19" s="179"/>
      <c r="AE19" s="179"/>
      <c r="AF19" s="179"/>
      <c r="AG19" s="179"/>
      <c r="AH19" s="179"/>
      <c r="AI19" s="179"/>
      <c r="AJ19" s="179"/>
    </row>
    <row r="20" spans="1:39" ht="54.95" customHeight="1">
      <c r="A20" s="391"/>
      <c r="B20" s="392" t="s">
        <v>25</v>
      </c>
      <c r="C20" s="467"/>
      <c r="D20" s="468"/>
      <c r="E20" s="469"/>
      <c r="F20" s="470"/>
      <c r="G20" s="471"/>
      <c r="H20" s="468"/>
      <c r="I20" s="469"/>
      <c r="J20" s="470"/>
      <c r="K20" s="471"/>
      <c r="L20" s="468"/>
      <c r="M20" s="469"/>
      <c r="N20" s="470"/>
      <c r="O20" s="471"/>
      <c r="P20" s="468"/>
      <c r="Q20" s="469"/>
      <c r="R20" s="472"/>
      <c r="S20" s="471"/>
      <c r="T20" s="468"/>
      <c r="U20" s="469"/>
      <c r="V20" s="470"/>
      <c r="W20" s="471"/>
      <c r="X20" s="468"/>
      <c r="Y20" s="469"/>
      <c r="Z20" s="472"/>
      <c r="AA20" s="170"/>
      <c r="AB20" s="170"/>
      <c r="AC20" s="179"/>
      <c r="AD20" s="179"/>
      <c r="AE20" s="179"/>
      <c r="AF20" s="179"/>
      <c r="AG20" s="179"/>
      <c r="AH20" s="179"/>
      <c r="AI20" s="179"/>
      <c r="AJ20" s="179"/>
    </row>
    <row r="21" spans="1:39" ht="54.95" customHeight="1">
      <c r="A21" s="391"/>
      <c r="B21" s="392" t="s">
        <v>26</v>
      </c>
      <c r="C21" s="467"/>
      <c r="D21" s="468"/>
      <c r="E21" s="469"/>
      <c r="F21" s="470"/>
      <c r="G21" s="471"/>
      <c r="H21" s="468"/>
      <c r="I21" s="469"/>
      <c r="J21" s="470"/>
      <c r="K21" s="471"/>
      <c r="L21" s="468"/>
      <c r="M21" s="469"/>
      <c r="N21" s="470"/>
      <c r="O21" s="471"/>
      <c r="P21" s="468"/>
      <c r="Q21" s="469"/>
      <c r="R21" s="472"/>
      <c r="S21" s="471"/>
      <c r="T21" s="468"/>
      <c r="U21" s="469"/>
      <c r="V21" s="470"/>
      <c r="W21" s="471"/>
      <c r="X21" s="468"/>
      <c r="Y21" s="469"/>
      <c r="Z21" s="472"/>
      <c r="AA21" s="170"/>
      <c r="AB21" s="170"/>
      <c r="AC21" s="179"/>
      <c r="AD21" s="179"/>
      <c r="AE21" s="179"/>
      <c r="AF21" s="179"/>
      <c r="AG21" s="179"/>
      <c r="AH21" s="179"/>
      <c r="AI21" s="179"/>
      <c r="AJ21" s="179"/>
    </row>
    <row r="22" spans="1:39" ht="54.95" customHeight="1">
      <c r="A22" s="391">
        <v>9</v>
      </c>
      <c r="B22" s="392" t="s">
        <v>23</v>
      </c>
      <c r="C22" s="467"/>
      <c r="D22" s="468"/>
      <c r="E22" s="469"/>
      <c r="F22" s="470"/>
      <c r="G22" s="471"/>
      <c r="H22" s="468"/>
      <c r="I22" s="469"/>
      <c r="J22" s="470"/>
      <c r="K22" s="471"/>
      <c r="L22" s="468"/>
      <c r="M22" s="469"/>
      <c r="N22" s="470"/>
      <c r="O22" s="471"/>
      <c r="P22" s="468"/>
      <c r="Q22" s="469"/>
      <c r="R22" s="472"/>
      <c r="S22" s="471"/>
      <c r="T22" s="468"/>
      <c r="U22" s="469"/>
      <c r="V22" s="470"/>
      <c r="W22" s="471"/>
      <c r="X22" s="468"/>
      <c r="Y22" s="469"/>
      <c r="Z22" s="472"/>
      <c r="AA22" s="170"/>
      <c r="AB22" s="170"/>
      <c r="AC22" s="179"/>
      <c r="AD22" s="179"/>
      <c r="AE22" s="179"/>
      <c r="AF22" s="179"/>
      <c r="AG22" s="179"/>
      <c r="AH22" s="179"/>
      <c r="AI22" s="179"/>
      <c r="AJ22" s="179"/>
    </row>
    <row r="23" spans="1:39" ht="54.95" customHeight="1" thickBot="1">
      <c r="A23" s="394"/>
      <c r="B23" s="395" t="s">
        <v>24</v>
      </c>
      <c r="C23" s="473"/>
      <c r="D23" s="474"/>
      <c r="E23" s="475"/>
      <c r="F23" s="476"/>
      <c r="G23" s="477"/>
      <c r="H23" s="474"/>
      <c r="I23" s="475"/>
      <c r="J23" s="476"/>
      <c r="K23" s="477"/>
      <c r="L23" s="474"/>
      <c r="M23" s="475"/>
      <c r="N23" s="476"/>
      <c r="O23" s="477"/>
      <c r="P23" s="474"/>
      <c r="Q23" s="475"/>
      <c r="R23" s="478"/>
      <c r="S23" s="477"/>
      <c r="T23" s="474"/>
      <c r="U23" s="475"/>
      <c r="V23" s="476"/>
      <c r="W23" s="477"/>
      <c r="X23" s="474"/>
      <c r="Y23" s="475"/>
      <c r="Z23" s="478"/>
      <c r="AA23" s="170"/>
      <c r="AB23" s="170"/>
      <c r="AC23" s="186"/>
      <c r="AD23" s="186"/>
      <c r="AE23" s="186"/>
      <c r="AF23" s="186"/>
      <c r="AG23" s="186"/>
      <c r="AH23" s="186"/>
      <c r="AI23" s="186"/>
      <c r="AJ23" s="186"/>
      <c r="AK23" s="187"/>
      <c r="AL23" s="187"/>
    </row>
    <row r="24" spans="1:39" ht="54.95" customHeight="1" thickTop="1" thickBot="1">
      <c r="A24" s="188"/>
      <c r="B24" s="188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86"/>
      <c r="AD24" s="186"/>
      <c r="AE24" s="186"/>
      <c r="AF24" s="186"/>
      <c r="AG24" s="186"/>
      <c r="AH24" s="186"/>
      <c r="AI24" s="186"/>
      <c r="AJ24" s="186"/>
      <c r="AK24" s="187"/>
      <c r="AL24" s="187"/>
    </row>
    <row r="25" spans="1:39" ht="52.5" customHeight="1" thickBot="1">
      <c r="A25" s="374" t="s">
        <v>0</v>
      </c>
      <c r="B25" s="375" t="str">
        <f>B1</f>
        <v>REIGNIER_Carrefour Marsinge / Viaison (au-dessus du Fil des Saisons)</v>
      </c>
      <c r="C25" s="376"/>
      <c r="D25" s="376"/>
      <c r="E25" s="376"/>
      <c r="F25" s="377"/>
      <c r="G25" s="377"/>
      <c r="H25" s="376"/>
      <c r="I25" s="376"/>
      <c r="J25" s="377"/>
      <c r="K25" s="377"/>
      <c r="L25" s="378"/>
      <c r="M25" s="331" t="s">
        <v>30</v>
      </c>
      <c r="N25" s="379" t="str">
        <f>N1</f>
        <v>mardi 31 mai 2022</v>
      </c>
      <c r="O25" s="376"/>
      <c r="P25" s="376"/>
      <c r="Q25" s="376"/>
      <c r="R25" s="376"/>
      <c r="S25" s="376"/>
      <c r="T25" s="376"/>
      <c r="U25" s="376"/>
      <c r="V25" s="380"/>
      <c r="W25" s="381"/>
      <c r="X25" s="381"/>
      <c r="Y25" s="381"/>
      <c r="Z25" s="382"/>
      <c r="AA25" s="444" t="s">
        <v>0</v>
      </c>
      <c r="AB25" s="375" t="str">
        <f>B25</f>
        <v>REIGNIER_Carrefour Marsinge / Viaison (au-dessus du Fil des Saisons)</v>
      </c>
      <c r="AC25" s="376"/>
      <c r="AD25" s="376"/>
      <c r="AE25" s="376"/>
      <c r="AF25" s="445"/>
      <c r="AG25" s="446" t="s">
        <v>1</v>
      </c>
      <c r="AH25" s="379" t="str">
        <f>N25</f>
        <v>mardi 31 mai 2022</v>
      </c>
      <c r="AI25" s="376"/>
      <c r="AJ25" s="376"/>
      <c r="AK25" s="447"/>
      <c r="AL25" s="380"/>
      <c r="AM25" s="448"/>
    </row>
    <row r="26" spans="1:39" ht="52.5" customHeight="1" thickBot="1">
      <c r="A26" s="318" t="s">
        <v>2</v>
      </c>
      <c r="B26" s="319"/>
      <c r="C26" s="319"/>
      <c r="D26" s="319"/>
      <c r="E26" s="319"/>
      <c r="F26" s="319"/>
      <c r="G26" s="375" t="str">
        <f>G2</f>
        <v>Francis AMACHER</v>
      </c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80"/>
      <c r="W26" s="319"/>
      <c r="X26" s="319"/>
      <c r="Y26" s="319"/>
      <c r="Z26" s="319"/>
      <c r="AA26" s="318" t="s">
        <v>2</v>
      </c>
      <c r="AB26" s="319"/>
      <c r="AC26" s="319"/>
      <c r="AD26" s="319"/>
      <c r="AE26" s="375" t="str">
        <f>G26</f>
        <v>Francis AMACHER</v>
      </c>
      <c r="AF26" s="376"/>
      <c r="AG26" s="376"/>
      <c r="AH26" s="376"/>
      <c r="AI26" s="376"/>
      <c r="AJ26" s="376"/>
      <c r="AK26" s="376"/>
      <c r="AL26" s="380"/>
      <c r="AM26" s="319"/>
    </row>
    <row r="27" spans="1:39" ht="52.5" customHeight="1" thickBot="1">
      <c r="A27" s="318" t="s">
        <v>3</v>
      </c>
      <c r="B27" s="319"/>
      <c r="C27" s="375">
        <f>C3</f>
        <v>0</v>
      </c>
      <c r="D27" s="376"/>
      <c r="E27" s="376"/>
      <c r="F27" s="376"/>
      <c r="G27" s="376"/>
      <c r="H27" s="376"/>
      <c r="I27" s="376"/>
      <c r="J27" s="376"/>
      <c r="K27" s="376"/>
      <c r="L27" s="376"/>
      <c r="M27" s="376"/>
      <c r="N27" s="376"/>
      <c r="O27" s="376"/>
      <c r="P27" s="376"/>
      <c r="Q27" s="376"/>
      <c r="R27" s="376"/>
      <c r="S27" s="376"/>
      <c r="T27" s="376"/>
      <c r="U27" s="376"/>
      <c r="V27" s="380"/>
      <c r="W27" s="319"/>
      <c r="X27" s="319"/>
      <c r="Y27" s="319"/>
      <c r="Z27" s="336"/>
      <c r="AA27" s="318" t="s">
        <v>3</v>
      </c>
      <c r="AB27" s="319"/>
      <c r="AC27" s="375">
        <f>C27</f>
        <v>0</v>
      </c>
      <c r="AD27" s="376"/>
      <c r="AE27" s="376"/>
      <c r="AF27" s="376"/>
      <c r="AG27" s="376"/>
      <c r="AH27" s="376"/>
      <c r="AI27" s="376"/>
      <c r="AJ27" s="376"/>
      <c r="AK27" s="376"/>
      <c r="AL27" s="380"/>
      <c r="AM27" s="449"/>
    </row>
    <row r="28" spans="1:39" ht="52.5" customHeight="1" thickBot="1">
      <c r="A28" s="318" t="s">
        <v>27</v>
      </c>
      <c r="B28" s="319"/>
      <c r="C28" s="375">
        <f>C4</f>
        <v>0</v>
      </c>
      <c r="D28" s="376"/>
      <c r="E28" s="376"/>
      <c r="F28" s="376"/>
      <c r="G28" s="376"/>
      <c r="H28" s="376"/>
      <c r="I28" s="376"/>
      <c r="J28" s="376"/>
      <c r="K28" s="376"/>
      <c r="L28" s="376"/>
      <c r="M28" s="376"/>
      <c r="N28" s="376"/>
      <c r="O28" s="376"/>
      <c r="P28" s="376"/>
      <c r="Q28" s="376"/>
      <c r="R28" s="376"/>
      <c r="S28" s="376"/>
      <c r="T28" s="376"/>
      <c r="U28" s="376"/>
      <c r="V28" s="380"/>
      <c r="W28" s="319"/>
      <c r="X28" s="319"/>
      <c r="Y28" s="319"/>
      <c r="Z28" s="336"/>
      <c r="AA28" s="318" t="s">
        <v>27</v>
      </c>
      <c r="AB28" s="319"/>
      <c r="AC28" s="375">
        <f>C28</f>
        <v>0</v>
      </c>
      <c r="AD28" s="376"/>
      <c r="AE28" s="376"/>
      <c r="AF28" s="376"/>
      <c r="AG28" s="376"/>
      <c r="AH28" s="376"/>
      <c r="AI28" s="376"/>
      <c r="AJ28" s="376"/>
      <c r="AK28" s="376"/>
      <c r="AL28" s="380"/>
      <c r="AM28" s="449"/>
    </row>
    <row r="29" spans="1:39" ht="25.5" customHeight="1">
      <c r="A29" s="337"/>
      <c r="B29" s="319"/>
      <c r="C29" s="319"/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36"/>
      <c r="S29" s="319"/>
      <c r="T29" s="319"/>
      <c r="U29" s="319"/>
      <c r="V29" s="319"/>
      <c r="W29" s="319"/>
      <c r="X29" s="319"/>
      <c r="Y29" s="319"/>
      <c r="Z29" s="336"/>
      <c r="AA29" s="337"/>
      <c r="AB29" s="319"/>
      <c r="AC29" s="319"/>
      <c r="AD29" s="319"/>
      <c r="AE29" s="319"/>
      <c r="AF29" s="319"/>
      <c r="AG29" s="319"/>
      <c r="AH29" s="319"/>
      <c r="AI29" s="319"/>
      <c r="AJ29" s="319"/>
      <c r="AK29" s="319"/>
      <c r="AL29" s="319"/>
      <c r="AM29" s="319"/>
    </row>
    <row r="30" spans="1:39" ht="25.5" customHeight="1">
      <c r="A30" s="337"/>
      <c r="B30" s="319"/>
      <c r="C30" s="319"/>
      <c r="D30" s="319"/>
      <c r="E30" s="319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36"/>
      <c r="S30" s="319"/>
      <c r="T30" s="319"/>
      <c r="U30" s="319"/>
      <c r="V30" s="319"/>
      <c r="W30" s="319"/>
      <c r="X30" s="319"/>
      <c r="Y30" s="319"/>
      <c r="Z30" s="336"/>
      <c r="AA30" s="337"/>
      <c r="AB30" s="319"/>
      <c r="AC30" s="319"/>
      <c r="AD30" s="319"/>
      <c r="AE30" s="319"/>
      <c r="AF30" s="319"/>
      <c r="AG30" s="319"/>
      <c r="AH30" s="319"/>
      <c r="AI30" s="319"/>
      <c r="AJ30" s="319"/>
      <c r="AK30" s="319"/>
      <c r="AL30" s="336"/>
      <c r="AM30" s="336"/>
    </row>
    <row r="31" spans="1:39" ht="25.5" customHeight="1" thickBot="1">
      <c r="A31" s="337"/>
      <c r="B31" s="319"/>
      <c r="C31" s="319"/>
      <c r="D31" s="319"/>
      <c r="E31" s="319"/>
      <c r="F31" s="319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36"/>
      <c r="S31" s="319"/>
      <c r="T31" s="319"/>
      <c r="U31" s="319"/>
      <c r="V31" s="319"/>
      <c r="W31" s="319"/>
      <c r="X31" s="319"/>
      <c r="Y31" s="319"/>
      <c r="Z31" s="336"/>
      <c r="AA31" s="336"/>
      <c r="AB31" s="336"/>
      <c r="AC31" s="336"/>
      <c r="AD31" s="336"/>
      <c r="AE31" s="336"/>
      <c r="AF31" s="336"/>
      <c r="AG31" s="336"/>
      <c r="AH31" s="336"/>
      <c r="AI31" s="336"/>
      <c r="AJ31" s="336"/>
      <c r="AK31" s="336"/>
      <c r="AL31" s="336"/>
      <c r="AM31" s="336"/>
    </row>
    <row r="32" spans="1:39" ht="32.25" customHeight="1" thickTop="1">
      <c r="A32" s="384"/>
      <c r="B32" s="385"/>
      <c r="C32" s="826" t="str">
        <f>C8</f>
        <v>Depuis 'Esery'</v>
      </c>
      <c r="D32" s="827"/>
      <c r="E32" s="827"/>
      <c r="F32" s="827"/>
      <c r="G32" s="827"/>
      <c r="H32" s="827"/>
      <c r="I32" s="827"/>
      <c r="J32" s="827"/>
      <c r="K32" s="827" t="str">
        <f>K8</f>
        <v>Depuis 'Reignier'</v>
      </c>
      <c r="L32" s="827"/>
      <c r="M32" s="827"/>
      <c r="N32" s="827"/>
      <c r="O32" s="827"/>
      <c r="P32" s="827"/>
      <c r="Q32" s="827"/>
      <c r="R32" s="828"/>
      <c r="S32" s="827" t="str">
        <f>S8</f>
        <v>Depuis 'Annemasse'</v>
      </c>
      <c r="T32" s="827"/>
      <c r="U32" s="827"/>
      <c r="V32" s="827"/>
      <c r="W32" s="827"/>
      <c r="X32" s="827"/>
      <c r="Y32" s="827"/>
      <c r="Z32" s="828"/>
      <c r="AA32" s="384"/>
      <c r="AB32" s="385"/>
      <c r="AC32" s="1047" t="s">
        <v>12</v>
      </c>
      <c r="AD32" s="829" t="s">
        <v>14</v>
      </c>
      <c r="AE32" s="1044" t="s">
        <v>15</v>
      </c>
      <c r="AF32" s="1031" t="s">
        <v>18</v>
      </c>
      <c r="AG32" s="829" t="s">
        <v>16</v>
      </c>
      <c r="AH32" s="829" t="s">
        <v>79</v>
      </c>
      <c r="AI32" s="829" t="s">
        <v>118</v>
      </c>
      <c r="AJ32" s="832" t="s">
        <v>31</v>
      </c>
      <c r="AK32" s="833"/>
      <c r="AL32" s="833"/>
      <c r="AM32" s="834"/>
    </row>
    <row r="33" spans="1:39" ht="22.7" customHeight="1">
      <c r="A33" s="384"/>
      <c r="B33" s="385"/>
      <c r="C33" s="823" t="str">
        <f>C9</f>
        <v>vers 'Reignier'</v>
      </c>
      <c r="D33" s="824"/>
      <c r="E33" s="824"/>
      <c r="F33" s="824"/>
      <c r="G33" s="823" t="str">
        <f t="shared" ref="G33" si="0">G9</f>
        <v>vers 'Annemasse'</v>
      </c>
      <c r="H33" s="824"/>
      <c r="I33" s="824"/>
      <c r="J33" s="824"/>
      <c r="K33" s="823" t="str">
        <f t="shared" ref="K33" si="1">K9</f>
        <v>vers 'Esery'</v>
      </c>
      <c r="L33" s="824"/>
      <c r="M33" s="824"/>
      <c r="N33" s="824"/>
      <c r="O33" s="823" t="str">
        <f t="shared" ref="O33" si="2">O9</f>
        <v>vers 'Annemasse'</v>
      </c>
      <c r="P33" s="824"/>
      <c r="Q33" s="824"/>
      <c r="R33" s="824"/>
      <c r="S33" s="823" t="str">
        <f t="shared" ref="S33" si="3">S9</f>
        <v>vers 'Reignier'</v>
      </c>
      <c r="T33" s="824"/>
      <c r="U33" s="824"/>
      <c r="V33" s="824"/>
      <c r="W33" s="823" t="str">
        <f t="shared" ref="W33" si="4">W9</f>
        <v>vers 'Esery'</v>
      </c>
      <c r="X33" s="824"/>
      <c r="Y33" s="824"/>
      <c r="Z33" s="825"/>
      <c r="AA33" s="384"/>
      <c r="AB33" s="385"/>
      <c r="AC33" s="1048"/>
      <c r="AD33" s="830"/>
      <c r="AE33" s="1045"/>
      <c r="AF33" s="1032"/>
      <c r="AG33" s="830"/>
      <c r="AH33" s="830"/>
      <c r="AI33" s="830"/>
      <c r="AJ33" s="835"/>
      <c r="AK33" s="836"/>
      <c r="AL33" s="836"/>
      <c r="AM33" s="837"/>
    </row>
    <row r="34" spans="1:39" ht="18.600000000000001" customHeight="1" thickBot="1">
      <c r="A34" s="384"/>
      <c r="B34" s="385"/>
      <c r="C34" s="1014" t="s">
        <v>4</v>
      </c>
      <c r="D34" s="1003"/>
      <c r="E34" s="820" t="s">
        <v>5</v>
      </c>
      <c r="F34" s="822"/>
      <c r="G34" s="1002" t="s">
        <v>4</v>
      </c>
      <c r="H34" s="1003"/>
      <c r="I34" s="820" t="s">
        <v>5</v>
      </c>
      <c r="J34" s="822"/>
      <c r="K34" s="1002" t="s">
        <v>4</v>
      </c>
      <c r="L34" s="1003"/>
      <c r="M34" s="820" t="s">
        <v>5</v>
      </c>
      <c r="N34" s="822"/>
      <c r="O34" s="1002" t="s">
        <v>4</v>
      </c>
      <c r="P34" s="1003"/>
      <c r="Q34" s="820" t="s">
        <v>5</v>
      </c>
      <c r="R34" s="821"/>
      <c r="S34" s="1002" t="s">
        <v>4</v>
      </c>
      <c r="T34" s="1003"/>
      <c r="U34" s="820" t="s">
        <v>5</v>
      </c>
      <c r="V34" s="822"/>
      <c r="W34" s="1002" t="s">
        <v>4</v>
      </c>
      <c r="X34" s="1003"/>
      <c r="Y34" s="1038" t="s">
        <v>5</v>
      </c>
      <c r="Z34" s="1039"/>
      <c r="AA34" s="384"/>
      <c r="AB34" s="385"/>
      <c r="AC34" s="1048"/>
      <c r="AD34" s="830"/>
      <c r="AE34" s="1045"/>
      <c r="AF34" s="1032"/>
      <c r="AG34" s="830"/>
      <c r="AH34" s="830"/>
      <c r="AI34" s="830"/>
      <c r="AJ34" s="835"/>
      <c r="AK34" s="836"/>
      <c r="AL34" s="836"/>
      <c r="AM34" s="837"/>
    </row>
    <row r="35" spans="1:39" ht="21" thickTop="1">
      <c r="A35" s="1040" t="s">
        <v>13</v>
      </c>
      <c r="B35" s="1041"/>
      <c r="C35" s="338" t="s">
        <v>8</v>
      </c>
      <c r="D35" s="339" t="s">
        <v>9</v>
      </c>
      <c r="E35" s="340" t="s">
        <v>8</v>
      </c>
      <c r="F35" s="341" t="s">
        <v>9</v>
      </c>
      <c r="G35" s="342" t="s">
        <v>8</v>
      </c>
      <c r="H35" s="339" t="s">
        <v>9</v>
      </c>
      <c r="I35" s="340" t="s">
        <v>8</v>
      </c>
      <c r="J35" s="341" t="s">
        <v>9</v>
      </c>
      <c r="K35" s="342" t="s">
        <v>8</v>
      </c>
      <c r="L35" s="339" t="s">
        <v>9</v>
      </c>
      <c r="M35" s="340" t="s">
        <v>8</v>
      </c>
      <c r="N35" s="341" t="s">
        <v>9</v>
      </c>
      <c r="O35" s="342" t="s">
        <v>8</v>
      </c>
      <c r="P35" s="339" t="s">
        <v>9</v>
      </c>
      <c r="Q35" s="340" t="s">
        <v>8</v>
      </c>
      <c r="R35" s="343" t="s">
        <v>9</v>
      </c>
      <c r="S35" s="342" t="s">
        <v>8</v>
      </c>
      <c r="T35" s="339" t="s">
        <v>9</v>
      </c>
      <c r="U35" s="340" t="s">
        <v>8</v>
      </c>
      <c r="V35" s="341" t="s">
        <v>9</v>
      </c>
      <c r="W35" s="342" t="s">
        <v>8</v>
      </c>
      <c r="X35" s="339" t="s">
        <v>9</v>
      </c>
      <c r="Y35" s="340" t="s">
        <v>8</v>
      </c>
      <c r="Z35" s="343" t="s">
        <v>9</v>
      </c>
      <c r="AA35" s="1042" t="s">
        <v>13</v>
      </c>
      <c r="AB35" s="1043"/>
      <c r="AC35" s="1048"/>
      <c r="AD35" s="831"/>
      <c r="AE35" s="1046"/>
      <c r="AF35" s="1033"/>
      <c r="AG35" s="831"/>
      <c r="AH35" s="831"/>
      <c r="AI35" s="831"/>
      <c r="AJ35" s="838"/>
      <c r="AK35" s="839"/>
      <c r="AL35" s="839"/>
      <c r="AM35" s="840"/>
    </row>
    <row r="36" spans="1:39" ht="54.95" customHeight="1">
      <c r="A36" s="1034" t="s">
        <v>28</v>
      </c>
      <c r="B36" s="1035"/>
      <c r="C36" s="344">
        <f>SUM(C12:C15)</f>
        <v>0</v>
      </c>
      <c r="D36" s="345">
        <f t="shared" ref="D36:Z36" si="5">SUM(D12:D15)</f>
        <v>0</v>
      </c>
      <c r="E36" s="346">
        <f t="shared" si="5"/>
        <v>0</v>
      </c>
      <c r="F36" s="347">
        <f t="shared" si="5"/>
        <v>0</v>
      </c>
      <c r="G36" s="348">
        <f t="shared" si="5"/>
        <v>0</v>
      </c>
      <c r="H36" s="345">
        <f t="shared" si="5"/>
        <v>0</v>
      </c>
      <c r="I36" s="346">
        <f t="shared" si="5"/>
        <v>0</v>
      </c>
      <c r="J36" s="347">
        <f t="shared" si="5"/>
        <v>0</v>
      </c>
      <c r="K36" s="348">
        <f t="shared" si="5"/>
        <v>0</v>
      </c>
      <c r="L36" s="345">
        <f t="shared" si="5"/>
        <v>0</v>
      </c>
      <c r="M36" s="346">
        <f t="shared" si="5"/>
        <v>0</v>
      </c>
      <c r="N36" s="347">
        <f t="shared" si="5"/>
        <v>0</v>
      </c>
      <c r="O36" s="348">
        <f t="shared" si="5"/>
        <v>5</v>
      </c>
      <c r="P36" s="345">
        <f t="shared" si="5"/>
        <v>2</v>
      </c>
      <c r="Q36" s="346">
        <f t="shared" si="5"/>
        <v>0</v>
      </c>
      <c r="R36" s="349">
        <f t="shared" si="5"/>
        <v>0</v>
      </c>
      <c r="S36" s="348">
        <f t="shared" si="5"/>
        <v>0</v>
      </c>
      <c r="T36" s="345">
        <f t="shared" si="5"/>
        <v>0</v>
      </c>
      <c r="U36" s="346">
        <f t="shared" si="5"/>
        <v>0</v>
      </c>
      <c r="V36" s="347">
        <f t="shared" si="5"/>
        <v>0</v>
      </c>
      <c r="W36" s="348">
        <f t="shared" si="5"/>
        <v>0</v>
      </c>
      <c r="X36" s="345">
        <f t="shared" si="5"/>
        <v>0</v>
      </c>
      <c r="Y36" s="346">
        <f t="shared" si="5"/>
        <v>0</v>
      </c>
      <c r="Z36" s="349">
        <f t="shared" si="5"/>
        <v>0</v>
      </c>
      <c r="AA36" s="1036" t="s">
        <v>28</v>
      </c>
      <c r="AB36" s="1037"/>
      <c r="AC36" s="450">
        <f t="shared" ref="AC36:AC42" si="6">SUM(C36:Z36)</f>
        <v>7</v>
      </c>
      <c r="AD36" s="243">
        <f>IF(AC36=0,0,AD48/AC36)</f>
        <v>0.7142857142857143</v>
      </c>
      <c r="AE36" s="243">
        <f>IF(AC36=0,0,AE48/AC36)</f>
        <v>0</v>
      </c>
      <c r="AF36" s="243">
        <f>IF(AE48=0,0,AF48/AE48)</f>
        <v>0</v>
      </c>
      <c r="AG36" s="243">
        <f t="shared" ref="AG36:AG42" si="7">IF(AC36=0,0,AG48/AC36)</f>
        <v>1</v>
      </c>
      <c r="AH36" s="243">
        <f>IF(AC36=0,0,AH48/AC36)</f>
        <v>1</v>
      </c>
      <c r="AI36" s="243">
        <f>IF(AC36=0,0,AI48/AC36)</f>
        <v>0</v>
      </c>
      <c r="AJ36" s="841"/>
      <c r="AK36" s="842"/>
      <c r="AL36" s="842"/>
      <c r="AM36" s="843"/>
    </row>
    <row r="37" spans="1:39" ht="54.95" customHeight="1">
      <c r="A37" s="1019" t="s">
        <v>11</v>
      </c>
      <c r="B37" s="1020"/>
      <c r="C37" s="350">
        <f>SUM(C14:C17)</f>
        <v>0</v>
      </c>
      <c r="D37" s="351">
        <f t="shared" ref="D37:Z37" si="8">SUM(D14:D17)</f>
        <v>0</v>
      </c>
      <c r="E37" s="352">
        <f t="shared" si="8"/>
        <v>0</v>
      </c>
      <c r="F37" s="353">
        <f t="shared" si="8"/>
        <v>0</v>
      </c>
      <c r="G37" s="354">
        <f t="shared" si="8"/>
        <v>1</v>
      </c>
      <c r="H37" s="351">
        <f t="shared" si="8"/>
        <v>0</v>
      </c>
      <c r="I37" s="352">
        <f t="shared" si="8"/>
        <v>0</v>
      </c>
      <c r="J37" s="353">
        <f t="shared" si="8"/>
        <v>0</v>
      </c>
      <c r="K37" s="354">
        <f t="shared" si="8"/>
        <v>0</v>
      </c>
      <c r="L37" s="351">
        <f t="shared" si="8"/>
        <v>0</v>
      </c>
      <c r="M37" s="352">
        <f t="shared" si="8"/>
        <v>0</v>
      </c>
      <c r="N37" s="353">
        <f t="shared" si="8"/>
        <v>0</v>
      </c>
      <c r="O37" s="354">
        <f t="shared" si="8"/>
        <v>3</v>
      </c>
      <c r="P37" s="351">
        <f t="shared" si="8"/>
        <v>2</v>
      </c>
      <c r="Q37" s="352">
        <f t="shared" si="8"/>
        <v>1</v>
      </c>
      <c r="R37" s="355">
        <f t="shared" si="8"/>
        <v>0</v>
      </c>
      <c r="S37" s="354">
        <f t="shared" si="8"/>
        <v>0</v>
      </c>
      <c r="T37" s="351">
        <f t="shared" si="8"/>
        <v>0</v>
      </c>
      <c r="U37" s="352">
        <f t="shared" si="8"/>
        <v>0</v>
      </c>
      <c r="V37" s="353">
        <f t="shared" si="8"/>
        <v>0</v>
      </c>
      <c r="W37" s="354">
        <f t="shared" si="8"/>
        <v>0</v>
      </c>
      <c r="X37" s="351">
        <f t="shared" si="8"/>
        <v>0</v>
      </c>
      <c r="Y37" s="352">
        <f t="shared" si="8"/>
        <v>0</v>
      </c>
      <c r="Z37" s="355">
        <f t="shared" si="8"/>
        <v>0</v>
      </c>
      <c r="AA37" s="1021" t="s">
        <v>11</v>
      </c>
      <c r="AB37" s="1022"/>
      <c r="AC37" s="451">
        <f t="shared" si="6"/>
        <v>7</v>
      </c>
      <c r="AD37" s="245">
        <f t="shared" ref="AD37:AD42" si="9">IF(AC37=0,0,AD49/AC37)</f>
        <v>0.7142857142857143</v>
      </c>
      <c r="AE37" s="245">
        <f t="shared" ref="AE37:AE42" si="10">IF(AC37=0,0,AE49/AC37)</f>
        <v>0.14285714285714285</v>
      </c>
      <c r="AF37" s="245">
        <f t="shared" ref="AF37:AF42" si="11">IF(AE49=0,0,AF49/AE49)</f>
        <v>1</v>
      </c>
      <c r="AG37" s="245">
        <f t="shared" si="7"/>
        <v>1</v>
      </c>
      <c r="AH37" s="245">
        <f t="shared" ref="AH37:AH42" si="12">IF(AC37=0,0,AH49/AC37)</f>
        <v>0.8571428571428571</v>
      </c>
      <c r="AI37" s="245">
        <f t="shared" ref="AI37:AI42" si="13">IF(AC37=0,0,AI49/AC37)</f>
        <v>0.14285714285714285</v>
      </c>
      <c r="AJ37" s="844"/>
      <c r="AK37" s="845"/>
      <c r="AL37" s="845"/>
      <c r="AM37" s="846"/>
    </row>
    <row r="38" spans="1:39" ht="54.95" customHeight="1">
      <c r="A38" s="1019" t="s">
        <v>17</v>
      </c>
      <c r="B38" s="1020"/>
      <c r="C38" s="350">
        <f>SUM(C16:C19)</f>
        <v>0</v>
      </c>
      <c r="D38" s="351">
        <f t="shared" ref="D38:Z38" si="14">SUM(D16:D19)</f>
        <v>0</v>
      </c>
      <c r="E38" s="352">
        <f t="shared" si="14"/>
        <v>0</v>
      </c>
      <c r="F38" s="353">
        <f t="shared" si="14"/>
        <v>0</v>
      </c>
      <c r="G38" s="354">
        <f t="shared" si="14"/>
        <v>1</v>
      </c>
      <c r="H38" s="351">
        <f t="shared" si="14"/>
        <v>0</v>
      </c>
      <c r="I38" s="352">
        <f t="shared" si="14"/>
        <v>0</v>
      </c>
      <c r="J38" s="353">
        <f t="shared" si="14"/>
        <v>0</v>
      </c>
      <c r="K38" s="354">
        <f t="shared" si="14"/>
        <v>0</v>
      </c>
      <c r="L38" s="351">
        <f t="shared" si="14"/>
        <v>0</v>
      </c>
      <c r="M38" s="352">
        <f t="shared" si="14"/>
        <v>0</v>
      </c>
      <c r="N38" s="353">
        <f t="shared" si="14"/>
        <v>0</v>
      </c>
      <c r="O38" s="354">
        <f t="shared" si="14"/>
        <v>0</v>
      </c>
      <c r="P38" s="351">
        <f t="shared" si="14"/>
        <v>2</v>
      </c>
      <c r="Q38" s="352">
        <f t="shared" si="14"/>
        <v>1</v>
      </c>
      <c r="R38" s="355">
        <f t="shared" si="14"/>
        <v>0</v>
      </c>
      <c r="S38" s="354">
        <f t="shared" si="14"/>
        <v>0</v>
      </c>
      <c r="T38" s="351">
        <f t="shared" si="14"/>
        <v>0</v>
      </c>
      <c r="U38" s="352">
        <f t="shared" si="14"/>
        <v>0</v>
      </c>
      <c r="V38" s="353">
        <f t="shared" si="14"/>
        <v>0</v>
      </c>
      <c r="W38" s="354">
        <f t="shared" si="14"/>
        <v>0</v>
      </c>
      <c r="X38" s="351">
        <f t="shared" si="14"/>
        <v>0</v>
      </c>
      <c r="Y38" s="352">
        <f t="shared" si="14"/>
        <v>0</v>
      </c>
      <c r="Z38" s="355">
        <f t="shared" si="14"/>
        <v>0</v>
      </c>
      <c r="AA38" s="1021" t="s">
        <v>17</v>
      </c>
      <c r="AB38" s="1022"/>
      <c r="AC38" s="451">
        <f t="shared" si="6"/>
        <v>4</v>
      </c>
      <c r="AD38" s="245">
        <f t="shared" si="9"/>
        <v>0.5</v>
      </c>
      <c r="AE38" s="245">
        <f t="shared" si="10"/>
        <v>0.25</v>
      </c>
      <c r="AF38" s="245">
        <f t="shared" si="11"/>
        <v>1</v>
      </c>
      <c r="AG38" s="245">
        <f t="shared" si="7"/>
        <v>1</v>
      </c>
      <c r="AH38" s="245">
        <f t="shared" si="12"/>
        <v>0.75</v>
      </c>
      <c r="AI38" s="245">
        <f t="shared" si="13"/>
        <v>0.25</v>
      </c>
      <c r="AJ38" s="844"/>
      <c r="AK38" s="845"/>
      <c r="AL38" s="845"/>
      <c r="AM38" s="846"/>
    </row>
    <row r="39" spans="1:39" ht="54.95" customHeight="1">
      <c r="A39" s="1019" t="s">
        <v>10</v>
      </c>
      <c r="B39" s="1020"/>
      <c r="C39" s="350">
        <f>SUM(C18:C21)</f>
        <v>0</v>
      </c>
      <c r="D39" s="351">
        <f t="shared" ref="D39:Z39" si="15">SUM(D18:D21)</f>
        <v>0</v>
      </c>
      <c r="E39" s="352">
        <f t="shared" si="15"/>
        <v>0</v>
      </c>
      <c r="F39" s="353">
        <f t="shared" si="15"/>
        <v>0</v>
      </c>
      <c r="G39" s="354">
        <f t="shared" si="15"/>
        <v>0</v>
      </c>
      <c r="H39" s="351">
        <f t="shared" si="15"/>
        <v>0</v>
      </c>
      <c r="I39" s="352">
        <f t="shared" si="15"/>
        <v>0</v>
      </c>
      <c r="J39" s="353">
        <f t="shared" si="15"/>
        <v>0</v>
      </c>
      <c r="K39" s="354">
        <f t="shared" si="15"/>
        <v>0</v>
      </c>
      <c r="L39" s="351">
        <f t="shared" si="15"/>
        <v>0</v>
      </c>
      <c r="M39" s="352">
        <f t="shared" si="15"/>
        <v>0</v>
      </c>
      <c r="N39" s="353">
        <f t="shared" si="15"/>
        <v>0</v>
      </c>
      <c r="O39" s="354">
        <f t="shared" si="15"/>
        <v>0</v>
      </c>
      <c r="P39" s="351">
        <f t="shared" si="15"/>
        <v>1</v>
      </c>
      <c r="Q39" s="352">
        <f t="shared" si="15"/>
        <v>0</v>
      </c>
      <c r="R39" s="355">
        <f t="shared" si="15"/>
        <v>0</v>
      </c>
      <c r="S39" s="354">
        <f t="shared" si="15"/>
        <v>0</v>
      </c>
      <c r="T39" s="351">
        <f t="shared" si="15"/>
        <v>0</v>
      </c>
      <c r="U39" s="352">
        <f t="shared" si="15"/>
        <v>0</v>
      </c>
      <c r="V39" s="353">
        <f t="shared" si="15"/>
        <v>0</v>
      </c>
      <c r="W39" s="354">
        <f t="shared" si="15"/>
        <v>0</v>
      </c>
      <c r="X39" s="351">
        <f t="shared" si="15"/>
        <v>0</v>
      </c>
      <c r="Y39" s="352">
        <f t="shared" si="15"/>
        <v>0</v>
      </c>
      <c r="Z39" s="355">
        <f t="shared" si="15"/>
        <v>0</v>
      </c>
      <c r="AA39" s="1021" t="s">
        <v>10</v>
      </c>
      <c r="AB39" s="1022"/>
      <c r="AC39" s="451">
        <f t="shared" si="6"/>
        <v>1</v>
      </c>
      <c r="AD39" s="245">
        <f t="shared" si="9"/>
        <v>0</v>
      </c>
      <c r="AE39" s="245">
        <f t="shared" si="10"/>
        <v>0</v>
      </c>
      <c r="AF39" s="245">
        <f t="shared" si="11"/>
        <v>0</v>
      </c>
      <c r="AG39" s="245">
        <f t="shared" si="7"/>
        <v>1</v>
      </c>
      <c r="AH39" s="245">
        <f t="shared" si="12"/>
        <v>1</v>
      </c>
      <c r="AI39" s="245">
        <f t="shared" si="13"/>
        <v>0</v>
      </c>
      <c r="AJ39" s="844"/>
      <c r="AK39" s="845"/>
      <c r="AL39" s="845"/>
      <c r="AM39" s="846"/>
    </row>
    <row r="40" spans="1:39" ht="54.95" customHeight="1">
      <c r="A40" s="1023" t="s">
        <v>29</v>
      </c>
      <c r="B40" s="1024"/>
      <c r="C40" s="356">
        <f>SUM(C20:C23)</f>
        <v>0</v>
      </c>
      <c r="D40" s="357">
        <f t="shared" ref="D40:Z40" si="16">SUM(D20:D23)</f>
        <v>0</v>
      </c>
      <c r="E40" s="358">
        <f t="shared" si="16"/>
        <v>0</v>
      </c>
      <c r="F40" s="359">
        <f t="shared" si="16"/>
        <v>0</v>
      </c>
      <c r="G40" s="360">
        <f t="shared" si="16"/>
        <v>0</v>
      </c>
      <c r="H40" s="357">
        <f t="shared" si="16"/>
        <v>0</v>
      </c>
      <c r="I40" s="358">
        <f t="shared" si="16"/>
        <v>0</v>
      </c>
      <c r="J40" s="359">
        <f t="shared" si="16"/>
        <v>0</v>
      </c>
      <c r="K40" s="360">
        <f t="shared" si="16"/>
        <v>0</v>
      </c>
      <c r="L40" s="357">
        <f t="shared" si="16"/>
        <v>0</v>
      </c>
      <c r="M40" s="358">
        <f t="shared" si="16"/>
        <v>0</v>
      </c>
      <c r="N40" s="359">
        <f t="shared" si="16"/>
        <v>0</v>
      </c>
      <c r="O40" s="360">
        <f t="shared" si="16"/>
        <v>0</v>
      </c>
      <c r="P40" s="357">
        <f t="shared" si="16"/>
        <v>0</v>
      </c>
      <c r="Q40" s="358">
        <f t="shared" si="16"/>
        <v>0</v>
      </c>
      <c r="R40" s="361">
        <f t="shared" si="16"/>
        <v>0</v>
      </c>
      <c r="S40" s="360">
        <f t="shared" si="16"/>
        <v>0</v>
      </c>
      <c r="T40" s="357">
        <f t="shared" si="16"/>
        <v>0</v>
      </c>
      <c r="U40" s="358">
        <f t="shared" si="16"/>
        <v>0</v>
      </c>
      <c r="V40" s="359">
        <f t="shared" si="16"/>
        <v>0</v>
      </c>
      <c r="W40" s="360">
        <f t="shared" si="16"/>
        <v>0</v>
      </c>
      <c r="X40" s="357">
        <f t="shared" si="16"/>
        <v>0</v>
      </c>
      <c r="Y40" s="358">
        <f t="shared" si="16"/>
        <v>0</v>
      </c>
      <c r="Z40" s="361">
        <f t="shared" si="16"/>
        <v>0</v>
      </c>
      <c r="AA40" s="1025" t="s">
        <v>29</v>
      </c>
      <c r="AB40" s="1026"/>
      <c r="AC40" s="452">
        <f t="shared" si="6"/>
        <v>0</v>
      </c>
      <c r="AD40" s="247">
        <f t="shared" si="9"/>
        <v>0</v>
      </c>
      <c r="AE40" s="247">
        <f t="shared" si="10"/>
        <v>0</v>
      </c>
      <c r="AF40" s="247">
        <f t="shared" si="11"/>
        <v>0</v>
      </c>
      <c r="AG40" s="247">
        <f t="shared" si="7"/>
        <v>0</v>
      </c>
      <c r="AH40" s="247">
        <f t="shared" si="12"/>
        <v>0</v>
      </c>
      <c r="AI40" s="247">
        <f t="shared" si="13"/>
        <v>0</v>
      </c>
      <c r="AJ40" s="847"/>
      <c r="AK40" s="848"/>
      <c r="AL40" s="848"/>
      <c r="AM40" s="849"/>
    </row>
    <row r="41" spans="1:39" ht="54.95" customHeight="1">
      <c r="A41" s="1027" t="s">
        <v>12</v>
      </c>
      <c r="B41" s="1028"/>
      <c r="C41" s="362">
        <f>SUM(C12:C23)</f>
        <v>0</v>
      </c>
      <c r="D41" s="363">
        <f t="shared" ref="D41:Z41" si="17">SUM(D12:D23)</f>
        <v>0</v>
      </c>
      <c r="E41" s="364">
        <f t="shared" si="17"/>
        <v>0</v>
      </c>
      <c r="F41" s="365">
        <f t="shared" si="17"/>
        <v>0</v>
      </c>
      <c r="G41" s="366">
        <f t="shared" si="17"/>
        <v>1</v>
      </c>
      <c r="H41" s="363">
        <f t="shared" si="17"/>
        <v>0</v>
      </c>
      <c r="I41" s="364">
        <f t="shared" si="17"/>
        <v>0</v>
      </c>
      <c r="J41" s="365">
        <f t="shared" si="17"/>
        <v>0</v>
      </c>
      <c r="K41" s="366">
        <f t="shared" si="17"/>
        <v>0</v>
      </c>
      <c r="L41" s="363">
        <f t="shared" si="17"/>
        <v>0</v>
      </c>
      <c r="M41" s="364">
        <f t="shared" si="17"/>
        <v>0</v>
      </c>
      <c r="N41" s="365">
        <f t="shared" si="17"/>
        <v>0</v>
      </c>
      <c r="O41" s="366">
        <f t="shared" si="17"/>
        <v>5</v>
      </c>
      <c r="P41" s="363">
        <f t="shared" si="17"/>
        <v>4</v>
      </c>
      <c r="Q41" s="364">
        <f t="shared" si="17"/>
        <v>1</v>
      </c>
      <c r="R41" s="367">
        <f t="shared" si="17"/>
        <v>0</v>
      </c>
      <c r="S41" s="366">
        <f t="shared" si="17"/>
        <v>0</v>
      </c>
      <c r="T41" s="363">
        <f t="shared" si="17"/>
        <v>0</v>
      </c>
      <c r="U41" s="364">
        <f t="shared" si="17"/>
        <v>0</v>
      </c>
      <c r="V41" s="365">
        <f t="shared" si="17"/>
        <v>0</v>
      </c>
      <c r="W41" s="366">
        <f t="shared" si="17"/>
        <v>0</v>
      </c>
      <c r="X41" s="363">
        <f t="shared" si="17"/>
        <v>0</v>
      </c>
      <c r="Y41" s="364">
        <f t="shared" si="17"/>
        <v>0</v>
      </c>
      <c r="Z41" s="367">
        <f t="shared" si="17"/>
        <v>0</v>
      </c>
      <c r="AA41" s="1029" t="s">
        <v>12</v>
      </c>
      <c r="AB41" s="1030"/>
      <c r="AC41" s="453">
        <f t="shared" si="6"/>
        <v>11</v>
      </c>
      <c r="AD41" s="302">
        <f t="shared" si="9"/>
        <v>0.63636363636363635</v>
      </c>
      <c r="AE41" s="302">
        <f t="shared" si="10"/>
        <v>9.0909090909090912E-2</v>
      </c>
      <c r="AF41" s="302">
        <f t="shared" si="11"/>
        <v>1</v>
      </c>
      <c r="AG41" s="302">
        <f t="shared" si="7"/>
        <v>1</v>
      </c>
      <c r="AH41" s="302">
        <f t="shared" si="12"/>
        <v>0.90909090909090906</v>
      </c>
      <c r="AI41" s="302">
        <f t="shared" si="13"/>
        <v>9.0909090909090912E-2</v>
      </c>
      <c r="AJ41" s="850"/>
      <c r="AK41" s="851"/>
      <c r="AL41" s="851"/>
      <c r="AM41" s="852"/>
    </row>
    <row r="42" spans="1:39" ht="54.95" customHeight="1" thickBot="1">
      <c r="A42" s="1015" t="str">
        <f>IF($AC$36=MAX($AC$36:$AC$40),A36,IF($AC$37=MAX($AC$36:$AC$40),A37,IF($AC$38=MAX($AC$36:$AC$40),A38,IF($AC$39=MAX($AC$36:$AC$40),A39,A40))))</f>
        <v>de 6:30 à 7:30</v>
      </c>
      <c r="B42" s="1016"/>
      <c r="C42" s="368">
        <f>IF($AC$36=MAX($AC$36:$AC$40),C36,IF($AC$37=MAX($AC$36:$AC$40),C37,IF($AC$38=MAX($AC$36:$AC$40),C38,IF($AC$39=MAX($AC$36:$AC$40),C39,C40))))</f>
        <v>0</v>
      </c>
      <c r="D42" s="369">
        <f t="shared" ref="D42:Z42" si="18">IF($AC$36=MAX($AC$36:$AC$40),D36,IF($AC$37=MAX($AC$36:$AC$40),D37,IF($AC$38=MAX($AC$36:$AC$40),D38,IF($AC$39=MAX($AC$36:$AC$40),D39,D40))))</f>
        <v>0</v>
      </c>
      <c r="E42" s="370">
        <f t="shared" si="18"/>
        <v>0</v>
      </c>
      <c r="F42" s="371">
        <f t="shared" si="18"/>
        <v>0</v>
      </c>
      <c r="G42" s="372">
        <f t="shared" si="18"/>
        <v>0</v>
      </c>
      <c r="H42" s="369">
        <f t="shared" si="18"/>
        <v>0</v>
      </c>
      <c r="I42" s="370">
        <f t="shared" si="18"/>
        <v>0</v>
      </c>
      <c r="J42" s="371">
        <f t="shared" si="18"/>
        <v>0</v>
      </c>
      <c r="K42" s="372">
        <f t="shared" si="18"/>
        <v>0</v>
      </c>
      <c r="L42" s="369">
        <f t="shared" si="18"/>
        <v>0</v>
      </c>
      <c r="M42" s="370">
        <f t="shared" si="18"/>
        <v>0</v>
      </c>
      <c r="N42" s="371">
        <f t="shared" si="18"/>
        <v>0</v>
      </c>
      <c r="O42" s="372">
        <f t="shared" si="18"/>
        <v>5</v>
      </c>
      <c r="P42" s="369">
        <f t="shared" si="18"/>
        <v>2</v>
      </c>
      <c r="Q42" s="370">
        <f t="shared" si="18"/>
        <v>0</v>
      </c>
      <c r="R42" s="373">
        <f t="shared" si="18"/>
        <v>0</v>
      </c>
      <c r="S42" s="372">
        <f t="shared" si="18"/>
        <v>0</v>
      </c>
      <c r="T42" s="369">
        <f t="shared" si="18"/>
        <v>0</v>
      </c>
      <c r="U42" s="370">
        <f t="shared" si="18"/>
        <v>0</v>
      </c>
      <c r="V42" s="371">
        <f t="shared" si="18"/>
        <v>0</v>
      </c>
      <c r="W42" s="372">
        <f t="shared" si="18"/>
        <v>0</v>
      </c>
      <c r="X42" s="369">
        <f t="shared" si="18"/>
        <v>0</v>
      </c>
      <c r="Y42" s="370">
        <f t="shared" si="18"/>
        <v>0</v>
      </c>
      <c r="Z42" s="373">
        <f t="shared" si="18"/>
        <v>0</v>
      </c>
      <c r="AA42" s="1017" t="str">
        <f>A42</f>
        <v>de 6:30 à 7:30</v>
      </c>
      <c r="AB42" s="1018"/>
      <c r="AC42" s="454">
        <f t="shared" si="6"/>
        <v>7</v>
      </c>
      <c r="AD42" s="303">
        <f t="shared" si="9"/>
        <v>0.7142857142857143</v>
      </c>
      <c r="AE42" s="303">
        <f t="shared" si="10"/>
        <v>0</v>
      </c>
      <c r="AF42" s="303">
        <f t="shared" si="11"/>
        <v>0</v>
      </c>
      <c r="AG42" s="303">
        <f t="shared" si="7"/>
        <v>1</v>
      </c>
      <c r="AH42" s="303">
        <f t="shared" si="12"/>
        <v>1</v>
      </c>
      <c r="AI42" s="303">
        <f t="shared" si="13"/>
        <v>0</v>
      </c>
      <c r="AJ42" s="853"/>
      <c r="AK42" s="854"/>
      <c r="AL42" s="854"/>
      <c r="AM42" s="855"/>
    </row>
    <row r="43" spans="1:39" s="8" customFormat="1" ht="12.75" customHeight="1" thickTop="1" thickBot="1">
      <c r="A43" s="415"/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6"/>
      <c r="Q43" s="416"/>
      <c r="R43" s="416"/>
      <c r="S43" s="415"/>
      <c r="T43" s="416"/>
      <c r="U43" s="416"/>
      <c r="V43" s="416"/>
      <c r="W43" s="416"/>
      <c r="X43" s="416"/>
      <c r="Y43" s="416"/>
      <c r="Z43" s="416"/>
      <c r="AA43" s="417"/>
      <c r="AB43" s="417"/>
      <c r="AC43" s="416"/>
      <c r="AD43" s="416"/>
      <c r="AE43" s="415"/>
      <c r="AF43" s="416"/>
      <c r="AG43" s="416"/>
      <c r="AH43" s="416"/>
      <c r="AI43" s="416"/>
      <c r="AJ43" s="418"/>
      <c r="AK43" s="417"/>
      <c r="AL43" s="419"/>
      <c r="AM43" s="419"/>
    </row>
    <row r="44" spans="1:39" s="8" customFormat="1" ht="32.25" customHeight="1" thickTop="1">
      <c r="A44" s="420"/>
      <c r="B44" s="418"/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0"/>
      <c r="AB44" s="418"/>
      <c r="AC44" s="422"/>
      <c r="AD44" s="1049" t="s">
        <v>115</v>
      </c>
      <c r="AE44" s="1049" t="s">
        <v>116</v>
      </c>
      <c r="AF44" s="1049" t="s">
        <v>117</v>
      </c>
      <c r="AG44" s="1049" t="s">
        <v>19</v>
      </c>
      <c r="AH44" s="1049" t="s">
        <v>20</v>
      </c>
      <c r="AI44" s="1049" t="s">
        <v>83</v>
      </c>
      <c r="AJ44" s="423"/>
      <c r="AK44" s="424"/>
      <c r="AL44" s="424"/>
      <c r="AM44" s="419"/>
    </row>
    <row r="45" spans="1:39" s="8" customFormat="1" ht="22.7" customHeight="1">
      <c r="A45" s="420"/>
      <c r="B45" s="418"/>
      <c r="C45" s="425"/>
      <c r="D45" s="425"/>
      <c r="E45" s="425"/>
      <c r="F45" s="425"/>
      <c r="G45" s="425"/>
      <c r="H45" s="425"/>
      <c r="I45" s="425"/>
      <c r="J45" s="425"/>
      <c r="K45" s="425"/>
      <c r="L45" s="425"/>
      <c r="M45" s="425"/>
      <c r="N45" s="425"/>
      <c r="O45" s="425"/>
      <c r="P45" s="425"/>
      <c r="Q45" s="425"/>
      <c r="R45" s="425"/>
      <c r="S45" s="425"/>
      <c r="T45" s="425"/>
      <c r="U45" s="425"/>
      <c r="V45" s="425"/>
      <c r="W45" s="425"/>
      <c r="X45" s="425"/>
      <c r="Y45" s="425"/>
      <c r="Z45" s="425"/>
      <c r="AA45" s="420"/>
      <c r="AB45" s="418"/>
      <c r="AC45" s="422"/>
      <c r="AD45" s="1050"/>
      <c r="AE45" s="1050"/>
      <c r="AF45" s="1050"/>
      <c r="AG45" s="1050"/>
      <c r="AH45" s="1050"/>
      <c r="AI45" s="1050"/>
      <c r="AJ45" s="423"/>
      <c r="AK45" s="424"/>
      <c r="AL45" s="424"/>
      <c r="AM45" s="419"/>
    </row>
    <row r="46" spans="1:39" s="8" customFormat="1" ht="18.600000000000001" customHeight="1">
      <c r="A46" s="420"/>
      <c r="B46" s="418"/>
      <c r="C46" s="426"/>
      <c r="D46" s="426"/>
      <c r="E46" s="426"/>
      <c r="F46" s="426"/>
      <c r="G46" s="426"/>
      <c r="H46" s="426"/>
      <c r="I46" s="426"/>
      <c r="J46" s="426"/>
      <c r="K46" s="426"/>
      <c r="L46" s="426"/>
      <c r="M46" s="426"/>
      <c r="N46" s="426"/>
      <c r="O46" s="426"/>
      <c r="P46" s="426"/>
      <c r="Q46" s="426"/>
      <c r="R46" s="426"/>
      <c r="S46" s="426"/>
      <c r="T46" s="426"/>
      <c r="U46" s="426"/>
      <c r="V46" s="426"/>
      <c r="W46" s="426"/>
      <c r="X46" s="426"/>
      <c r="Y46" s="426"/>
      <c r="Z46" s="426"/>
      <c r="AA46" s="420"/>
      <c r="AB46" s="418"/>
      <c r="AC46" s="422"/>
      <c r="AD46" s="1050"/>
      <c r="AE46" s="1050"/>
      <c r="AF46" s="1050"/>
      <c r="AG46" s="1050"/>
      <c r="AH46" s="1050"/>
      <c r="AI46" s="1050"/>
      <c r="AJ46" s="423"/>
      <c r="AK46" s="424"/>
      <c r="AL46" s="424"/>
      <c r="AM46" s="419"/>
    </row>
    <row r="47" spans="1:39" s="8" customFormat="1" ht="20.25">
      <c r="A47" s="427"/>
      <c r="B47" s="427"/>
      <c r="C47" s="428"/>
      <c r="D47" s="428"/>
      <c r="E47" s="428"/>
      <c r="F47" s="428"/>
      <c r="G47" s="428"/>
      <c r="H47" s="428"/>
      <c r="I47" s="428"/>
      <c r="J47" s="428"/>
      <c r="K47" s="428"/>
      <c r="L47" s="428"/>
      <c r="M47" s="428"/>
      <c r="N47" s="428"/>
      <c r="O47" s="428"/>
      <c r="P47" s="428"/>
      <c r="Q47" s="428"/>
      <c r="R47" s="428"/>
      <c r="S47" s="428"/>
      <c r="T47" s="428"/>
      <c r="U47" s="428"/>
      <c r="V47" s="428"/>
      <c r="W47" s="428"/>
      <c r="X47" s="428"/>
      <c r="Y47" s="428"/>
      <c r="Z47" s="428"/>
      <c r="AA47" s="427"/>
      <c r="AB47" s="427"/>
      <c r="AC47" s="422"/>
      <c r="AD47" s="1051"/>
      <c r="AE47" s="1051"/>
      <c r="AF47" s="1051"/>
      <c r="AG47" s="1051"/>
      <c r="AH47" s="1051"/>
      <c r="AI47" s="1051"/>
      <c r="AJ47" s="423"/>
      <c r="AK47" s="424"/>
      <c r="AL47" s="424"/>
      <c r="AM47" s="419"/>
    </row>
    <row r="48" spans="1:39" s="8" customFormat="1" ht="54.95" customHeight="1">
      <c r="A48" s="427"/>
      <c r="B48" s="427"/>
      <c r="C48" s="429"/>
      <c r="D48" s="429"/>
      <c r="E48" s="429"/>
      <c r="F48" s="429"/>
      <c r="G48" s="429"/>
      <c r="H48" s="429"/>
      <c r="I48" s="429"/>
      <c r="J48" s="429"/>
      <c r="K48" s="429"/>
      <c r="L48" s="429"/>
      <c r="M48" s="429"/>
      <c r="N48" s="429"/>
      <c r="O48" s="429"/>
      <c r="P48" s="429"/>
      <c r="Q48" s="429"/>
      <c r="R48" s="429"/>
      <c r="S48" s="429"/>
      <c r="T48" s="429"/>
      <c r="U48" s="429"/>
      <c r="V48" s="429"/>
      <c r="W48" s="429"/>
      <c r="X48" s="429"/>
      <c r="Y48" s="429"/>
      <c r="Z48" s="429"/>
      <c r="AA48" s="427"/>
      <c r="AB48" s="427"/>
      <c r="AC48" s="430"/>
      <c r="AD48" s="304">
        <f>(C36+E36+G36+I36+K36+M36+O36+Q36+S36+U36+W36+Y36)</f>
        <v>5</v>
      </c>
      <c r="AE48" s="304">
        <f>(E36+F36+I36+J36+M36+N36+Q36+R36+U36+V36+Y36+Z36)</f>
        <v>0</v>
      </c>
      <c r="AF48" s="304">
        <f>(E36+I36+M36+Q36+U36+Y36)</f>
        <v>0</v>
      </c>
      <c r="AG48" s="304">
        <f>SUM(G36:J36,O36:R36)</f>
        <v>7</v>
      </c>
      <c r="AH48" s="304">
        <f>SUM(K36:R36)</f>
        <v>7</v>
      </c>
      <c r="AI48" s="304">
        <f>SUM(C36:J36)</f>
        <v>0</v>
      </c>
      <c r="AJ48" s="431"/>
      <c r="AK48" s="432"/>
      <c r="AL48" s="432"/>
      <c r="AM48" s="419"/>
    </row>
    <row r="49" spans="1:43" s="8" customFormat="1" ht="54.95" customHeight="1">
      <c r="A49" s="427"/>
      <c r="B49" s="427"/>
      <c r="C49" s="429"/>
      <c r="D49" s="429"/>
      <c r="E49" s="429"/>
      <c r="F49" s="429"/>
      <c r="G49" s="429"/>
      <c r="H49" s="429"/>
      <c r="I49" s="429"/>
      <c r="J49" s="429"/>
      <c r="K49" s="429"/>
      <c r="L49" s="429"/>
      <c r="M49" s="429"/>
      <c r="N49" s="429"/>
      <c r="O49" s="429"/>
      <c r="P49" s="429"/>
      <c r="Q49" s="429"/>
      <c r="R49" s="429"/>
      <c r="S49" s="429"/>
      <c r="T49" s="429"/>
      <c r="U49" s="429"/>
      <c r="V49" s="429"/>
      <c r="W49" s="429"/>
      <c r="X49" s="429"/>
      <c r="Y49" s="429"/>
      <c r="Z49" s="429"/>
      <c r="AA49" s="427"/>
      <c r="AB49" s="427"/>
      <c r="AC49" s="430"/>
      <c r="AD49" s="305">
        <f t="shared" ref="AD49:AD54" si="19">(C37+E37+G37+I37+K37+M37+O37+Q37+S37+U37+W37+Y37)</f>
        <v>5</v>
      </c>
      <c r="AE49" s="305">
        <f t="shared" ref="AE49:AE54" si="20">(E37+F37+I37+J37+M37+N37+Q37+R37+U37+V37+Y37+Z37)</f>
        <v>1</v>
      </c>
      <c r="AF49" s="305">
        <f t="shared" ref="AF49:AF54" si="21">(E37+I37+M37+Q37+U37+Y37)</f>
        <v>1</v>
      </c>
      <c r="AG49" s="305">
        <f t="shared" ref="AG49:AG54" si="22">SUM(G37:J37,O37:R37)</f>
        <v>7</v>
      </c>
      <c r="AH49" s="305">
        <f t="shared" ref="AH49:AH54" si="23">SUM(K37:R37)</f>
        <v>6</v>
      </c>
      <c r="AI49" s="305">
        <f t="shared" ref="AI49:AI54" si="24">SUM(C37:J37)</f>
        <v>1</v>
      </c>
      <c r="AJ49" s="431"/>
      <c r="AK49" s="432"/>
      <c r="AL49" s="432"/>
      <c r="AM49" s="419"/>
    </row>
    <row r="50" spans="1:43" s="8" customFormat="1" ht="54.95" customHeight="1">
      <c r="A50" s="427"/>
      <c r="B50" s="427"/>
      <c r="C50" s="429"/>
      <c r="D50" s="429"/>
      <c r="E50" s="429"/>
      <c r="F50" s="429"/>
      <c r="G50" s="429"/>
      <c r="H50" s="429"/>
      <c r="I50" s="429"/>
      <c r="J50" s="429"/>
      <c r="K50" s="429"/>
      <c r="L50" s="429"/>
      <c r="M50" s="429"/>
      <c r="N50" s="429"/>
      <c r="O50" s="429"/>
      <c r="P50" s="429"/>
      <c r="Q50" s="429"/>
      <c r="R50" s="429"/>
      <c r="S50" s="429"/>
      <c r="T50" s="429"/>
      <c r="U50" s="429"/>
      <c r="V50" s="429"/>
      <c r="W50" s="429"/>
      <c r="X50" s="429"/>
      <c r="Y50" s="429"/>
      <c r="Z50" s="429"/>
      <c r="AA50" s="427"/>
      <c r="AB50" s="427"/>
      <c r="AC50" s="430"/>
      <c r="AD50" s="305">
        <f t="shared" si="19"/>
        <v>2</v>
      </c>
      <c r="AE50" s="305">
        <f t="shared" si="20"/>
        <v>1</v>
      </c>
      <c r="AF50" s="305">
        <f t="shared" si="21"/>
        <v>1</v>
      </c>
      <c r="AG50" s="305">
        <f t="shared" si="22"/>
        <v>4</v>
      </c>
      <c r="AH50" s="305">
        <f t="shared" si="23"/>
        <v>3</v>
      </c>
      <c r="AI50" s="305">
        <f t="shared" si="24"/>
        <v>1</v>
      </c>
      <c r="AJ50" s="431"/>
      <c r="AK50" s="432"/>
      <c r="AL50" s="432"/>
      <c r="AM50" s="419"/>
    </row>
    <row r="51" spans="1:43" s="8" customFormat="1" ht="54.95" customHeight="1">
      <c r="A51" s="427"/>
      <c r="B51" s="427"/>
      <c r="C51" s="429"/>
      <c r="D51" s="429"/>
      <c r="E51" s="429"/>
      <c r="F51" s="429"/>
      <c r="G51" s="429"/>
      <c r="H51" s="429"/>
      <c r="I51" s="429"/>
      <c r="J51" s="429"/>
      <c r="K51" s="429"/>
      <c r="L51" s="429"/>
      <c r="M51" s="429"/>
      <c r="N51" s="429"/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7"/>
      <c r="AB51" s="427"/>
      <c r="AC51" s="430"/>
      <c r="AD51" s="305">
        <f t="shared" si="19"/>
        <v>0</v>
      </c>
      <c r="AE51" s="305">
        <f t="shared" si="20"/>
        <v>0</v>
      </c>
      <c r="AF51" s="305">
        <f t="shared" si="21"/>
        <v>0</v>
      </c>
      <c r="AG51" s="305">
        <f t="shared" si="22"/>
        <v>1</v>
      </c>
      <c r="AH51" s="305">
        <f t="shared" si="23"/>
        <v>1</v>
      </c>
      <c r="AI51" s="305">
        <f t="shared" si="24"/>
        <v>0</v>
      </c>
      <c r="AJ51" s="431"/>
      <c r="AK51" s="432"/>
      <c r="AL51" s="432"/>
      <c r="AM51" s="419"/>
    </row>
    <row r="52" spans="1:43" s="8" customFormat="1" ht="54.95" customHeight="1">
      <c r="A52" s="427"/>
      <c r="B52" s="427"/>
      <c r="C52" s="429"/>
      <c r="D52" s="429"/>
      <c r="E52" s="429"/>
      <c r="F52" s="429"/>
      <c r="G52" s="429"/>
      <c r="H52" s="429"/>
      <c r="I52" s="429"/>
      <c r="J52" s="429"/>
      <c r="K52" s="429"/>
      <c r="L52" s="429"/>
      <c r="M52" s="429"/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7"/>
      <c r="AB52" s="427"/>
      <c r="AC52" s="430"/>
      <c r="AD52" s="306">
        <f t="shared" si="19"/>
        <v>0</v>
      </c>
      <c r="AE52" s="306">
        <f t="shared" si="20"/>
        <v>0</v>
      </c>
      <c r="AF52" s="306">
        <f t="shared" si="21"/>
        <v>0</v>
      </c>
      <c r="AG52" s="306">
        <f t="shared" si="22"/>
        <v>0</v>
      </c>
      <c r="AH52" s="306">
        <f t="shared" si="23"/>
        <v>0</v>
      </c>
      <c r="AI52" s="306">
        <f t="shared" si="24"/>
        <v>0</v>
      </c>
      <c r="AJ52" s="431"/>
      <c r="AK52" s="432"/>
      <c r="AL52" s="432"/>
      <c r="AM52" s="419"/>
    </row>
    <row r="53" spans="1:43" s="8" customFormat="1" ht="54.95" customHeight="1">
      <c r="A53" s="427"/>
      <c r="B53" s="427"/>
      <c r="C53" s="429"/>
      <c r="D53" s="429"/>
      <c r="E53" s="429"/>
      <c r="F53" s="429"/>
      <c r="G53" s="429"/>
      <c r="H53" s="429"/>
      <c r="I53" s="429"/>
      <c r="J53" s="429"/>
      <c r="K53" s="429"/>
      <c r="L53" s="429"/>
      <c r="M53" s="429"/>
      <c r="N53" s="429"/>
      <c r="O53" s="429"/>
      <c r="P53" s="429"/>
      <c r="Q53" s="429"/>
      <c r="R53" s="429"/>
      <c r="S53" s="429"/>
      <c r="T53" s="429"/>
      <c r="U53" s="429"/>
      <c r="V53" s="429"/>
      <c r="W53" s="429"/>
      <c r="X53" s="429"/>
      <c r="Y53" s="429"/>
      <c r="Z53" s="429"/>
      <c r="AA53" s="427"/>
      <c r="AB53" s="427"/>
      <c r="AC53" s="430"/>
      <c r="AD53" s="307">
        <f t="shared" si="19"/>
        <v>7</v>
      </c>
      <c r="AE53" s="307">
        <f t="shared" si="20"/>
        <v>1</v>
      </c>
      <c r="AF53" s="307">
        <f t="shared" si="21"/>
        <v>1</v>
      </c>
      <c r="AG53" s="307">
        <f t="shared" si="22"/>
        <v>11</v>
      </c>
      <c r="AH53" s="307">
        <f t="shared" si="23"/>
        <v>10</v>
      </c>
      <c r="AI53" s="307">
        <f t="shared" si="24"/>
        <v>1</v>
      </c>
      <c r="AJ53" s="431"/>
      <c r="AK53" s="432"/>
      <c r="AL53" s="432"/>
      <c r="AM53" s="419"/>
    </row>
    <row r="54" spans="1:43" s="8" customFormat="1" ht="54.95" customHeight="1" thickBot="1">
      <c r="A54" s="427"/>
      <c r="B54" s="427"/>
      <c r="C54" s="429"/>
      <c r="D54" s="429"/>
      <c r="E54" s="429"/>
      <c r="F54" s="429"/>
      <c r="G54" s="429"/>
      <c r="H54" s="429"/>
      <c r="I54" s="429"/>
      <c r="J54" s="429"/>
      <c r="K54" s="429"/>
      <c r="L54" s="429"/>
      <c r="M54" s="429"/>
      <c r="N54" s="429"/>
      <c r="O54" s="429"/>
      <c r="P54" s="429"/>
      <c r="Q54" s="429"/>
      <c r="R54" s="429"/>
      <c r="S54" s="429"/>
      <c r="T54" s="429"/>
      <c r="U54" s="429"/>
      <c r="V54" s="429"/>
      <c r="W54" s="429"/>
      <c r="X54" s="429"/>
      <c r="Y54" s="429"/>
      <c r="Z54" s="429"/>
      <c r="AA54" s="427"/>
      <c r="AB54" s="427"/>
      <c r="AC54" s="430"/>
      <c r="AD54" s="308">
        <f t="shared" si="19"/>
        <v>5</v>
      </c>
      <c r="AE54" s="308">
        <f t="shared" si="20"/>
        <v>0</v>
      </c>
      <c r="AF54" s="308">
        <f t="shared" si="21"/>
        <v>0</v>
      </c>
      <c r="AG54" s="308">
        <f t="shared" si="22"/>
        <v>7</v>
      </c>
      <c r="AH54" s="308">
        <f t="shared" si="23"/>
        <v>7</v>
      </c>
      <c r="AI54" s="308">
        <f t="shared" si="24"/>
        <v>0</v>
      </c>
      <c r="AJ54" s="431"/>
      <c r="AK54" s="432"/>
      <c r="AL54" s="432"/>
      <c r="AM54" s="419"/>
    </row>
    <row r="55" spans="1:43" s="70" customFormat="1" ht="24" thickTop="1">
      <c r="A55" s="270"/>
      <c r="B55" s="270"/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270"/>
      <c r="AB55" s="270"/>
      <c r="AC55" s="281"/>
      <c r="AD55" s="21"/>
      <c r="AE55" s="20"/>
      <c r="AF55" s="21"/>
      <c r="AG55" s="21"/>
      <c r="AH55" s="155"/>
      <c r="AI55" s="155"/>
      <c r="AJ55" s="155"/>
      <c r="AK55" s="155"/>
    </row>
    <row r="56" spans="1:43" s="187" customFormat="1" ht="20.25">
      <c r="A56" s="288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8"/>
      <c r="T56" s="289"/>
      <c r="U56" s="289"/>
      <c r="V56" s="289"/>
      <c r="W56" s="289"/>
      <c r="X56" s="289"/>
      <c r="Y56" s="289"/>
      <c r="Z56" s="289"/>
      <c r="AA56" s="289"/>
      <c r="AB56" s="289"/>
      <c r="AC56" s="289"/>
      <c r="AD56" s="289"/>
      <c r="AE56" s="288"/>
      <c r="AF56" s="289"/>
      <c r="AG56" s="289"/>
      <c r="AH56" s="289"/>
      <c r="AI56" s="289"/>
      <c r="AJ56" s="289"/>
      <c r="AK56" s="289"/>
    </row>
    <row r="57" spans="1:43" ht="20.25">
      <c r="A57" s="190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90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90"/>
      <c r="AF57" s="189"/>
      <c r="AG57" s="189"/>
      <c r="AH57" s="189"/>
      <c r="AI57" s="189"/>
      <c r="AJ57" s="189"/>
      <c r="AK57" s="189"/>
    </row>
    <row r="58" spans="1:43" ht="20.25">
      <c r="A58" s="190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90"/>
      <c r="AD58" s="189"/>
      <c r="AE58" s="189"/>
      <c r="AF58" s="189"/>
      <c r="AG58" s="189"/>
      <c r="AH58" s="189"/>
      <c r="AI58" s="189"/>
      <c r="AJ58" s="189"/>
      <c r="AK58" s="189"/>
      <c r="AL58" s="190"/>
      <c r="AM58" s="189"/>
      <c r="AN58" s="189"/>
      <c r="AO58" s="189"/>
      <c r="AP58" s="189"/>
      <c r="AQ58" s="189"/>
    </row>
    <row r="59" spans="1:43" ht="20.25">
      <c r="A59" s="190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90"/>
      <c r="AD59" s="189"/>
      <c r="AE59" s="189"/>
      <c r="AF59" s="189"/>
      <c r="AG59" s="189"/>
      <c r="AH59" s="189"/>
      <c r="AI59" s="189"/>
      <c r="AJ59" s="189"/>
      <c r="AK59" s="189"/>
      <c r="AL59" s="190"/>
      <c r="AM59" s="189"/>
      <c r="AN59" s="189"/>
      <c r="AO59" s="189"/>
      <c r="AP59" s="189"/>
      <c r="AQ59" s="189"/>
    </row>
    <row r="60" spans="1:43" ht="20.25">
      <c r="A60" s="190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90"/>
      <c r="AD60" s="189"/>
      <c r="AE60" s="189"/>
      <c r="AF60" s="189"/>
      <c r="AG60" s="189"/>
      <c r="AH60" s="189"/>
      <c r="AI60" s="189"/>
      <c r="AJ60" s="189"/>
      <c r="AK60" s="189"/>
      <c r="AL60" s="190"/>
      <c r="AM60" s="189"/>
      <c r="AN60" s="189"/>
      <c r="AO60" s="189"/>
      <c r="AP60" s="189"/>
      <c r="AQ60" s="189"/>
    </row>
    <row r="61" spans="1:43" ht="20.25">
      <c r="A61" s="190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90"/>
      <c r="AD61" s="189"/>
      <c r="AE61" s="189"/>
      <c r="AF61" s="189"/>
      <c r="AG61" s="189"/>
      <c r="AH61" s="189"/>
      <c r="AI61" s="189"/>
      <c r="AJ61" s="189"/>
      <c r="AK61" s="189"/>
      <c r="AL61" s="190"/>
      <c r="AM61" s="189"/>
      <c r="AN61" s="189"/>
      <c r="AO61" s="189"/>
      <c r="AP61" s="189"/>
      <c r="AQ61" s="189"/>
    </row>
    <row r="62" spans="1:43" ht="20.25">
      <c r="A62" s="190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90"/>
      <c r="AD62" s="189"/>
      <c r="AE62" s="189"/>
      <c r="AF62" s="189"/>
      <c r="AG62" s="189"/>
      <c r="AH62" s="189"/>
      <c r="AI62" s="189"/>
      <c r="AJ62" s="189"/>
      <c r="AK62" s="189"/>
      <c r="AL62" s="190"/>
      <c r="AM62" s="189"/>
      <c r="AN62" s="189"/>
      <c r="AO62" s="189"/>
      <c r="AP62" s="189"/>
      <c r="AQ62" s="189"/>
    </row>
    <row r="63" spans="1:43" ht="20.25">
      <c r="A63" s="190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90"/>
      <c r="AD63" s="189"/>
      <c r="AE63" s="189"/>
      <c r="AF63" s="189"/>
      <c r="AG63" s="189"/>
      <c r="AH63" s="189"/>
      <c r="AI63" s="189"/>
      <c r="AJ63" s="189"/>
      <c r="AK63" s="189"/>
      <c r="AL63" s="190"/>
      <c r="AM63" s="189"/>
      <c r="AN63" s="189"/>
      <c r="AO63" s="189"/>
      <c r="AP63" s="189"/>
      <c r="AQ63" s="189"/>
    </row>
    <row r="64" spans="1:43" ht="20.25">
      <c r="F64" s="189"/>
      <c r="G64" s="189"/>
      <c r="H64" s="189"/>
      <c r="I64" s="189"/>
      <c r="J64" s="189"/>
      <c r="K64" s="189"/>
      <c r="L64" s="189"/>
      <c r="M64" s="189"/>
      <c r="S64" s="189"/>
      <c r="T64" s="189"/>
      <c r="U64" s="189"/>
    </row>
    <row r="65" spans="6:21" ht="20.25">
      <c r="F65" s="189"/>
      <c r="G65" s="189"/>
      <c r="H65" s="189"/>
      <c r="I65" s="189"/>
      <c r="J65" s="189"/>
      <c r="K65" s="189"/>
      <c r="L65" s="189"/>
      <c r="M65" s="189"/>
      <c r="S65" s="189"/>
      <c r="T65" s="189"/>
      <c r="U65" s="189"/>
    </row>
  </sheetData>
  <mergeCells count="79">
    <mergeCell ref="AJ32:AM35"/>
    <mergeCell ref="AJ36:AM36"/>
    <mergeCell ref="AJ37:AM37"/>
    <mergeCell ref="AJ38:AM38"/>
    <mergeCell ref="AJ39:AM39"/>
    <mergeCell ref="AJ40:AM40"/>
    <mergeCell ref="AJ41:AM41"/>
    <mergeCell ref="AJ42:AM42"/>
    <mergeCell ref="AI44:AI47"/>
    <mergeCell ref="AD44:AD47"/>
    <mergeCell ref="AE44:AE47"/>
    <mergeCell ref="AF44:AF47"/>
    <mergeCell ref="AG44:AG47"/>
    <mergeCell ref="AH44:AH47"/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E32:AE35"/>
    <mergeCell ref="W33:Z33"/>
    <mergeCell ref="C34:D34"/>
    <mergeCell ref="E34:F34"/>
    <mergeCell ref="G34:H34"/>
    <mergeCell ref="C32:J32"/>
    <mergeCell ref="K32:R32"/>
    <mergeCell ref="S32:Z32"/>
    <mergeCell ref="AC32:AC35"/>
    <mergeCell ref="AD32:AD35"/>
    <mergeCell ref="C33:F33"/>
    <mergeCell ref="G33:J33"/>
    <mergeCell ref="K33:N33"/>
    <mergeCell ref="O33:R33"/>
    <mergeCell ref="S33:V33"/>
    <mergeCell ref="U34:V34"/>
    <mergeCell ref="AF32:AF35"/>
    <mergeCell ref="AH32:AH35"/>
    <mergeCell ref="AI32:AI35"/>
    <mergeCell ref="AG32:AG35"/>
    <mergeCell ref="A36:B36"/>
    <mergeCell ref="AA36:AB36"/>
    <mergeCell ref="W34:X34"/>
    <mergeCell ref="Y34:Z34"/>
    <mergeCell ref="A35:B35"/>
    <mergeCell ref="AA35:AB35"/>
    <mergeCell ref="I34:J34"/>
    <mergeCell ref="K34:L34"/>
    <mergeCell ref="M34:N34"/>
    <mergeCell ref="O34:P34"/>
    <mergeCell ref="Q34:R34"/>
    <mergeCell ref="S34:T34"/>
    <mergeCell ref="A37:B37"/>
    <mergeCell ref="AA37:AB37"/>
    <mergeCell ref="A38:B38"/>
    <mergeCell ref="AA38:AB38"/>
    <mergeCell ref="A41:B41"/>
    <mergeCell ref="AA41:AB41"/>
    <mergeCell ref="A42:B42"/>
    <mergeCell ref="AA42:AB42"/>
    <mergeCell ref="A39:B39"/>
    <mergeCell ref="AA39:AB39"/>
    <mergeCell ref="A40:B40"/>
    <mergeCell ref="AA40:AB40"/>
  </mergeCells>
  <pageMargins left="0.39370078740157483" right="0.39370078740157483" top="0.39370078740157483" bottom="0.39370078740157483" header="0.59055118110236227" footer="0.59055118110236227"/>
  <pageSetup paperSize="9" scale="41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  <ignoredErrors>
    <ignoredError sqref="AG56 AC36:AC42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Q79"/>
  <sheetViews>
    <sheetView view="pageBreakPreview" topLeftCell="L42" zoomScale="40" zoomScaleNormal="55" zoomScaleSheetLayoutView="40" workbookViewId="0">
      <selection activeCell="AG66" sqref="AG66"/>
    </sheetView>
  </sheetViews>
  <sheetFormatPr baseColWidth="10" defaultRowHeight="14.25"/>
  <cols>
    <col min="1" max="1" width="9.125" style="169" customWidth="1"/>
    <col min="2" max="2" width="13.75" style="169" customWidth="1"/>
    <col min="3" max="26" width="12.875" style="169" customWidth="1"/>
    <col min="27" max="27" width="9.125" style="169" customWidth="1"/>
    <col min="28" max="28" width="13.75" style="169" customWidth="1"/>
    <col min="29" max="34" width="21.125" style="169" customWidth="1"/>
    <col min="35" max="35" width="123.625" style="169" customWidth="1"/>
    <col min="36" max="36" width="21.125" style="169" customWidth="1"/>
    <col min="37" max="43" width="10.625" style="169" customWidth="1"/>
    <col min="44" max="16384" width="11" style="169"/>
  </cols>
  <sheetData>
    <row r="1" spans="1:32" ht="52.5" customHeight="1" thickBot="1">
      <c r="A1" s="500" t="s">
        <v>89</v>
      </c>
      <c r="B1" s="168" t="s">
        <v>34</v>
      </c>
      <c r="C1" s="501"/>
      <c r="D1" s="501"/>
      <c r="E1" s="501"/>
      <c r="F1" s="502"/>
      <c r="G1" s="502"/>
      <c r="H1" s="501"/>
      <c r="I1" s="501"/>
      <c r="J1" s="502"/>
      <c r="K1" s="502"/>
      <c r="L1" s="503"/>
      <c r="M1" s="504" t="s">
        <v>30</v>
      </c>
      <c r="N1" s="443" t="s">
        <v>141</v>
      </c>
      <c r="O1" s="501"/>
      <c r="P1" s="501"/>
      <c r="Q1" s="501"/>
      <c r="R1" s="501"/>
      <c r="S1" s="501"/>
      <c r="T1" s="501"/>
      <c r="U1" s="501"/>
      <c r="V1" s="505"/>
      <c r="W1" s="506"/>
      <c r="X1" s="506"/>
      <c r="Y1" s="506"/>
      <c r="Z1" s="507"/>
    </row>
    <row r="2" spans="1:32" ht="52.5" customHeight="1" thickBot="1">
      <c r="A2" s="508" t="s">
        <v>2</v>
      </c>
      <c r="B2" s="509"/>
      <c r="C2" s="509"/>
      <c r="D2" s="509"/>
      <c r="E2" s="509"/>
      <c r="F2" s="509"/>
      <c r="G2" s="168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5"/>
      <c r="W2" s="509"/>
      <c r="X2" s="509"/>
      <c r="Y2" s="509"/>
      <c r="Z2" s="509"/>
    </row>
    <row r="3" spans="1:32" ht="52.5" customHeight="1" thickBot="1">
      <c r="A3" s="508" t="s">
        <v>3</v>
      </c>
      <c r="B3" s="509"/>
      <c r="C3" s="168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5"/>
      <c r="W3" s="509"/>
      <c r="X3" s="509"/>
      <c r="Y3" s="509"/>
      <c r="Z3" s="510"/>
    </row>
    <row r="4" spans="1:32" ht="52.5" customHeight="1" thickBot="1">
      <c r="A4" s="508" t="s">
        <v>27</v>
      </c>
      <c r="B4" s="509"/>
      <c r="C4" s="168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  <c r="P4" s="501"/>
      <c r="Q4" s="501"/>
      <c r="R4" s="501"/>
      <c r="S4" s="501"/>
      <c r="T4" s="501"/>
      <c r="U4" s="501"/>
      <c r="V4" s="505"/>
      <c r="W4" s="509"/>
      <c r="X4" s="509"/>
      <c r="Y4" s="509"/>
      <c r="Z4" s="510"/>
    </row>
    <row r="5" spans="1:32" ht="25.5" customHeight="1">
      <c r="A5" s="508" t="s">
        <v>71</v>
      </c>
      <c r="B5" s="509"/>
      <c r="C5" s="509" t="s">
        <v>72</v>
      </c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09"/>
      <c r="S5" s="509"/>
      <c r="T5" s="509"/>
      <c r="U5" s="509"/>
      <c r="V5" s="509"/>
      <c r="W5" s="509"/>
      <c r="X5" s="509"/>
      <c r="Y5" s="509"/>
      <c r="Z5" s="510"/>
    </row>
    <row r="6" spans="1:32" ht="25.5" customHeight="1">
      <c r="A6" s="511"/>
      <c r="B6" s="509"/>
      <c r="C6" s="509" t="s">
        <v>91</v>
      </c>
      <c r="D6" s="509"/>
      <c r="E6" s="509"/>
      <c r="F6" s="509"/>
      <c r="G6" s="509"/>
      <c r="H6" s="509"/>
      <c r="I6" s="509"/>
      <c r="J6" s="509"/>
      <c r="K6" s="509"/>
      <c r="L6" s="509"/>
      <c r="M6" s="509"/>
      <c r="N6" s="509"/>
      <c r="O6" s="509"/>
      <c r="P6" s="509"/>
      <c r="Q6" s="509"/>
      <c r="R6" s="509"/>
      <c r="S6" s="509"/>
      <c r="T6" s="509"/>
      <c r="U6" s="509"/>
      <c r="V6" s="509"/>
      <c r="W6" s="509"/>
      <c r="X6" s="509"/>
      <c r="Y6" s="509"/>
      <c r="Z6" s="510"/>
    </row>
    <row r="7" spans="1:32" ht="25.5" customHeight="1" thickBot="1">
      <c r="A7" s="511"/>
      <c r="B7" s="509"/>
      <c r="C7" s="509"/>
      <c r="D7" s="509"/>
      <c r="E7" s="509"/>
      <c r="F7" s="509"/>
      <c r="G7" s="509"/>
      <c r="H7" s="509"/>
      <c r="I7" s="509"/>
      <c r="J7" s="509"/>
      <c r="K7" s="509"/>
      <c r="L7" s="509"/>
      <c r="M7" s="509"/>
      <c r="N7" s="509"/>
      <c r="O7" s="509"/>
      <c r="P7" s="509"/>
      <c r="Q7" s="509"/>
      <c r="R7" s="509"/>
      <c r="S7" s="509"/>
      <c r="T7" s="509"/>
      <c r="U7" s="509"/>
      <c r="V7" s="509"/>
      <c r="W7" s="509"/>
      <c r="X7" s="509"/>
      <c r="Y7" s="509"/>
      <c r="Z7" s="510"/>
    </row>
    <row r="8" spans="1:32" ht="32.25" customHeight="1" thickTop="1">
      <c r="A8" s="512"/>
      <c r="B8" s="513"/>
      <c r="C8" s="856" t="s">
        <v>46</v>
      </c>
      <c r="D8" s="1052"/>
      <c r="E8" s="857"/>
      <c r="F8" s="857"/>
      <c r="G8" s="857"/>
      <c r="H8" s="857"/>
      <c r="I8" s="857"/>
      <c r="J8" s="857"/>
      <c r="K8" s="857"/>
      <c r="L8" s="857"/>
      <c r="M8" s="857"/>
      <c r="N8" s="858"/>
      <c r="O8" s="856" t="s">
        <v>50</v>
      </c>
      <c r="P8" s="1052"/>
      <c r="Q8" s="857"/>
      <c r="R8" s="857"/>
      <c r="S8" s="857"/>
      <c r="T8" s="857"/>
      <c r="U8" s="857"/>
      <c r="V8" s="857"/>
      <c r="W8" s="857"/>
      <c r="X8" s="857"/>
      <c r="Y8" s="857"/>
      <c r="Z8" s="858"/>
      <c r="AB8" s="171"/>
      <c r="AC8" s="171"/>
      <c r="AD8" s="171"/>
      <c r="AE8" s="171"/>
      <c r="AF8" s="171"/>
    </row>
    <row r="9" spans="1:32" ht="22.7" customHeight="1">
      <c r="A9" s="512"/>
      <c r="B9" s="513"/>
      <c r="C9" s="1053" t="s">
        <v>37</v>
      </c>
      <c r="D9" s="1053"/>
      <c r="E9" s="1053"/>
      <c r="F9" s="1053"/>
      <c r="G9" s="1053" t="s">
        <v>48</v>
      </c>
      <c r="H9" s="1053"/>
      <c r="I9" s="1053"/>
      <c r="J9" s="1053"/>
      <c r="K9" s="1053" t="s">
        <v>49</v>
      </c>
      <c r="L9" s="1053"/>
      <c r="M9" s="1053"/>
      <c r="N9" s="1053"/>
      <c r="O9" s="1053" t="s">
        <v>37</v>
      </c>
      <c r="P9" s="1053"/>
      <c r="Q9" s="1053"/>
      <c r="R9" s="1053"/>
      <c r="S9" s="1053" t="s">
        <v>45</v>
      </c>
      <c r="T9" s="1053"/>
      <c r="U9" s="1053"/>
      <c r="V9" s="1053"/>
      <c r="W9" s="1053" t="s">
        <v>49</v>
      </c>
      <c r="X9" s="1053"/>
      <c r="Y9" s="1053"/>
      <c r="Z9" s="1053"/>
    </row>
    <row r="10" spans="1:32" ht="18.600000000000001" customHeight="1" thickBot="1">
      <c r="A10" s="512"/>
      <c r="B10" s="513"/>
      <c r="C10" s="934" t="s">
        <v>4</v>
      </c>
      <c r="D10" s="1056"/>
      <c r="E10" s="936" t="s">
        <v>5</v>
      </c>
      <c r="F10" s="937"/>
      <c r="G10" s="937" t="s">
        <v>4</v>
      </c>
      <c r="H10" s="938"/>
      <c r="I10" s="936" t="s">
        <v>5</v>
      </c>
      <c r="J10" s="937"/>
      <c r="K10" s="937" t="s">
        <v>4</v>
      </c>
      <c r="L10" s="938"/>
      <c r="M10" s="1054" t="s">
        <v>5</v>
      </c>
      <c r="N10" s="1055"/>
      <c r="O10" s="934" t="s">
        <v>4</v>
      </c>
      <c r="P10" s="1056"/>
      <c r="Q10" s="936" t="s">
        <v>5</v>
      </c>
      <c r="R10" s="937"/>
      <c r="S10" s="937" t="s">
        <v>4</v>
      </c>
      <c r="T10" s="938"/>
      <c r="U10" s="936" t="s">
        <v>5</v>
      </c>
      <c r="V10" s="937"/>
      <c r="W10" s="937" t="s">
        <v>4</v>
      </c>
      <c r="X10" s="938"/>
      <c r="Y10" s="1054" t="s">
        <v>5</v>
      </c>
      <c r="Z10" s="1055"/>
    </row>
    <row r="11" spans="1:32" ht="21" thickTop="1">
      <c r="A11" s="514" t="s">
        <v>6</v>
      </c>
      <c r="B11" s="515" t="s">
        <v>7</v>
      </c>
      <c r="C11" s="601" t="s">
        <v>8</v>
      </c>
      <c r="D11" s="606" t="s">
        <v>9</v>
      </c>
      <c r="E11" s="603" t="s">
        <v>8</v>
      </c>
      <c r="F11" s="604" t="s">
        <v>9</v>
      </c>
      <c r="G11" s="605" t="s">
        <v>8</v>
      </c>
      <c r="H11" s="606" t="s">
        <v>9</v>
      </c>
      <c r="I11" s="603" t="s">
        <v>8</v>
      </c>
      <c r="J11" s="604" t="s">
        <v>9</v>
      </c>
      <c r="K11" s="605" t="s">
        <v>8</v>
      </c>
      <c r="L11" s="606" t="s">
        <v>9</v>
      </c>
      <c r="M11" s="603" t="s">
        <v>8</v>
      </c>
      <c r="N11" s="640" t="s">
        <v>9</v>
      </c>
      <c r="O11" s="601" t="s">
        <v>8</v>
      </c>
      <c r="P11" s="606" t="s">
        <v>9</v>
      </c>
      <c r="Q11" s="603" t="s">
        <v>8</v>
      </c>
      <c r="R11" s="604" t="s">
        <v>9</v>
      </c>
      <c r="S11" s="605" t="s">
        <v>8</v>
      </c>
      <c r="T11" s="606" t="s">
        <v>9</v>
      </c>
      <c r="U11" s="603" t="s">
        <v>8</v>
      </c>
      <c r="V11" s="604" t="s">
        <v>9</v>
      </c>
      <c r="W11" s="605" t="s">
        <v>8</v>
      </c>
      <c r="X11" s="606" t="s">
        <v>9</v>
      </c>
      <c r="Y11" s="603" t="s">
        <v>8</v>
      </c>
      <c r="Z11" s="640" t="s">
        <v>9</v>
      </c>
      <c r="AA11" s="172"/>
    </row>
    <row r="12" spans="1:32" ht="54.95" hidden="1" customHeight="1">
      <c r="A12" s="522">
        <v>6</v>
      </c>
      <c r="B12" s="523" t="s">
        <v>25</v>
      </c>
      <c r="C12" s="607"/>
      <c r="D12" s="612"/>
      <c r="E12" s="609"/>
      <c r="F12" s="610"/>
      <c r="G12" s="611"/>
      <c r="H12" s="612"/>
      <c r="I12" s="609"/>
      <c r="J12" s="610"/>
      <c r="K12" s="611"/>
      <c r="L12" s="612"/>
      <c r="M12" s="609"/>
      <c r="N12" s="689"/>
      <c r="O12" s="607"/>
      <c r="P12" s="612"/>
      <c r="Q12" s="609"/>
      <c r="R12" s="610"/>
      <c r="S12" s="611"/>
      <c r="T12" s="612"/>
      <c r="U12" s="609"/>
      <c r="V12" s="610"/>
      <c r="W12" s="611"/>
      <c r="X12" s="612"/>
      <c r="Y12" s="609"/>
      <c r="Z12" s="689"/>
      <c r="AA12" s="179"/>
      <c r="AB12" s="179"/>
      <c r="AC12" s="179"/>
      <c r="AD12" s="179"/>
      <c r="AE12" s="179"/>
      <c r="AF12" s="179"/>
    </row>
    <row r="13" spans="1:32" ht="54.95" customHeight="1">
      <c r="A13" s="522">
        <v>6</v>
      </c>
      <c r="B13" s="523" t="s">
        <v>26</v>
      </c>
      <c r="C13" s="607"/>
      <c r="D13" s="612"/>
      <c r="E13" s="609"/>
      <c r="F13" s="610"/>
      <c r="G13" s="611"/>
      <c r="H13" s="612"/>
      <c r="I13" s="609"/>
      <c r="J13" s="610"/>
      <c r="K13" s="611"/>
      <c r="L13" s="612"/>
      <c r="M13" s="609"/>
      <c r="N13" s="689"/>
      <c r="O13" s="607"/>
      <c r="P13" s="612"/>
      <c r="Q13" s="609"/>
      <c r="R13" s="610"/>
      <c r="S13" s="611"/>
      <c r="T13" s="612"/>
      <c r="U13" s="609"/>
      <c r="V13" s="610"/>
      <c r="W13" s="611"/>
      <c r="X13" s="612"/>
      <c r="Y13" s="609"/>
      <c r="Z13" s="689"/>
      <c r="AA13" s="179"/>
      <c r="AB13" s="179"/>
      <c r="AC13" s="179"/>
      <c r="AD13" s="179"/>
      <c r="AE13" s="179"/>
      <c r="AF13" s="179"/>
    </row>
    <row r="14" spans="1:32" ht="54.95" customHeight="1">
      <c r="A14" s="522">
        <v>7</v>
      </c>
      <c r="B14" s="523" t="s">
        <v>23</v>
      </c>
      <c r="C14" s="607"/>
      <c r="D14" s="612"/>
      <c r="E14" s="609"/>
      <c r="F14" s="610"/>
      <c r="G14" s="611"/>
      <c r="H14" s="612"/>
      <c r="I14" s="609"/>
      <c r="J14" s="610"/>
      <c r="K14" s="611"/>
      <c r="L14" s="612"/>
      <c r="M14" s="609"/>
      <c r="N14" s="689"/>
      <c r="O14" s="607"/>
      <c r="P14" s="612"/>
      <c r="Q14" s="609"/>
      <c r="R14" s="610"/>
      <c r="S14" s="611"/>
      <c r="T14" s="612"/>
      <c r="U14" s="609"/>
      <c r="V14" s="610"/>
      <c r="W14" s="611"/>
      <c r="X14" s="612"/>
      <c r="Y14" s="609"/>
      <c r="Z14" s="689"/>
      <c r="AA14" s="179"/>
      <c r="AB14" s="179"/>
      <c r="AC14" s="179"/>
      <c r="AD14" s="179"/>
      <c r="AE14" s="179"/>
      <c r="AF14" s="179"/>
    </row>
    <row r="15" spans="1:32" ht="54.95" customHeight="1">
      <c r="A15" s="522"/>
      <c r="B15" s="523" t="s">
        <v>24</v>
      </c>
      <c r="C15" s="607"/>
      <c r="D15" s="612"/>
      <c r="E15" s="609"/>
      <c r="F15" s="610"/>
      <c r="G15" s="611"/>
      <c r="H15" s="612"/>
      <c r="I15" s="609"/>
      <c r="J15" s="610"/>
      <c r="K15" s="611"/>
      <c r="L15" s="612"/>
      <c r="M15" s="609"/>
      <c r="N15" s="689"/>
      <c r="O15" s="607"/>
      <c r="P15" s="612"/>
      <c r="Q15" s="609"/>
      <c r="R15" s="610"/>
      <c r="S15" s="611"/>
      <c r="T15" s="612"/>
      <c r="U15" s="609"/>
      <c r="V15" s="610"/>
      <c r="W15" s="611"/>
      <c r="X15" s="612"/>
      <c r="Y15" s="609"/>
      <c r="Z15" s="689"/>
      <c r="AA15" s="179"/>
      <c r="AB15" s="179"/>
      <c r="AC15" s="179"/>
      <c r="AD15" s="179"/>
      <c r="AE15" s="179"/>
      <c r="AF15" s="179"/>
    </row>
    <row r="16" spans="1:32" ht="54.95" customHeight="1">
      <c r="A16" s="522"/>
      <c r="B16" s="523" t="s">
        <v>25</v>
      </c>
      <c r="C16" s="607"/>
      <c r="D16" s="612"/>
      <c r="E16" s="609"/>
      <c r="F16" s="610"/>
      <c r="G16" s="611"/>
      <c r="H16" s="612"/>
      <c r="I16" s="609"/>
      <c r="J16" s="610"/>
      <c r="K16" s="611"/>
      <c r="L16" s="612"/>
      <c r="M16" s="609"/>
      <c r="N16" s="689"/>
      <c r="O16" s="607"/>
      <c r="P16" s="612"/>
      <c r="Q16" s="609"/>
      <c r="R16" s="610"/>
      <c r="S16" s="611"/>
      <c r="T16" s="612"/>
      <c r="U16" s="609"/>
      <c r="V16" s="610"/>
      <c r="W16" s="611"/>
      <c r="X16" s="612"/>
      <c r="Y16" s="609"/>
      <c r="Z16" s="689"/>
      <c r="AA16" s="179"/>
      <c r="AB16" s="179"/>
      <c r="AC16" s="179"/>
      <c r="AD16" s="179"/>
      <c r="AE16" s="179"/>
      <c r="AF16" s="179"/>
    </row>
    <row r="17" spans="1:32" ht="54.95" customHeight="1">
      <c r="A17" s="522"/>
      <c r="B17" s="523" t="s">
        <v>26</v>
      </c>
      <c r="C17" s="607"/>
      <c r="D17" s="612"/>
      <c r="E17" s="609"/>
      <c r="F17" s="610"/>
      <c r="G17" s="611"/>
      <c r="H17" s="612"/>
      <c r="I17" s="609"/>
      <c r="J17" s="610"/>
      <c r="K17" s="611"/>
      <c r="L17" s="612"/>
      <c r="M17" s="609"/>
      <c r="N17" s="689"/>
      <c r="O17" s="607"/>
      <c r="P17" s="612"/>
      <c r="Q17" s="609"/>
      <c r="R17" s="610"/>
      <c r="S17" s="611"/>
      <c r="T17" s="612"/>
      <c r="U17" s="609"/>
      <c r="V17" s="610"/>
      <c r="W17" s="611"/>
      <c r="X17" s="612"/>
      <c r="Y17" s="609"/>
      <c r="Z17" s="689"/>
      <c r="AA17" s="179"/>
      <c r="AB17" s="179"/>
      <c r="AC17" s="179"/>
      <c r="AD17" s="179"/>
      <c r="AE17" s="179"/>
      <c r="AF17" s="179"/>
    </row>
    <row r="18" spans="1:32" ht="54.95" customHeight="1">
      <c r="A18" s="522">
        <v>8</v>
      </c>
      <c r="B18" s="523" t="s">
        <v>23</v>
      </c>
      <c r="C18" s="607"/>
      <c r="D18" s="612"/>
      <c r="E18" s="609"/>
      <c r="F18" s="610"/>
      <c r="G18" s="611"/>
      <c r="H18" s="612"/>
      <c r="I18" s="609"/>
      <c r="J18" s="610"/>
      <c r="K18" s="611"/>
      <c r="L18" s="612"/>
      <c r="M18" s="609"/>
      <c r="N18" s="689"/>
      <c r="O18" s="607"/>
      <c r="P18" s="612"/>
      <c r="Q18" s="609"/>
      <c r="R18" s="610"/>
      <c r="S18" s="611"/>
      <c r="T18" s="612"/>
      <c r="U18" s="609"/>
      <c r="V18" s="610"/>
      <c r="W18" s="611"/>
      <c r="X18" s="612"/>
      <c r="Y18" s="609"/>
      <c r="Z18" s="689"/>
      <c r="AA18" s="179"/>
      <c r="AB18" s="179"/>
      <c r="AC18" s="179"/>
      <c r="AD18" s="179"/>
      <c r="AE18" s="179"/>
      <c r="AF18" s="179"/>
    </row>
    <row r="19" spans="1:32" ht="54.95" customHeight="1">
      <c r="A19" s="522"/>
      <c r="B19" s="523" t="s">
        <v>24</v>
      </c>
      <c r="C19" s="607"/>
      <c r="D19" s="612"/>
      <c r="E19" s="609"/>
      <c r="F19" s="610"/>
      <c r="G19" s="611"/>
      <c r="H19" s="612"/>
      <c r="I19" s="609"/>
      <c r="J19" s="610"/>
      <c r="K19" s="611"/>
      <c r="L19" s="612"/>
      <c r="M19" s="609"/>
      <c r="N19" s="689"/>
      <c r="O19" s="607"/>
      <c r="P19" s="612"/>
      <c r="Q19" s="609"/>
      <c r="R19" s="610"/>
      <c r="S19" s="611"/>
      <c r="T19" s="612"/>
      <c r="U19" s="609"/>
      <c r="V19" s="610"/>
      <c r="W19" s="611"/>
      <c r="X19" s="612"/>
      <c r="Y19" s="609"/>
      <c r="Z19" s="689"/>
      <c r="AA19" s="179"/>
      <c r="AB19" s="179"/>
      <c r="AC19" s="179"/>
      <c r="AD19" s="179"/>
      <c r="AE19" s="179"/>
      <c r="AF19" s="179"/>
    </row>
    <row r="20" spans="1:32" ht="54.95" customHeight="1">
      <c r="A20" s="522"/>
      <c r="B20" s="523" t="s">
        <v>25</v>
      </c>
      <c r="C20" s="607"/>
      <c r="D20" s="612"/>
      <c r="E20" s="609"/>
      <c r="F20" s="610"/>
      <c r="G20" s="611"/>
      <c r="H20" s="612"/>
      <c r="I20" s="609"/>
      <c r="J20" s="610"/>
      <c r="K20" s="611"/>
      <c r="L20" s="612"/>
      <c r="M20" s="609"/>
      <c r="N20" s="689"/>
      <c r="O20" s="607"/>
      <c r="P20" s="612"/>
      <c r="Q20" s="609"/>
      <c r="R20" s="610"/>
      <c r="S20" s="611"/>
      <c r="T20" s="612"/>
      <c r="U20" s="609"/>
      <c r="V20" s="610"/>
      <c r="W20" s="611"/>
      <c r="X20" s="612"/>
      <c r="Y20" s="609"/>
      <c r="Z20" s="689"/>
      <c r="AA20" s="179"/>
      <c r="AB20" s="179"/>
      <c r="AC20" s="179"/>
      <c r="AD20" s="179"/>
      <c r="AE20" s="179"/>
      <c r="AF20" s="179"/>
    </row>
    <row r="21" spans="1:32" ht="54.95" customHeight="1" thickBot="1">
      <c r="A21" s="522"/>
      <c r="B21" s="523" t="s">
        <v>26</v>
      </c>
      <c r="C21" s="607"/>
      <c r="D21" s="612"/>
      <c r="E21" s="609"/>
      <c r="F21" s="610"/>
      <c r="G21" s="611"/>
      <c r="H21" s="612"/>
      <c r="I21" s="609"/>
      <c r="J21" s="610"/>
      <c r="K21" s="611"/>
      <c r="L21" s="612"/>
      <c r="M21" s="609"/>
      <c r="N21" s="689"/>
      <c r="O21" s="607"/>
      <c r="P21" s="612"/>
      <c r="Q21" s="609"/>
      <c r="R21" s="610"/>
      <c r="S21" s="611"/>
      <c r="T21" s="612"/>
      <c r="U21" s="609"/>
      <c r="V21" s="610"/>
      <c r="W21" s="611"/>
      <c r="X21" s="612"/>
      <c r="Y21" s="609"/>
      <c r="Z21" s="689"/>
      <c r="AA21" s="179"/>
      <c r="AB21" s="179"/>
      <c r="AC21" s="179"/>
      <c r="AD21" s="179"/>
      <c r="AE21" s="179"/>
      <c r="AF21" s="179"/>
    </row>
    <row r="22" spans="1:32" ht="54.95" hidden="1" customHeight="1">
      <c r="A22" s="522">
        <v>9</v>
      </c>
      <c r="B22" s="523" t="s">
        <v>23</v>
      </c>
      <c r="C22" s="607"/>
      <c r="D22" s="612"/>
      <c r="E22" s="609"/>
      <c r="F22" s="610"/>
      <c r="G22" s="611"/>
      <c r="H22" s="612"/>
      <c r="I22" s="609"/>
      <c r="J22" s="610"/>
      <c r="K22" s="611"/>
      <c r="L22" s="612"/>
      <c r="M22" s="609"/>
      <c r="N22" s="689"/>
      <c r="O22" s="607"/>
      <c r="P22" s="612"/>
      <c r="Q22" s="609"/>
      <c r="R22" s="610"/>
      <c r="S22" s="611"/>
      <c r="T22" s="612"/>
      <c r="U22" s="609"/>
      <c r="V22" s="610"/>
      <c r="W22" s="611"/>
      <c r="X22" s="612"/>
      <c r="Y22" s="609"/>
      <c r="Z22" s="689"/>
      <c r="AA22" s="179"/>
      <c r="AB22" s="179"/>
      <c r="AC22" s="179"/>
      <c r="AD22" s="179"/>
      <c r="AE22" s="179"/>
      <c r="AF22" s="179"/>
    </row>
    <row r="23" spans="1:32" ht="54.95" hidden="1" customHeight="1" thickBot="1">
      <c r="A23" s="524"/>
      <c r="B23" s="525" t="s">
        <v>24</v>
      </c>
      <c r="C23" s="618"/>
      <c r="D23" s="623"/>
      <c r="E23" s="620"/>
      <c r="F23" s="621"/>
      <c r="G23" s="622"/>
      <c r="H23" s="623"/>
      <c r="I23" s="620"/>
      <c r="J23" s="621"/>
      <c r="K23" s="622"/>
      <c r="L23" s="623"/>
      <c r="M23" s="620"/>
      <c r="N23" s="690"/>
      <c r="O23" s="618"/>
      <c r="P23" s="623"/>
      <c r="Q23" s="620"/>
      <c r="R23" s="621"/>
      <c r="S23" s="622"/>
      <c r="T23" s="623"/>
      <c r="U23" s="620"/>
      <c r="V23" s="621"/>
      <c r="W23" s="622"/>
      <c r="X23" s="623"/>
      <c r="Y23" s="620"/>
      <c r="Z23" s="690"/>
      <c r="AA23" s="179"/>
      <c r="AB23" s="179"/>
      <c r="AC23" s="179"/>
      <c r="AD23" s="179"/>
      <c r="AE23" s="179"/>
      <c r="AF23" s="179"/>
    </row>
    <row r="24" spans="1:32" ht="54.95" hidden="1" customHeight="1" thickTop="1" thickBot="1">
      <c r="A24" s="188"/>
      <c r="B24" s="188"/>
      <c r="C24" s="587"/>
      <c r="D24" s="587"/>
      <c r="E24" s="587"/>
      <c r="F24" s="587"/>
      <c r="G24" s="587"/>
      <c r="H24" s="587"/>
      <c r="I24" s="587"/>
      <c r="J24" s="587"/>
      <c r="K24" s="587"/>
      <c r="L24" s="587"/>
      <c r="M24" s="587"/>
      <c r="N24" s="587"/>
      <c r="O24" s="587"/>
      <c r="P24" s="587"/>
      <c r="Q24" s="587"/>
      <c r="R24" s="587"/>
      <c r="S24" s="587"/>
      <c r="T24" s="587"/>
      <c r="U24" s="587"/>
      <c r="V24" s="587"/>
      <c r="W24" s="587"/>
      <c r="X24" s="587"/>
      <c r="Y24" s="587"/>
      <c r="Z24" s="587"/>
      <c r="AA24" s="179"/>
      <c r="AB24" s="179"/>
      <c r="AC24" s="179"/>
      <c r="AD24" s="179"/>
      <c r="AE24" s="179"/>
      <c r="AF24" s="179"/>
    </row>
    <row r="25" spans="1:32" ht="52.5" hidden="1" customHeight="1" thickBot="1">
      <c r="A25" s="500" t="s">
        <v>0</v>
      </c>
      <c r="B25" s="168" t="str">
        <f>B1</f>
        <v>ARTHAZ_Route de Reignier D202 / Route Nationale D1205</v>
      </c>
      <c r="C25" s="501"/>
      <c r="D25" s="501"/>
      <c r="E25" s="501"/>
      <c r="F25" s="502"/>
      <c r="G25" s="502"/>
      <c r="H25" s="501"/>
      <c r="I25" s="501"/>
      <c r="J25" s="502"/>
      <c r="K25" s="502"/>
      <c r="L25" s="503"/>
      <c r="M25" s="504" t="s">
        <v>30</v>
      </c>
      <c r="N25" s="526" t="str">
        <f>N1</f>
        <v>mardi 31 mai 2022</v>
      </c>
      <c r="O25" s="501"/>
      <c r="P25" s="501"/>
      <c r="Q25" s="501"/>
      <c r="R25" s="501"/>
      <c r="S25" s="501"/>
      <c r="T25" s="501"/>
      <c r="U25" s="501"/>
      <c r="V25" s="505"/>
      <c r="W25" s="506"/>
      <c r="X25" s="506"/>
      <c r="Y25" s="506"/>
      <c r="Z25" s="507"/>
    </row>
    <row r="26" spans="1:32" ht="52.5" hidden="1" customHeight="1" thickBot="1">
      <c r="A26" s="508" t="s">
        <v>2</v>
      </c>
      <c r="B26" s="509"/>
      <c r="C26" s="509"/>
      <c r="D26" s="509"/>
      <c r="E26" s="509"/>
      <c r="F26" s="509"/>
      <c r="G26" s="168">
        <f>G2</f>
        <v>0</v>
      </c>
      <c r="H26" s="501"/>
      <c r="I26" s="501"/>
      <c r="J26" s="501"/>
      <c r="K26" s="501"/>
      <c r="L26" s="501"/>
      <c r="M26" s="501"/>
      <c r="N26" s="501"/>
      <c r="O26" s="501"/>
      <c r="P26" s="501"/>
      <c r="Q26" s="501"/>
      <c r="R26" s="501"/>
      <c r="S26" s="501"/>
      <c r="T26" s="501"/>
      <c r="U26" s="501"/>
      <c r="V26" s="505"/>
      <c r="W26" s="509"/>
      <c r="X26" s="509"/>
      <c r="Y26" s="509"/>
      <c r="Z26" s="509"/>
    </row>
    <row r="27" spans="1:32" ht="52.5" hidden="1" customHeight="1" thickBot="1">
      <c r="A27" s="508" t="s">
        <v>3</v>
      </c>
      <c r="B27" s="509"/>
      <c r="C27" s="168">
        <f>C3</f>
        <v>0</v>
      </c>
      <c r="D27" s="501"/>
      <c r="E27" s="501"/>
      <c r="F27" s="501"/>
      <c r="G27" s="501"/>
      <c r="H27" s="501"/>
      <c r="I27" s="501"/>
      <c r="J27" s="501"/>
      <c r="K27" s="501"/>
      <c r="L27" s="501"/>
      <c r="M27" s="501"/>
      <c r="N27" s="501"/>
      <c r="O27" s="501"/>
      <c r="P27" s="501"/>
      <c r="Q27" s="501"/>
      <c r="R27" s="501"/>
      <c r="S27" s="501"/>
      <c r="T27" s="501"/>
      <c r="U27" s="501"/>
      <c r="V27" s="505"/>
      <c r="W27" s="509"/>
      <c r="X27" s="509"/>
      <c r="Y27" s="509"/>
      <c r="Z27" s="510"/>
    </row>
    <row r="28" spans="1:32" ht="52.5" hidden="1" customHeight="1" thickBot="1">
      <c r="A28" s="508" t="s">
        <v>27</v>
      </c>
      <c r="B28" s="509"/>
      <c r="C28" s="168">
        <f>C4</f>
        <v>0</v>
      </c>
      <c r="D28" s="501"/>
      <c r="E28" s="501"/>
      <c r="F28" s="501"/>
      <c r="G28" s="501"/>
      <c r="H28" s="501"/>
      <c r="I28" s="501"/>
      <c r="J28" s="501"/>
      <c r="K28" s="501"/>
      <c r="L28" s="501"/>
      <c r="M28" s="501"/>
      <c r="N28" s="501"/>
      <c r="O28" s="501"/>
      <c r="P28" s="501"/>
      <c r="Q28" s="501"/>
      <c r="R28" s="501"/>
      <c r="S28" s="501"/>
      <c r="T28" s="501"/>
      <c r="U28" s="501"/>
      <c r="V28" s="505"/>
      <c r="W28" s="509"/>
      <c r="X28" s="509"/>
      <c r="Y28" s="509"/>
      <c r="Z28" s="510"/>
    </row>
    <row r="29" spans="1:32" ht="25.5" hidden="1" customHeight="1">
      <c r="A29" s="508" t="str">
        <f>A5</f>
        <v xml:space="preserve">Méthodologie : </v>
      </c>
      <c r="B29" s="509"/>
      <c r="C29" s="509" t="str">
        <f>C5</f>
        <v>Pour chaque intervalle de temps, marquer une seule croix par personne comptée</v>
      </c>
      <c r="D29" s="509"/>
      <c r="E29" s="509"/>
      <c r="F29" s="509"/>
      <c r="G29" s="509"/>
      <c r="H29" s="509"/>
      <c r="I29" s="509"/>
      <c r="J29" s="509"/>
      <c r="K29" s="509"/>
      <c r="L29" s="509"/>
      <c r="M29" s="509"/>
      <c r="N29" s="509"/>
      <c r="O29" s="509"/>
      <c r="P29" s="509"/>
      <c r="Q29" s="509"/>
      <c r="R29" s="509"/>
      <c r="S29" s="509"/>
      <c r="T29" s="509"/>
      <c r="U29" s="509"/>
      <c r="V29" s="509"/>
      <c r="W29" s="509"/>
      <c r="X29" s="509"/>
      <c r="Y29" s="509"/>
      <c r="Z29" s="510"/>
    </row>
    <row r="30" spans="1:32" ht="25.5" hidden="1" customHeight="1">
      <c r="A30" s="511"/>
      <c r="B30" s="509"/>
      <c r="C30" s="509" t="str">
        <f>C6</f>
        <v>Si c'est enfant, remplacer la croix par E, une trottinette T, un piéton P, etc.</v>
      </c>
      <c r="D30" s="509"/>
      <c r="E30" s="509"/>
      <c r="F30" s="509"/>
      <c r="G30" s="509"/>
      <c r="H30" s="509"/>
      <c r="I30" s="509"/>
      <c r="J30" s="509"/>
      <c r="K30" s="509"/>
      <c r="L30" s="509"/>
      <c r="M30" s="509"/>
      <c r="N30" s="509"/>
      <c r="O30" s="509"/>
      <c r="P30" s="509"/>
      <c r="Q30" s="509"/>
      <c r="R30" s="509"/>
      <c r="S30" s="509"/>
      <c r="T30" s="509"/>
      <c r="U30" s="509"/>
      <c r="V30" s="509"/>
      <c r="W30" s="509"/>
      <c r="X30" s="509"/>
      <c r="Y30" s="509"/>
      <c r="Z30" s="510"/>
    </row>
    <row r="31" spans="1:32" ht="25.5" hidden="1" customHeight="1" thickBot="1">
      <c r="A31" s="511"/>
      <c r="B31" s="509"/>
      <c r="C31" s="509"/>
      <c r="D31" s="509"/>
      <c r="E31" s="509"/>
      <c r="F31" s="509"/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509"/>
      <c r="R31" s="509"/>
      <c r="S31" s="509"/>
      <c r="T31" s="509"/>
      <c r="U31" s="509"/>
      <c r="V31" s="509"/>
      <c r="W31" s="509"/>
      <c r="X31" s="509"/>
      <c r="Y31" s="509"/>
      <c r="Z31" s="510"/>
    </row>
    <row r="32" spans="1:32" ht="32.25" customHeight="1" thickTop="1">
      <c r="A32" s="512"/>
      <c r="B32" s="513"/>
      <c r="C32" s="856" t="s">
        <v>39</v>
      </c>
      <c r="D32" s="1052"/>
      <c r="E32" s="857"/>
      <c r="F32" s="857"/>
      <c r="G32" s="857"/>
      <c r="H32" s="857"/>
      <c r="I32" s="857"/>
      <c r="J32" s="857"/>
      <c r="K32" s="857"/>
      <c r="L32" s="857"/>
      <c r="M32" s="857"/>
      <c r="N32" s="858"/>
      <c r="O32" s="856" t="s">
        <v>51</v>
      </c>
      <c r="P32" s="1052"/>
      <c r="Q32" s="857"/>
      <c r="R32" s="857"/>
      <c r="S32" s="857"/>
      <c r="T32" s="857"/>
      <c r="U32" s="857"/>
      <c r="V32" s="857"/>
      <c r="W32" s="857"/>
      <c r="X32" s="857"/>
      <c r="Y32" s="857"/>
      <c r="Z32" s="858"/>
      <c r="AB32" s="171"/>
      <c r="AC32" s="171"/>
      <c r="AD32" s="171"/>
      <c r="AE32" s="171"/>
      <c r="AF32" s="171"/>
    </row>
    <row r="33" spans="1:32" ht="22.7" customHeight="1">
      <c r="A33" s="512"/>
      <c r="B33" s="513"/>
      <c r="C33" s="1053" t="s">
        <v>48</v>
      </c>
      <c r="D33" s="1053"/>
      <c r="E33" s="1053"/>
      <c r="F33" s="1053"/>
      <c r="G33" s="1053" t="s">
        <v>49</v>
      </c>
      <c r="H33" s="1053"/>
      <c r="I33" s="1053"/>
      <c r="J33" s="1053"/>
      <c r="K33" s="1053" t="s">
        <v>45</v>
      </c>
      <c r="L33" s="1053"/>
      <c r="M33" s="1053"/>
      <c r="N33" s="1053"/>
      <c r="O33" s="1053" t="s">
        <v>37</v>
      </c>
      <c r="P33" s="1053"/>
      <c r="Q33" s="1053"/>
      <c r="R33" s="1053"/>
      <c r="S33" s="1053" t="s">
        <v>48</v>
      </c>
      <c r="T33" s="1053"/>
      <c r="U33" s="1053"/>
      <c r="V33" s="1053"/>
      <c r="W33" s="1053" t="s">
        <v>45</v>
      </c>
      <c r="X33" s="1053"/>
      <c r="Y33" s="1053"/>
      <c r="Z33" s="1053"/>
    </row>
    <row r="34" spans="1:32" ht="18.600000000000001" customHeight="1" thickBot="1">
      <c r="A34" s="512"/>
      <c r="B34" s="513"/>
      <c r="C34" s="934" t="s">
        <v>4</v>
      </c>
      <c r="D34" s="1056"/>
      <c r="E34" s="936" t="s">
        <v>5</v>
      </c>
      <c r="F34" s="937"/>
      <c r="G34" s="937" t="s">
        <v>4</v>
      </c>
      <c r="H34" s="938"/>
      <c r="I34" s="936" t="s">
        <v>5</v>
      </c>
      <c r="J34" s="937"/>
      <c r="K34" s="937" t="s">
        <v>4</v>
      </c>
      <c r="L34" s="938"/>
      <c r="M34" s="1054" t="s">
        <v>5</v>
      </c>
      <c r="N34" s="1055"/>
      <c r="O34" s="934" t="s">
        <v>4</v>
      </c>
      <c r="P34" s="1056"/>
      <c r="Q34" s="936" t="s">
        <v>5</v>
      </c>
      <c r="R34" s="937"/>
      <c r="S34" s="937" t="s">
        <v>4</v>
      </c>
      <c r="T34" s="938"/>
      <c r="U34" s="936" t="s">
        <v>5</v>
      </c>
      <c r="V34" s="937"/>
      <c r="W34" s="937" t="s">
        <v>4</v>
      </c>
      <c r="X34" s="938"/>
      <c r="Y34" s="1054" t="s">
        <v>5</v>
      </c>
      <c r="Z34" s="1055"/>
    </row>
    <row r="35" spans="1:32" ht="21" thickTop="1">
      <c r="A35" s="514" t="s">
        <v>6</v>
      </c>
      <c r="B35" s="515" t="s">
        <v>7</v>
      </c>
      <c r="C35" s="601" t="s">
        <v>8</v>
      </c>
      <c r="D35" s="606" t="s">
        <v>9</v>
      </c>
      <c r="E35" s="603" t="s">
        <v>8</v>
      </c>
      <c r="F35" s="604" t="s">
        <v>9</v>
      </c>
      <c r="G35" s="605" t="s">
        <v>8</v>
      </c>
      <c r="H35" s="606" t="s">
        <v>9</v>
      </c>
      <c r="I35" s="603" t="s">
        <v>8</v>
      </c>
      <c r="J35" s="604" t="s">
        <v>9</v>
      </c>
      <c r="K35" s="605" t="s">
        <v>8</v>
      </c>
      <c r="L35" s="606" t="s">
        <v>9</v>
      </c>
      <c r="M35" s="603" t="s">
        <v>8</v>
      </c>
      <c r="N35" s="640" t="s">
        <v>9</v>
      </c>
      <c r="O35" s="601" t="s">
        <v>8</v>
      </c>
      <c r="P35" s="606" t="s">
        <v>9</v>
      </c>
      <c r="Q35" s="603" t="s">
        <v>8</v>
      </c>
      <c r="R35" s="604" t="s">
        <v>9</v>
      </c>
      <c r="S35" s="605" t="s">
        <v>8</v>
      </c>
      <c r="T35" s="606" t="s">
        <v>9</v>
      </c>
      <c r="U35" s="603" t="s">
        <v>8</v>
      </c>
      <c r="V35" s="604" t="s">
        <v>9</v>
      </c>
      <c r="W35" s="605" t="s">
        <v>8</v>
      </c>
      <c r="X35" s="606" t="s">
        <v>9</v>
      </c>
      <c r="Y35" s="603" t="s">
        <v>8</v>
      </c>
      <c r="Z35" s="640" t="s">
        <v>9</v>
      </c>
      <c r="AA35" s="172"/>
    </row>
    <row r="36" spans="1:32" ht="54.95" hidden="1" customHeight="1">
      <c r="A36" s="522">
        <v>6</v>
      </c>
      <c r="B36" s="523" t="s">
        <v>25</v>
      </c>
      <c r="C36" s="607"/>
      <c r="D36" s="612"/>
      <c r="E36" s="609"/>
      <c r="F36" s="610"/>
      <c r="G36" s="611"/>
      <c r="H36" s="612"/>
      <c r="I36" s="609"/>
      <c r="J36" s="610"/>
      <c r="K36" s="611"/>
      <c r="L36" s="612"/>
      <c r="M36" s="609"/>
      <c r="N36" s="689"/>
      <c r="O36" s="607"/>
      <c r="P36" s="612"/>
      <c r="Q36" s="609"/>
      <c r="R36" s="610"/>
      <c r="S36" s="611"/>
      <c r="T36" s="612"/>
      <c r="U36" s="609"/>
      <c r="V36" s="610"/>
      <c r="W36" s="611"/>
      <c r="X36" s="612"/>
      <c r="Y36" s="609"/>
      <c r="Z36" s="689"/>
      <c r="AA36" s="179"/>
      <c r="AB36" s="179"/>
      <c r="AC36" s="179"/>
      <c r="AD36" s="179"/>
      <c r="AE36" s="179"/>
      <c r="AF36" s="179"/>
    </row>
    <row r="37" spans="1:32" ht="54.95" customHeight="1">
      <c r="A37" s="522">
        <v>6</v>
      </c>
      <c r="B37" s="523" t="s">
        <v>26</v>
      </c>
      <c r="C37" s="607"/>
      <c r="D37" s="612"/>
      <c r="E37" s="609"/>
      <c r="F37" s="610"/>
      <c r="G37" s="611"/>
      <c r="H37" s="612"/>
      <c r="I37" s="609"/>
      <c r="J37" s="610"/>
      <c r="K37" s="611"/>
      <c r="L37" s="612"/>
      <c r="M37" s="609"/>
      <c r="N37" s="689"/>
      <c r="O37" s="607"/>
      <c r="P37" s="612"/>
      <c r="Q37" s="609"/>
      <c r="R37" s="610"/>
      <c r="S37" s="611"/>
      <c r="T37" s="612"/>
      <c r="U37" s="609"/>
      <c r="V37" s="610"/>
      <c r="W37" s="611"/>
      <c r="X37" s="612"/>
      <c r="Y37" s="609"/>
      <c r="Z37" s="689"/>
      <c r="AA37" s="179"/>
      <c r="AB37" s="179"/>
      <c r="AC37" s="179"/>
      <c r="AD37" s="179"/>
      <c r="AE37" s="179"/>
      <c r="AF37" s="179"/>
    </row>
    <row r="38" spans="1:32" ht="54.95" customHeight="1">
      <c r="A38" s="522">
        <v>7</v>
      </c>
      <c r="B38" s="523" t="s">
        <v>23</v>
      </c>
      <c r="C38" s="607"/>
      <c r="D38" s="612"/>
      <c r="E38" s="609"/>
      <c r="F38" s="610"/>
      <c r="G38" s="611"/>
      <c r="H38" s="612"/>
      <c r="I38" s="609"/>
      <c r="J38" s="610"/>
      <c r="K38" s="611"/>
      <c r="L38" s="612"/>
      <c r="M38" s="609"/>
      <c r="N38" s="689"/>
      <c r="O38" s="607"/>
      <c r="P38" s="612"/>
      <c r="Q38" s="609"/>
      <c r="R38" s="610"/>
      <c r="S38" s="611"/>
      <c r="T38" s="612"/>
      <c r="U38" s="609"/>
      <c r="V38" s="610"/>
      <c r="W38" s="611"/>
      <c r="X38" s="612"/>
      <c r="Y38" s="609"/>
      <c r="Z38" s="689"/>
      <c r="AA38" s="179"/>
      <c r="AB38" s="179"/>
      <c r="AC38" s="179"/>
      <c r="AD38" s="179"/>
      <c r="AE38" s="179"/>
      <c r="AF38" s="179"/>
    </row>
    <row r="39" spans="1:32" ht="54.95" customHeight="1">
      <c r="A39" s="522"/>
      <c r="B39" s="523" t="s">
        <v>24</v>
      </c>
      <c r="C39" s="607"/>
      <c r="D39" s="612"/>
      <c r="E39" s="609"/>
      <c r="F39" s="610"/>
      <c r="G39" s="611"/>
      <c r="H39" s="612"/>
      <c r="I39" s="609"/>
      <c r="J39" s="610"/>
      <c r="K39" s="611"/>
      <c r="L39" s="612"/>
      <c r="M39" s="609"/>
      <c r="N39" s="689"/>
      <c r="O39" s="607"/>
      <c r="P39" s="612"/>
      <c r="Q39" s="609"/>
      <c r="R39" s="610"/>
      <c r="S39" s="611"/>
      <c r="T39" s="612"/>
      <c r="U39" s="609"/>
      <c r="V39" s="610"/>
      <c r="W39" s="611"/>
      <c r="X39" s="612"/>
      <c r="Y39" s="609"/>
      <c r="Z39" s="689"/>
      <c r="AA39" s="179"/>
      <c r="AB39" s="179"/>
      <c r="AC39" s="179"/>
      <c r="AD39" s="179"/>
      <c r="AE39" s="179"/>
      <c r="AF39" s="179"/>
    </row>
    <row r="40" spans="1:32" ht="54.95" customHeight="1">
      <c r="A40" s="522"/>
      <c r="B40" s="523" t="s">
        <v>25</v>
      </c>
      <c r="C40" s="607"/>
      <c r="D40" s="612"/>
      <c r="E40" s="609"/>
      <c r="F40" s="610"/>
      <c r="G40" s="611"/>
      <c r="H40" s="612"/>
      <c r="I40" s="609"/>
      <c r="J40" s="610"/>
      <c r="K40" s="611"/>
      <c r="L40" s="612"/>
      <c r="M40" s="609"/>
      <c r="N40" s="689"/>
      <c r="O40" s="607"/>
      <c r="P40" s="612"/>
      <c r="Q40" s="609"/>
      <c r="R40" s="610"/>
      <c r="S40" s="611"/>
      <c r="T40" s="612"/>
      <c r="U40" s="609"/>
      <c r="V40" s="610"/>
      <c r="W40" s="611"/>
      <c r="X40" s="612"/>
      <c r="Y40" s="609"/>
      <c r="Z40" s="689"/>
      <c r="AA40" s="179"/>
      <c r="AB40" s="179"/>
      <c r="AC40" s="179"/>
      <c r="AD40" s="179"/>
      <c r="AE40" s="179"/>
      <c r="AF40" s="179"/>
    </row>
    <row r="41" spans="1:32" ht="54.95" customHeight="1">
      <c r="A41" s="522"/>
      <c r="B41" s="523" t="s">
        <v>26</v>
      </c>
      <c r="C41" s="607"/>
      <c r="D41" s="612"/>
      <c r="E41" s="609"/>
      <c r="F41" s="610"/>
      <c r="G41" s="611"/>
      <c r="H41" s="612"/>
      <c r="I41" s="609"/>
      <c r="J41" s="610"/>
      <c r="K41" s="611"/>
      <c r="L41" s="612"/>
      <c r="M41" s="609"/>
      <c r="N41" s="689"/>
      <c r="O41" s="607"/>
      <c r="P41" s="612"/>
      <c r="Q41" s="609"/>
      <c r="R41" s="610"/>
      <c r="S41" s="611"/>
      <c r="T41" s="612"/>
      <c r="U41" s="609"/>
      <c r="V41" s="610"/>
      <c r="W41" s="611"/>
      <c r="X41" s="612"/>
      <c r="Y41" s="609"/>
      <c r="Z41" s="689"/>
      <c r="AA41" s="179"/>
      <c r="AB41" s="179"/>
      <c r="AC41" s="179"/>
      <c r="AD41" s="179"/>
      <c r="AE41" s="179"/>
      <c r="AF41" s="179"/>
    </row>
    <row r="42" spans="1:32" ht="54.95" customHeight="1">
      <c r="A42" s="522">
        <v>8</v>
      </c>
      <c r="B42" s="523" t="s">
        <v>23</v>
      </c>
      <c r="C42" s="607"/>
      <c r="D42" s="612"/>
      <c r="E42" s="609"/>
      <c r="F42" s="610"/>
      <c r="G42" s="611"/>
      <c r="H42" s="612"/>
      <c r="I42" s="609"/>
      <c r="J42" s="610"/>
      <c r="K42" s="611"/>
      <c r="L42" s="612"/>
      <c r="M42" s="609"/>
      <c r="N42" s="689"/>
      <c r="O42" s="607"/>
      <c r="P42" s="612"/>
      <c r="Q42" s="609"/>
      <c r="R42" s="610"/>
      <c r="S42" s="611"/>
      <c r="T42" s="612"/>
      <c r="U42" s="609"/>
      <c r="V42" s="610"/>
      <c r="W42" s="611"/>
      <c r="X42" s="612"/>
      <c r="Y42" s="609"/>
      <c r="Z42" s="689"/>
      <c r="AA42" s="179"/>
      <c r="AB42" s="179"/>
      <c r="AC42" s="179"/>
      <c r="AD42" s="179"/>
      <c r="AE42" s="179"/>
      <c r="AF42" s="179"/>
    </row>
    <row r="43" spans="1:32" ht="54.95" customHeight="1">
      <c r="A43" s="522"/>
      <c r="B43" s="523" t="s">
        <v>24</v>
      </c>
      <c r="C43" s="607"/>
      <c r="D43" s="612"/>
      <c r="E43" s="609"/>
      <c r="F43" s="610"/>
      <c r="G43" s="611"/>
      <c r="H43" s="612"/>
      <c r="I43" s="609"/>
      <c r="J43" s="610"/>
      <c r="K43" s="611"/>
      <c r="L43" s="612"/>
      <c r="M43" s="609"/>
      <c r="N43" s="689"/>
      <c r="O43" s="607"/>
      <c r="P43" s="612"/>
      <c r="Q43" s="609"/>
      <c r="R43" s="610"/>
      <c r="S43" s="611"/>
      <c r="T43" s="612"/>
      <c r="U43" s="609"/>
      <c r="V43" s="610"/>
      <c r="W43" s="611"/>
      <c r="X43" s="612"/>
      <c r="Y43" s="609"/>
      <c r="Z43" s="689"/>
      <c r="AA43" s="179"/>
      <c r="AB43" s="179"/>
      <c r="AC43" s="179"/>
      <c r="AD43" s="179"/>
      <c r="AE43" s="179"/>
      <c r="AF43" s="179"/>
    </row>
    <row r="44" spans="1:32" ht="54.95" customHeight="1">
      <c r="A44" s="522"/>
      <c r="B44" s="523" t="s">
        <v>25</v>
      </c>
      <c r="C44" s="607"/>
      <c r="D44" s="612"/>
      <c r="E44" s="609"/>
      <c r="F44" s="610"/>
      <c r="G44" s="611"/>
      <c r="H44" s="612"/>
      <c r="I44" s="609"/>
      <c r="J44" s="610"/>
      <c r="K44" s="611"/>
      <c r="L44" s="612"/>
      <c r="M44" s="609"/>
      <c r="N44" s="689"/>
      <c r="O44" s="607"/>
      <c r="P44" s="612"/>
      <c r="Q44" s="609"/>
      <c r="R44" s="610"/>
      <c r="S44" s="611"/>
      <c r="T44" s="612"/>
      <c r="U44" s="609"/>
      <c r="V44" s="610"/>
      <c r="W44" s="611"/>
      <c r="X44" s="612"/>
      <c r="Y44" s="609"/>
      <c r="Z44" s="689"/>
      <c r="AA44" s="179"/>
      <c r="AB44" s="179"/>
      <c r="AC44" s="179"/>
      <c r="AD44" s="179"/>
      <c r="AE44" s="179"/>
      <c r="AF44" s="179"/>
    </row>
    <row r="45" spans="1:32" ht="54.95" customHeight="1">
      <c r="A45" s="522"/>
      <c r="B45" s="523" t="s">
        <v>26</v>
      </c>
      <c r="C45" s="607"/>
      <c r="D45" s="612"/>
      <c r="E45" s="609"/>
      <c r="F45" s="610"/>
      <c r="G45" s="611"/>
      <c r="H45" s="612"/>
      <c r="I45" s="609"/>
      <c r="J45" s="610"/>
      <c r="K45" s="611"/>
      <c r="L45" s="612"/>
      <c r="M45" s="609"/>
      <c r="N45" s="689"/>
      <c r="O45" s="607"/>
      <c r="P45" s="612"/>
      <c r="Q45" s="609"/>
      <c r="R45" s="610"/>
      <c r="S45" s="611"/>
      <c r="T45" s="612"/>
      <c r="U45" s="609"/>
      <c r="V45" s="610"/>
      <c r="W45" s="611"/>
      <c r="X45" s="612"/>
      <c r="Y45" s="609"/>
      <c r="Z45" s="689"/>
      <c r="AA45" s="179"/>
      <c r="AB45" s="179"/>
      <c r="AC45" s="179"/>
      <c r="AD45" s="179"/>
      <c r="AE45" s="179"/>
      <c r="AF45" s="179"/>
    </row>
    <row r="46" spans="1:32" ht="54.95" hidden="1" customHeight="1">
      <c r="A46" s="522">
        <v>9</v>
      </c>
      <c r="B46" s="523" t="s">
        <v>23</v>
      </c>
      <c r="C46" s="607"/>
      <c r="D46" s="612"/>
      <c r="E46" s="609"/>
      <c r="F46" s="610"/>
      <c r="G46" s="611"/>
      <c r="H46" s="612"/>
      <c r="I46" s="609"/>
      <c r="J46" s="610"/>
      <c r="K46" s="611"/>
      <c r="L46" s="612"/>
      <c r="M46" s="609"/>
      <c r="N46" s="689"/>
      <c r="O46" s="607"/>
      <c r="P46" s="612"/>
      <c r="Q46" s="609"/>
      <c r="R46" s="610"/>
      <c r="S46" s="611"/>
      <c r="T46" s="612"/>
      <c r="U46" s="609"/>
      <c r="V46" s="610"/>
      <c r="W46" s="611"/>
      <c r="X46" s="612"/>
      <c r="Y46" s="609"/>
      <c r="Z46" s="689"/>
      <c r="AA46" s="179"/>
      <c r="AB46" s="179"/>
      <c r="AC46" s="179"/>
      <c r="AD46" s="179"/>
      <c r="AE46" s="179"/>
      <c r="AF46" s="179"/>
    </row>
    <row r="47" spans="1:32" ht="54.95" hidden="1" customHeight="1" thickBot="1">
      <c r="A47" s="524"/>
      <c r="B47" s="525" t="s">
        <v>24</v>
      </c>
      <c r="C47" s="618"/>
      <c r="D47" s="623"/>
      <c r="E47" s="620"/>
      <c r="F47" s="621"/>
      <c r="G47" s="622"/>
      <c r="H47" s="623"/>
      <c r="I47" s="620"/>
      <c r="J47" s="621"/>
      <c r="K47" s="622"/>
      <c r="L47" s="623"/>
      <c r="M47" s="620"/>
      <c r="N47" s="690"/>
      <c r="O47" s="618"/>
      <c r="P47" s="623"/>
      <c r="Q47" s="620"/>
      <c r="R47" s="621"/>
      <c r="S47" s="622"/>
      <c r="T47" s="623"/>
      <c r="U47" s="620"/>
      <c r="V47" s="621"/>
      <c r="W47" s="622"/>
      <c r="X47" s="623"/>
      <c r="Y47" s="620"/>
      <c r="Z47" s="690"/>
      <c r="AA47" s="179"/>
      <c r="AB47" s="179"/>
      <c r="AC47" s="179"/>
      <c r="AD47" s="179"/>
      <c r="AE47" s="179"/>
      <c r="AF47" s="179"/>
    </row>
    <row r="48" spans="1:32" ht="54.95" customHeight="1" thickBot="1">
      <c r="A48" s="188"/>
      <c r="B48" s="188"/>
      <c r="C48" s="587"/>
      <c r="D48" s="587"/>
      <c r="E48" s="587"/>
      <c r="F48" s="587"/>
      <c r="G48" s="587"/>
      <c r="H48" s="587"/>
      <c r="I48" s="587"/>
      <c r="J48" s="587"/>
      <c r="K48" s="587"/>
      <c r="L48" s="587"/>
      <c r="M48" s="587"/>
      <c r="N48" s="587"/>
      <c r="O48" s="587"/>
      <c r="P48" s="587"/>
      <c r="Q48" s="587"/>
      <c r="R48" s="587"/>
      <c r="S48" s="587"/>
      <c r="T48" s="587"/>
      <c r="U48" s="587"/>
      <c r="V48" s="587"/>
      <c r="W48" s="587"/>
      <c r="X48" s="587"/>
      <c r="Y48" s="587"/>
      <c r="Z48" s="587"/>
      <c r="AA48" s="179"/>
      <c r="AB48" s="179"/>
      <c r="AC48" s="179"/>
      <c r="AD48" s="179"/>
      <c r="AE48" s="179"/>
      <c r="AF48" s="179"/>
    </row>
    <row r="49" spans="1:40" ht="52.5" customHeight="1" thickBot="1">
      <c r="A49" s="500" t="s">
        <v>0</v>
      </c>
      <c r="B49" s="630" t="str">
        <f>B1</f>
        <v>ARTHAZ_Route de Reignier D202 / Route Nationale D1205</v>
      </c>
      <c r="C49" s="631"/>
      <c r="D49" s="631"/>
      <c r="E49" s="631"/>
      <c r="F49" s="691"/>
      <c r="G49" s="691"/>
      <c r="H49" s="631"/>
      <c r="I49" s="631"/>
      <c r="J49" s="691"/>
      <c r="K49" s="691"/>
      <c r="L49" s="692"/>
      <c r="M49" s="504" t="s">
        <v>30</v>
      </c>
      <c r="N49" s="443" t="str">
        <f>N1</f>
        <v>mardi 31 mai 2022</v>
      </c>
      <c r="O49" s="631"/>
      <c r="P49" s="631"/>
      <c r="Q49" s="631"/>
      <c r="R49" s="631"/>
      <c r="S49" s="631"/>
      <c r="T49" s="631"/>
      <c r="U49" s="631"/>
      <c r="V49" s="633"/>
      <c r="W49" s="506"/>
      <c r="X49" s="506"/>
      <c r="Y49" s="506"/>
      <c r="Z49" s="507"/>
      <c r="AA49" s="693" t="s">
        <v>0</v>
      </c>
      <c r="AB49" s="630" t="str">
        <f>B49</f>
        <v>ARTHAZ_Route de Reignier D202 / Route Nationale D1205</v>
      </c>
      <c r="AC49" s="631"/>
      <c r="AD49" s="631"/>
      <c r="AE49" s="632"/>
      <c r="AF49" s="633"/>
      <c r="AG49" s="694" t="s">
        <v>1</v>
      </c>
      <c r="AH49" s="443" t="str">
        <f>N49</f>
        <v>mardi 31 mai 2022</v>
      </c>
      <c r="AI49" s="633"/>
      <c r="AJ49" s="695"/>
    </row>
    <row r="50" spans="1:40" ht="52.5" customHeight="1" thickBot="1">
      <c r="A50" s="508" t="s">
        <v>2</v>
      </c>
      <c r="B50" s="509"/>
      <c r="C50" s="509"/>
      <c r="D50" s="509"/>
      <c r="E50" s="509"/>
      <c r="F50" s="509"/>
      <c r="G50" s="630">
        <f>G2</f>
        <v>0</v>
      </c>
      <c r="H50" s="631"/>
      <c r="I50" s="631"/>
      <c r="J50" s="631"/>
      <c r="K50" s="631"/>
      <c r="L50" s="631"/>
      <c r="M50" s="631"/>
      <c r="N50" s="631"/>
      <c r="O50" s="631"/>
      <c r="P50" s="631"/>
      <c r="Q50" s="631"/>
      <c r="R50" s="631"/>
      <c r="S50" s="631"/>
      <c r="T50" s="631"/>
      <c r="U50" s="631"/>
      <c r="V50" s="633"/>
      <c r="W50" s="509"/>
      <c r="X50" s="509"/>
      <c r="Y50" s="509"/>
      <c r="Z50" s="509"/>
      <c r="AA50" s="508" t="s">
        <v>2</v>
      </c>
      <c r="AB50" s="509"/>
      <c r="AC50" s="509"/>
      <c r="AD50" s="509"/>
      <c r="AE50" s="630">
        <f>G50</f>
        <v>0</v>
      </c>
      <c r="AF50" s="631"/>
      <c r="AG50" s="631"/>
      <c r="AH50" s="631"/>
      <c r="AI50" s="633"/>
      <c r="AJ50" s="696"/>
    </row>
    <row r="51" spans="1:40" ht="52.5" customHeight="1" thickBot="1">
      <c r="A51" s="508" t="s">
        <v>3</v>
      </c>
      <c r="B51" s="509"/>
      <c r="C51" s="630">
        <f>C3</f>
        <v>0</v>
      </c>
      <c r="D51" s="631"/>
      <c r="E51" s="631"/>
      <c r="F51" s="631"/>
      <c r="G51" s="631"/>
      <c r="H51" s="631"/>
      <c r="I51" s="631"/>
      <c r="J51" s="631"/>
      <c r="K51" s="631"/>
      <c r="L51" s="631"/>
      <c r="M51" s="631"/>
      <c r="N51" s="631"/>
      <c r="O51" s="631"/>
      <c r="P51" s="631"/>
      <c r="Q51" s="631"/>
      <c r="R51" s="631"/>
      <c r="S51" s="631"/>
      <c r="T51" s="631"/>
      <c r="U51" s="631"/>
      <c r="V51" s="633"/>
      <c r="W51" s="509"/>
      <c r="X51" s="509"/>
      <c r="Y51" s="509"/>
      <c r="Z51" s="510"/>
      <c r="AA51" s="508" t="s">
        <v>3</v>
      </c>
      <c r="AB51" s="509"/>
      <c r="AC51" s="630">
        <f>C51</f>
        <v>0</v>
      </c>
      <c r="AD51" s="631"/>
      <c r="AE51" s="631"/>
      <c r="AF51" s="631"/>
      <c r="AG51" s="631"/>
      <c r="AH51" s="631"/>
      <c r="AI51" s="633"/>
      <c r="AJ51" s="697"/>
    </row>
    <row r="52" spans="1:40" ht="52.5" customHeight="1" thickBot="1">
      <c r="A52" s="508" t="s">
        <v>27</v>
      </c>
      <c r="B52" s="509"/>
      <c r="C52" s="630">
        <f>C4</f>
        <v>0</v>
      </c>
      <c r="D52" s="631"/>
      <c r="E52" s="631"/>
      <c r="F52" s="631"/>
      <c r="G52" s="631"/>
      <c r="H52" s="631"/>
      <c r="I52" s="631"/>
      <c r="J52" s="631"/>
      <c r="K52" s="631"/>
      <c r="L52" s="631"/>
      <c r="M52" s="631"/>
      <c r="N52" s="631"/>
      <c r="O52" s="631"/>
      <c r="P52" s="631"/>
      <c r="Q52" s="631"/>
      <c r="R52" s="631"/>
      <c r="S52" s="631"/>
      <c r="T52" s="631"/>
      <c r="U52" s="631"/>
      <c r="V52" s="633"/>
      <c r="W52" s="509"/>
      <c r="X52" s="509"/>
      <c r="Y52" s="509"/>
      <c r="Z52" s="510"/>
      <c r="AA52" s="508" t="s">
        <v>27</v>
      </c>
      <c r="AB52" s="509"/>
      <c r="AC52" s="630">
        <f>C52</f>
        <v>0</v>
      </c>
      <c r="AD52" s="631"/>
      <c r="AE52" s="631"/>
      <c r="AF52" s="632"/>
      <c r="AG52" s="631"/>
      <c r="AH52" s="631"/>
      <c r="AI52" s="633"/>
      <c r="AJ52" s="697"/>
    </row>
    <row r="53" spans="1:40" ht="25.5" customHeight="1">
      <c r="A53" s="511"/>
      <c r="B53" s="509"/>
      <c r="C53" s="509"/>
      <c r="D53" s="509"/>
      <c r="E53" s="509"/>
      <c r="F53" s="509"/>
      <c r="G53" s="509"/>
      <c r="H53" s="509"/>
      <c r="I53" s="509"/>
      <c r="J53" s="509"/>
      <c r="K53" s="509"/>
      <c r="L53" s="509"/>
      <c r="M53" s="509"/>
      <c r="N53" s="509"/>
      <c r="O53" s="509"/>
      <c r="P53" s="509"/>
      <c r="Q53" s="509"/>
      <c r="R53" s="509"/>
      <c r="S53" s="509"/>
      <c r="T53" s="509"/>
      <c r="U53" s="509"/>
      <c r="V53" s="509"/>
      <c r="W53" s="509"/>
      <c r="X53" s="509"/>
      <c r="Y53" s="509"/>
      <c r="Z53" s="510"/>
      <c r="AA53" s="511"/>
      <c r="AB53" s="509"/>
      <c r="AC53" s="509"/>
      <c r="AD53" s="509"/>
      <c r="AE53" s="509"/>
      <c r="AF53" s="509"/>
      <c r="AG53" s="509"/>
      <c r="AH53" s="509"/>
      <c r="AI53" s="509"/>
      <c r="AJ53" s="509"/>
    </row>
    <row r="54" spans="1:40" ht="25.5" customHeight="1">
      <c r="A54" s="511"/>
      <c r="B54" s="509"/>
      <c r="C54" s="509"/>
      <c r="D54" s="509"/>
      <c r="E54" s="509"/>
      <c r="F54" s="509"/>
      <c r="G54" s="509"/>
      <c r="H54" s="509"/>
      <c r="I54" s="509"/>
      <c r="J54" s="509"/>
      <c r="K54" s="509"/>
      <c r="L54" s="509"/>
      <c r="M54" s="509"/>
      <c r="N54" s="509"/>
      <c r="O54" s="509"/>
      <c r="P54" s="509"/>
      <c r="Q54" s="509"/>
      <c r="R54" s="509"/>
      <c r="S54" s="509"/>
      <c r="T54" s="509"/>
      <c r="U54" s="509"/>
      <c r="V54" s="509"/>
      <c r="W54" s="509"/>
      <c r="X54" s="509"/>
      <c r="Y54" s="509"/>
      <c r="Z54" s="510"/>
      <c r="AA54" s="511"/>
      <c r="AB54" s="509"/>
      <c r="AC54" s="509"/>
      <c r="AD54" s="509"/>
      <c r="AE54" s="509"/>
      <c r="AF54" s="509"/>
      <c r="AG54" s="509"/>
      <c r="AH54" s="509"/>
      <c r="AI54" s="509"/>
      <c r="AJ54" s="510"/>
    </row>
    <row r="55" spans="1:40" ht="25.5" customHeight="1" thickBot="1">
      <c r="A55" s="511"/>
      <c r="B55" s="509"/>
      <c r="C55" s="509"/>
      <c r="D55" s="509"/>
      <c r="E55" s="509"/>
      <c r="F55" s="509"/>
      <c r="G55" s="509"/>
      <c r="H55" s="509"/>
      <c r="I55" s="509"/>
      <c r="J55" s="509"/>
      <c r="K55" s="509"/>
      <c r="L55" s="509"/>
      <c r="M55" s="509"/>
      <c r="N55" s="509"/>
      <c r="O55" s="509"/>
      <c r="P55" s="509"/>
      <c r="Q55" s="509"/>
      <c r="R55" s="509"/>
      <c r="S55" s="509"/>
      <c r="T55" s="509"/>
      <c r="U55" s="509"/>
      <c r="V55" s="509"/>
      <c r="W55" s="509"/>
      <c r="X55" s="509"/>
      <c r="Y55" s="509"/>
      <c r="Z55" s="510"/>
      <c r="AA55" s="510"/>
      <c r="AB55" s="510"/>
      <c r="AC55" s="510"/>
      <c r="AD55" s="510"/>
      <c r="AE55" s="510"/>
      <c r="AF55" s="510"/>
      <c r="AG55" s="510"/>
      <c r="AH55" s="510"/>
      <c r="AI55" s="510"/>
      <c r="AJ55" s="510"/>
    </row>
    <row r="56" spans="1:40" ht="32.25" customHeight="1" thickTop="1">
      <c r="A56" s="512"/>
      <c r="B56" s="513"/>
      <c r="C56" s="856" t="str">
        <f>C8</f>
        <v>Depuis 'Annemasse'</v>
      </c>
      <c r="D56" s="1052"/>
      <c r="E56" s="857"/>
      <c r="F56" s="857"/>
      <c r="G56" s="857"/>
      <c r="H56" s="857"/>
      <c r="I56" s="857"/>
      <c r="J56" s="857"/>
      <c r="K56" s="857"/>
      <c r="L56" s="857"/>
      <c r="M56" s="857"/>
      <c r="N56" s="858"/>
      <c r="O56" s="856" t="str">
        <f>O8</f>
        <v>Depuis 'Nangy'</v>
      </c>
      <c r="P56" s="1052"/>
      <c r="Q56" s="857"/>
      <c r="R56" s="857"/>
      <c r="S56" s="857"/>
      <c r="T56" s="857"/>
      <c r="U56" s="857"/>
      <c r="V56" s="857"/>
      <c r="W56" s="857"/>
      <c r="X56" s="857"/>
      <c r="Y56" s="857"/>
      <c r="Z56" s="858"/>
      <c r="AA56" s="508"/>
      <c r="AB56" s="513"/>
      <c r="AC56" s="873" t="s">
        <v>12</v>
      </c>
      <c r="AD56" s="875" t="s">
        <v>14</v>
      </c>
      <c r="AE56" s="875" t="s">
        <v>15</v>
      </c>
      <c r="AF56" s="875" t="s">
        <v>18</v>
      </c>
      <c r="AG56" s="875" t="s">
        <v>16</v>
      </c>
      <c r="AH56" s="875" t="s">
        <v>19</v>
      </c>
      <c r="AI56" s="881" t="s">
        <v>31</v>
      </c>
      <c r="AJ56" s="883"/>
      <c r="AK56" s="638"/>
      <c r="AL56" s="638"/>
      <c r="AM56" s="638"/>
      <c r="AN56" s="638"/>
    </row>
    <row r="57" spans="1:40" ht="22.7" customHeight="1">
      <c r="A57" s="512"/>
      <c r="B57" s="513"/>
      <c r="C57" s="1053" t="str">
        <f>C9</f>
        <v>vers 'Reignier'</v>
      </c>
      <c r="D57" s="1053"/>
      <c r="E57" s="1053"/>
      <c r="F57" s="1053"/>
      <c r="G57" s="1053" t="str">
        <f t="shared" ref="G57" si="0">G9</f>
        <v>vers 'Nangy'</v>
      </c>
      <c r="H57" s="1053"/>
      <c r="I57" s="1053"/>
      <c r="J57" s="1053"/>
      <c r="K57" s="1053" t="str">
        <f t="shared" ref="K57" si="1">K9</f>
        <v>vers 'Rossat'</v>
      </c>
      <c r="L57" s="1053"/>
      <c r="M57" s="1053"/>
      <c r="N57" s="1053"/>
      <c r="O57" s="1053" t="str">
        <f t="shared" ref="O57" si="2">O9</f>
        <v>vers 'Reignier'</v>
      </c>
      <c r="P57" s="1053"/>
      <c r="Q57" s="1053"/>
      <c r="R57" s="1053"/>
      <c r="S57" s="1053" t="str">
        <f t="shared" ref="S57" si="3">S9</f>
        <v>vers 'Annemasse'</v>
      </c>
      <c r="T57" s="1053"/>
      <c r="U57" s="1053"/>
      <c r="V57" s="1053"/>
      <c r="W57" s="1053" t="str">
        <f t="shared" ref="W57" si="4">W9</f>
        <v>vers 'Rossat'</v>
      </c>
      <c r="X57" s="1053"/>
      <c r="Y57" s="1053"/>
      <c r="Z57" s="1053"/>
      <c r="AA57" s="508"/>
      <c r="AB57" s="513"/>
      <c r="AC57" s="874"/>
      <c r="AD57" s="876"/>
      <c r="AE57" s="876"/>
      <c r="AF57" s="876"/>
      <c r="AG57" s="876"/>
      <c r="AH57" s="876"/>
      <c r="AI57" s="884"/>
      <c r="AJ57" s="886"/>
      <c r="AK57" s="638"/>
      <c r="AL57" s="638"/>
      <c r="AM57" s="638"/>
      <c r="AN57" s="638"/>
    </row>
    <row r="58" spans="1:40" ht="18.600000000000001" customHeight="1" thickBot="1">
      <c r="A58" s="512"/>
      <c r="B58" s="513"/>
      <c r="C58" s="934" t="s">
        <v>4</v>
      </c>
      <c r="D58" s="1056"/>
      <c r="E58" s="936" t="s">
        <v>5</v>
      </c>
      <c r="F58" s="937"/>
      <c r="G58" s="937" t="s">
        <v>4</v>
      </c>
      <c r="H58" s="938"/>
      <c r="I58" s="936" t="s">
        <v>5</v>
      </c>
      <c r="J58" s="937"/>
      <c r="K58" s="937" t="s">
        <v>4</v>
      </c>
      <c r="L58" s="938"/>
      <c r="M58" s="1054" t="s">
        <v>5</v>
      </c>
      <c r="N58" s="1055"/>
      <c r="O58" s="934" t="s">
        <v>4</v>
      </c>
      <c r="P58" s="1056"/>
      <c r="Q58" s="936" t="s">
        <v>5</v>
      </c>
      <c r="R58" s="937"/>
      <c r="S58" s="937" t="s">
        <v>4</v>
      </c>
      <c r="T58" s="938"/>
      <c r="U58" s="936" t="s">
        <v>5</v>
      </c>
      <c r="V58" s="937"/>
      <c r="W58" s="937" t="s">
        <v>4</v>
      </c>
      <c r="X58" s="938"/>
      <c r="Y58" s="936" t="s">
        <v>5</v>
      </c>
      <c r="Z58" s="891"/>
      <c r="AA58" s="639"/>
      <c r="AB58" s="513"/>
      <c r="AC58" s="874"/>
      <c r="AD58" s="876"/>
      <c r="AE58" s="876"/>
      <c r="AF58" s="876"/>
      <c r="AG58" s="876"/>
      <c r="AH58" s="876"/>
      <c r="AI58" s="884"/>
      <c r="AJ58" s="886"/>
      <c r="AK58" s="638"/>
      <c r="AL58" s="638"/>
      <c r="AM58" s="638"/>
      <c r="AN58" s="638"/>
    </row>
    <row r="59" spans="1:40" ht="21" thickTop="1">
      <c r="A59" s="892" t="s">
        <v>13</v>
      </c>
      <c r="B59" s="893"/>
      <c r="C59" s="601" t="s">
        <v>8</v>
      </c>
      <c r="D59" s="606" t="s">
        <v>9</v>
      </c>
      <c r="E59" s="603" t="s">
        <v>8</v>
      </c>
      <c r="F59" s="604" t="s">
        <v>9</v>
      </c>
      <c r="G59" s="605" t="s">
        <v>8</v>
      </c>
      <c r="H59" s="606" t="s">
        <v>9</v>
      </c>
      <c r="I59" s="603" t="s">
        <v>8</v>
      </c>
      <c r="J59" s="604" t="s">
        <v>9</v>
      </c>
      <c r="K59" s="605" t="s">
        <v>8</v>
      </c>
      <c r="L59" s="606" t="s">
        <v>9</v>
      </c>
      <c r="M59" s="603" t="s">
        <v>8</v>
      </c>
      <c r="N59" s="640" t="s">
        <v>9</v>
      </c>
      <c r="O59" s="601" t="s">
        <v>8</v>
      </c>
      <c r="P59" s="606" t="s">
        <v>9</v>
      </c>
      <c r="Q59" s="603" t="s">
        <v>8</v>
      </c>
      <c r="R59" s="604" t="s">
        <v>9</v>
      </c>
      <c r="S59" s="605" t="s">
        <v>8</v>
      </c>
      <c r="T59" s="606" t="s">
        <v>9</v>
      </c>
      <c r="U59" s="603" t="s">
        <v>8</v>
      </c>
      <c r="V59" s="604" t="s">
        <v>9</v>
      </c>
      <c r="W59" s="605" t="s">
        <v>8</v>
      </c>
      <c r="X59" s="606" t="s">
        <v>9</v>
      </c>
      <c r="Y59" s="603" t="s">
        <v>8</v>
      </c>
      <c r="Z59" s="640" t="s">
        <v>9</v>
      </c>
      <c r="AA59" s="894" t="s">
        <v>13</v>
      </c>
      <c r="AB59" s="895"/>
      <c r="AC59" s="874"/>
      <c r="AD59" s="877"/>
      <c r="AE59" s="877"/>
      <c r="AF59" s="877"/>
      <c r="AG59" s="877"/>
      <c r="AH59" s="877"/>
      <c r="AI59" s="887"/>
      <c r="AJ59" s="889"/>
      <c r="AK59" s="638"/>
      <c r="AL59" s="638"/>
      <c r="AM59" s="638"/>
      <c r="AN59" s="638"/>
    </row>
    <row r="60" spans="1:40" ht="54.95" customHeight="1">
      <c r="A60" s="906" t="s">
        <v>28</v>
      </c>
      <c r="B60" s="907"/>
      <c r="C60" s="641">
        <f>SUM(C12:C15)</f>
        <v>0</v>
      </c>
      <c r="D60" s="642">
        <f t="shared" ref="D60:Z60" si="5">SUM(D12:D15)</f>
        <v>0</v>
      </c>
      <c r="E60" s="643">
        <f t="shared" si="5"/>
        <v>0</v>
      </c>
      <c r="F60" s="698">
        <f t="shared" si="5"/>
        <v>0</v>
      </c>
      <c r="G60" s="699">
        <f t="shared" si="5"/>
        <v>0</v>
      </c>
      <c r="H60" s="642">
        <f t="shared" si="5"/>
        <v>0</v>
      </c>
      <c r="I60" s="643">
        <f t="shared" si="5"/>
        <v>0</v>
      </c>
      <c r="J60" s="698">
        <f t="shared" si="5"/>
        <v>0</v>
      </c>
      <c r="K60" s="699">
        <f t="shared" si="5"/>
        <v>0</v>
      </c>
      <c r="L60" s="642">
        <f t="shared" si="5"/>
        <v>0</v>
      </c>
      <c r="M60" s="643">
        <f t="shared" si="5"/>
        <v>0</v>
      </c>
      <c r="N60" s="644">
        <f t="shared" si="5"/>
        <v>0</v>
      </c>
      <c r="O60" s="641">
        <f t="shared" si="5"/>
        <v>0</v>
      </c>
      <c r="P60" s="642">
        <f t="shared" si="5"/>
        <v>0</v>
      </c>
      <c r="Q60" s="643">
        <f t="shared" si="5"/>
        <v>0</v>
      </c>
      <c r="R60" s="698">
        <f t="shared" si="5"/>
        <v>0</v>
      </c>
      <c r="S60" s="699">
        <f t="shared" si="5"/>
        <v>0</v>
      </c>
      <c r="T60" s="642">
        <f t="shared" si="5"/>
        <v>0</v>
      </c>
      <c r="U60" s="643">
        <f t="shared" si="5"/>
        <v>0</v>
      </c>
      <c r="V60" s="698">
        <f t="shared" si="5"/>
        <v>0</v>
      </c>
      <c r="W60" s="699">
        <f t="shared" si="5"/>
        <v>0</v>
      </c>
      <c r="X60" s="642">
        <f t="shared" si="5"/>
        <v>0</v>
      </c>
      <c r="Y60" s="643">
        <f t="shared" si="5"/>
        <v>0</v>
      </c>
      <c r="Z60" s="644">
        <f t="shared" si="5"/>
        <v>0</v>
      </c>
      <c r="AA60" s="1059" t="s">
        <v>28</v>
      </c>
      <c r="AB60" s="1060"/>
      <c r="AC60" s="700">
        <f t="shared" ref="AC60:AC65" si="6">SUM(C60:Z60)+SUM(C72:Z72)</f>
        <v>0</v>
      </c>
      <c r="AD60" s="540" t="e">
        <f>(C60+E60+G60+I60+K60+M60+O60+Q60+S60+U60+W60+Y60+C72+E72+G72+I72+K72+M72+O72+Q72+S72+U72+W72+Y72)/AC60</f>
        <v>#DIV/0!</v>
      </c>
      <c r="AE60" s="540" t="e">
        <f>(E60+F60+I60+J60+M60+N60+Q60+R60+U60+V60+Y60+Z60+E72+F72+I72+J72+M72+N72+Q72+R72+U72+V72+Y72+Z72)/AC60</f>
        <v>#DIV/0!</v>
      </c>
      <c r="AF60" s="540" t="e">
        <f>(E60+I60+M60+Q60+U60+Y60+E72+I72+M72+Q72+U72+Y72)/(E60+F60+I60+J60+M60+N60+Q60+R60+U60+V60+Y60+Z60+E72+F72+I72+J72+M72+N72+Q72+R72+U72+V72+Y72+Z72)</f>
        <v>#DIV/0!</v>
      </c>
      <c r="AG60" s="540" t="e">
        <f>AH60/AC60</f>
        <v>#DIV/0!</v>
      </c>
      <c r="AH60" s="683">
        <f>SUM(S60:V60,K72:N72,W72:Z72)</f>
        <v>0</v>
      </c>
      <c r="AI60" s="701"/>
      <c r="AJ60" s="702"/>
      <c r="AK60" s="638"/>
      <c r="AL60" s="638"/>
      <c r="AM60" s="638"/>
      <c r="AN60" s="638"/>
    </row>
    <row r="61" spans="1:40" ht="54.95" customHeight="1">
      <c r="A61" s="899" t="s">
        <v>11</v>
      </c>
      <c r="B61" s="900"/>
      <c r="C61" s="649">
        <f>SUM(C14:C17)</f>
        <v>0</v>
      </c>
      <c r="D61" s="650">
        <f t="shared" ref="D61:Z61" si="7">SUM(D14:D17)</f>
        <v>0</v>
      </c>
      <c r="E61" s="651">
        <f t="shared" si="7"/>
        <v>0</v>
      </c>
      <c r="F61" s="703">
        <f t="shared" si="7"/>
        <v>0</v>
      </c>
      <c r="G61" s="704">
        <f t="shared" si="7"/>
        <v>0</v>
      </c>
      <c r="H61" s="650">
        <f t="shared" si="7"/>
        <v>0</v>
      </c>
      <c r="I61" s="651">
        <f t="shared" si="7"/>
        <v>0</v>
      </c>
      <c r="J61" s="703">
        <f t="shared" si="7"/>
        <v>0</v>
      </c>
      <c r="K61" s="704">
        <f t="shared" si="7"/>
        <v>0</v>
      </c>
      <c r="L61" s="650">
        <f t="shared" si="7"/>
        <v>0</v>
      </c>
      <c r="M61" s="651">
        <f t="shared" si="7"/>
        <v>0</v>
      </c>
      <c r="N61" s="652">
        <f t="shared" si="7"/>
        <v>0</v>
      </c>
      <c r="O61" s="649">
        <f t="shared" si="7"/>
        <v>0</v>
      </c>
      <c r="P61" s="650">
        <f t="shared" si="7"/>
        <v>0</v>
      </c>
      <c r="Q61" s="651">
        <f t="shared" si="7"/>
        <v>0</v>
      </c>
      <c r="R61" s="703">
        <f t="shared" si="7"/>
        <v>0</v>
      </c>
      <c r="S61" s="704">
        <f t="shared" si="7"/>
        <v>0</v>
      </c>
      <c r="T61" s="650">
        <f t="shared" si="7"/>
        <v>0</v>
      </c>
      <c r="U61" s="651">
        <f t="shared" si="7"/>
        <v>0</v>
      </c>
      <c r="V61" s="703">
        <f t="shared" si="7"/>
        <v>0</v>
      </c>
      <c r="W61" s="704">
        <f t="shared" si="7"/>
        <v>0</v>
      </c>
      <c r="X61" s="650">
        <f t="shared" si="7"/>
        <v>0</v>
      </c>
      <c r="Y61" s="651">
        <f t="shared" si="7"/>
        <v>0</v>
      </c>
      <c r="Z61" s="652">
        <f t="shared" si="7"/>
        <v>0</v>
      </c>
      <c r="AA61" s="1057" t="s">
        <v>11</v>
      </c>
      <c r="AB61" s="1058"/>
      <c r="AC61" s="705">
        <f t="shared" si="6"/>
        <v>0</v>
      </c>
      <c r="AD61" s="548" t="e">
        <f t="shared" ref="AD61:AD66" si="8">(C61+E61+G61+I61+K61+M61+O61+Q61+S61+U61+W61+Y61+C73+E73+G73+I73+K73+M73+O73+Q73+S73+U73+W73+Y73)/AC61</f>
        <v>#DIV/0!</v>
      </c>
      <c r="AE61" s="548" t="e">
        <f t="shared" ref="AE61:AE66" si="9">(E61+F61+I61+J61+M61+N61+Q61+R61+U61+V61+Y61+Z61+E73+F73+I73+J73+M73+N73+Q73+R73+U73+V73+Y73+Z73)/AC61</f>
        <v>#DIV/0!</v>
      </c>
      <c r="AF61" s="548" t="e">
        <f t="shared" ref="AF61:AF66" si="10">(E61+I61+M61+Q61+U61+Y61+E73+I73+M73+Q73+U73+Y73)/(E61+F61+I61+J61+M61+N61+Q61+R61+U61+V61+Y61+Z61+E73+F73+I73+J73+M73+N73+Q73+R73+U73+V73+Y73+Z73)</f>
        <v>#DIV/0!</v>
      </c>
      <c r="AG61" s="548" t="e">
        <f t="shared" ref="AG61:AG66" si="11">AH61/AC61</f>
        <v>#DIV/0!</v>
      </c>
      <c r="AH61" s="684">
        <f t="shared" ref="AH61:AH66" si="12">SUM(S61:V61,K73:N73,W73:Z73)</f>
        <v>0</v>
      </c>
      <c r="AI61" s="706"/>
      <c r="AJ61" s="707"/>
      <c r="AK61" s="638"/>
      <c r="AL61" s="638"/>
      <c r="AM61" s="638"/>
      <c r="AN61" s="638"/>
    </row>
    <row r="62" spans="1:40" ht="54.95" customHeight="1">
      <c r="A62" s="899" t="s">
        <v>17</v>
      </c>
      <c r="B62" s="900"/>
      <c r="C62" s="649">
        <f>SUM(C16:C19)</f>
        <v>0</v>
      </c>
      <c r="D62" s="650">
        <f t="shared" ref="D62:Z62" si="13">SUM(D16:D19)</f>
        <v>0</v>
      </c>
      <c r="E62" s="651">
        <f t="shared" si="13"/>
        <v>0</v>
      </c>
      <c r="F62" s="703">
        <f t="shared" si="13"/>
        <v>0</v>
      </c>
      <c r="G62" s="704">
        <f t="shared" si="13"/>
        <v>0</v>
      </c>
      <c r="H62" s="650">
        <f t="shared" si="13"/>
        <v>0</v>
      </c>
      <c r="I62" s="651">
        <f t="shared" si="13"/>
        <v>0</v>
      </c>
      <c r="J62" s="703">
        <f t="shared" si="13"/>
        <v>0</v>
      </c>
      <c r="K62" s="704">
        <f t="shared" si="13"/>
        <v>0</v>
      </c>
      <c r="L62" s="650">
        <f t="shared" si="13"/>
        <v>0</v>
      </c>
      <c r="M62" s="651">
        <f t="shared" si="13"/>
        <v>0</v>
      </c>
      <c r="N62" s="652">
        <f t="shared" si="13"/>
        <v>0</v>
      </c>
      <c r="O62" s="649">
        <f t="shared" si="13"/>
        <v>0</v>
      </c>
      <c r="P62" s="650">
        <f t="shared" si="13"/>
        <v>0</v>
      </c>
      <c r="Q62" s="651">
        <f t="shared" si="13"/>
        <v>0</v>
      </c>
      <c r="R62" s="703">
        <f t="shared" si="13"/>
        <v>0</v>
      </c>
      <c r="S62" s="704">
        <f t="shared" si="13"/>
        <v>0</v>
      </c>
      <c r="T62" s="650">
        <f t="shared" si="13"/>
        <v>0</v>
      </c>
      <c r="U62" s="651">
        <f t="shared" si="13"/>
        <v>0</v>
      </c>
      <c r="V62" s="703">
        <f t="shared" si="13"/>
        <v>0</v>
      </c>
      <c r="W62" s="704">
        <f t="shared" si="13"/>
        <v>0</v>
      </c>
      <c r="X62" s="650">
        <f t="shared" si="13"/>
        <v>0</v>
      </c>
      <c r="Y62" s="651">
        <f t="shared" si="13"/>
        <v>0</v>
      </c>
      <c r="Z62" s="652">
        <f t="shared" si="13"/>
        <v>0</v>
      </c>
      <c r="AA62" s="1057" t="s">
        <v>17</v>
      </c>
      <c r="AB62" s="1058"/>
      <c r="AC62" s="705">
        <f t="shared" si="6"/>
        <v>0</v>
      </c>
      <c r="AD62" s="548" t="e">
        <f t="shared" si="8"/>
        <v>#DIV/0!</v>
      </c>
      <c r="AE62" s="548" t="e">
        <f t="shared" si="9"/>
        <v>#DIV/0!</v>
      </c>
      <c r="AF62" s="548" t="e">
        <f t="shared" si="10"/>
        <v>#DIV/0!</v>
      </c>
      <c r="AG62" s="548" t="e">
        <f t="shared" si="11"/>
        <v>#DIV/0!</v>
      </c>
      <c r="AH62" s="684">
        <f t="shared" si="12"/>
        <v>0</v>
      </c>
      <c r="AI62" s="706"/>
      <c r="AJ62" s="707"/>
      <c r="AK62" s="638"/>
      <c r="AL62" s="638"/>
      <c r="AM62" s="638"/>
      <c r="AN62" s="638"/>
    </row>
    <row r="63" spans="1:40" ht="54.95" customHeight="1">
      <c r="A63" s="899" t="s">
        <v>10</v>
      </c>
      <c r="B63" s="900"/>
      <c r="C63" s="649">
        <f>SUM(C18:C21)</f>
        <v>0</v>
      </c>
      <c r="D63" s="650">
        <f t="shared" ref="D63:Z63" si="14">SUM(D18:D21)</f>
        <v>0</v>
      </c>
      <c r="E63" s="651">
        <f t="shared" si="14"/>
        <v>0</v>
      </c>
      <c r="F63" s="703">
        <f t="shared" si="14"/>
        <v>0</v>
      </c>
      <c r="G63" s="704">
        <f t="shared" si="14"/>
        <v>0</v>
      </c>
      <c r="H63" s="650">
        <f t="shared" si="14"/>
        <v>0</v>
      </c>
      <c r="I63" s="651">
        <f t="shared" si="14"/>
        <v>0</v>
      </c>
      <c r="J63" s="703">
        <f t="shared" si="14"/>
        <v>0</v>
      </c>
      <c r="K63" s="704">
        <f t="shared" si="14"/>
        <v>0</v>
      </c>
      <c r="L63" s="650">
        <f t="shared" si="14"/>
        <v>0</v>
      </c>
      <c r="M63" s="651">
        <f t="shared" si="14"/>
        <v>0</v>
      </c>
      <c r="N63" s="652">
        <f t="shared" si="14"/>
        <v>0</v>
      </c>
      <c r="O63" s="649">
        <f t="shared" si="14"/>
        <v>0</v>
      </c>
      <c r="P63" s="650">
        <f t="shared" si="14"/>
        <v>0</v>
      </c>
      <c r="Q63" s="651">
        <f t="shared" si="14"/>
        <v>0</v>
      </c>
      <c r="R63" s="703">
        <f t="shared" si="14"/>
        <v>0</v>
      </c>
      <c r="S63" s="704">
        <f t="shared" si="14"/>
        <v>0</v>
      </c>
      <c r="T63" s="650">
        <f t="shared" si="14"/>
        <v>0</v>
      </c>
      <c r="U63" s="651">
        <f t="shared" si="14"/>
        <v>0</v>
      </c>
      <c r="V63" s="703">
        <f t="shared" si="14"/>
        <v>0</v>
      </c>
      <c r="W63" s="704">
        <f t="shared" si="14"/>
        <v>0</v>
      </c>
      <c r="X63" s="650">
        <f t="shared" si="14"/>
        <v>0</v>
      </c>
      <c r="Y63" s="651">
        <f t="shared" si="14"/>
        <v>0</v>
      </c>
      <c r="Z63" s="652">
        <f t="shared" si="14"/>
        <v>0</v>
      </c>
      <c r="AA63" s="1057" t="s">
        <v>10</v>
      </c>
      <c r="AB63" s="1058"/>
      <c r="AC63" s="705">
        <f t="shared" si="6"/>
        <v>0</v>
      </c>
      <c r="AD63" s="548" t="e">
        <f t="shared" si="8"/>
        <v>#DIV/0!</v>
      </c>
      <c r="AE63" s="548" t="e">
        <f t="shared" si="9"/>
        <v>#DIV/0!</v>
      </c>
      <c r="AF63" s="548" t="e">
        <f t="shared" si="10"/>
        <v>#DIV/0!</v>
      </c>
      <c r="AG63" s="548" t="e">
        <f t="shared" si="11"/>
        <v>#DIV/0!</v>
      </c>
      <c r="AH63" s="684">
        <f t="shared" si="12"/>
        <v>0</v>
      </c>
      <c r="AI63" s="706"/>
      <c r="AJ63" s="707"/>
      <c r="AK63" s="638"/>
      <c r="AL63" s="638"/>
      <c r="AM63" s="638"/>
      <c r="AN63" s="638"/>
    </row>
    <row r="64" spans="1:40" ht="54.95" customHeight="1">
      <c r="A64" s="910" t="s">
        <v>29</v>
      </c>
      <c r="B64" s="911"/>
      <c r="C64" s="657">
        <f>SUM(C20:C23)</f>
        <v>0</v>
      </c>
      <c r="D64" s="658">
        <f t="shared" ref="D64:Z64" si="15">SUM(D20:D23)</f>
        <v>0</v>
      </c>
      <c r="E64" s="659">
        <f t="shared" si="15"/>
        <v>0</v>
      </c>
      <c r="F64" s="708">
        <f t="shared" si="15"/>
        <v>0</v>
      </c>
      <c r="G64" s="709">
        <f t="shared" si="15"/>
        <v>0</v>
      </c>
      <c r="H64" s="658">
        <f t="shared" si="15"/>
        <v>0</v>
      </c>
      <c r="I64" s="659">
        <f t="shared" si="15"/>
        <v>0</v>
      </c>
      <c r="J64" s="708">
        <f t="shared" si="15"/>
        <v>0</v>
      </c>
      <c r="K64" s="709">
        <f t="shared" si="15"/>
        <v>0</v>
      </c>
      <c r="L64" s="658">
        <f t="shared" si="15"/>
        <v>0</v>
      </c>
      <c r="M64" s="659">
        <f t="shared" si="15"/>
        <v>0</v>
      </c>
      <c r="N64" s="660">
        <f t="shared" si="15"/>
        <v>0</v>
      </c>
      <c r="O64" s="657">
        <f t="shared" si="15"/>
        <v>0</v>
      </c>
      <c r="P64" s="658">
        <f t="shared" si="15"/>
        <v>0</v>
      </c>
      <c r="Q64" s="659">
        <f t="shared" si="15"/>
        <v>0</v>
      </c>
      <c r="R64" s="708">
        <f t="shared" si="15"/>
        <v>0</v>
      </c>
      <c r="S64" s="709">
        <f t="shared" si="15"/>
        <v>0</v>
      </c>
      <c r="T64" s="658">
        <f t="shared" si="15"/>
        <v>0</v>
      </c>
      <c r="U64" s="659">
        <f t="shared" si="15"/>
        <v>0</v>
      </c>
      <c r="V64" s="708">
        <f t="shared" si="15"/>
        <v>0</v>
      </c>
      <c r="W64" s="709">
        <f t="shared" si="15"/>
        <v>0</v>
      </c>
      <c r="X64" s="658">
        <f t="shared" si="15"/>
        <v>0</v>
      </c>
      <c r="Y64" s="659">
        <f t="shared" si="15"/>
        <v>0</v>
      </c>
      <c r="Z64" s="660">
        <f t="shared" si="15"/>
        <v>0</v>
      </c>
      <c r="AA64" s="1062" t="s">
        <v>29</v>
      </c>
      <c r="AB64" s="1063"/>
      <c r="AC64" s="710">
        <f t="shared" si="6"/>
        <v>0</v>
      </c>
      <c r="AD64" s="556" t="e">
        <f t="shared" si="8"/>
        <v>#DIV/0!</v>
      </c>
      <c r="AE64" s="556" t="e">
        <f t="shared" si="9"/>
        <v>#DIV/0!</v>
      </c>
      <c r="AF64" s="556" t="e">
        <f t="shared" si="10"/>
        <v>#DIV/0!</v>
      </c>
      <c r="AG64" s="556" t="e">
        <f t="shared" si="11"/>
        <v>#DIV/0!</v>
      </c>
      <c r="AH64" s="685">
        <f t="shared" si="12"/>
        <v>0</v>
      </c>
      <c r="AI64" s="711"/>
      <c r="AJ64" s="712"/>
      <c r="AK64" s="638"/>
      <c r="AL64" s="638"/>
      <c r="AM64" s="638"/>
      <c r="AN64" s="638"/>
    </row>
    <row r="65" spans="1:43" ht="54.95" customHeight="1">
      <c r="A65" s="920" t="s">
        <v>12</v>
      </c>
      <c r="B65" s="921"/>
      <c r="C65" s="607">
        <f>SUM(C12:C23)</f>
        <v>0</v>
      </c>
      <c r="D65" s="612">
        <f t="shared" ref="D65:Z65" si="16">SUM(D12:D23)</f>
        <v>0</v>
      </c>
      <c r="E65" s="609">
        <f t="shared" si="16"/>
        <v>0</v>
      </c>
      <c r="F65" s="610">
        <f t="shared" si="16"/>
        <v>0</v>
      </c>
      <c r="G65" s="611">
        <f t="shared" si="16"/>
        <v>0</v>
      </c>
      <c r="H65" s="612">
        <f t="shared" si="16"/>
        <v>0</v>
      </c>
      <c r="I65" s="609">
        <f t="shared" si="16"/>
        <v>0</v>
      </c>
      <c r="J65" s="610">
        <f t="shared" si="16"/>
        <v>0</v>
      </c>
      <c r="K65" s="611">
        <f t="shared" si="16"/>
        <v>0</v>
      </c>
      <c r="L65" s="612">
        <f t="shared" si="16"/>
        <v>0</v>
      </c>
      <c r="M65" s="609">
        <f t="shared" si="16"/>
        <v>0</v>
      </c>
      <c r="N65" s="689">
        <f t="shared" si="16"/>
        <v>0</v>
      </c>
      <c r="O65" s="607">
        <f t="shared" si="16"/>
        <v>0</v>
      </c>
      <c r="P65" s="612">
        <f t="shared" si="16"/>
        <v>0</v>
      </c>
      <c r="Q65" s="609">
        <f t="shared" si="16"/>
        <v>0</v>
      </c>
      <c r="R65" s="610">
        <f t="shared" si="16"/>
        <v>0</v>
      </c>
      <c r="S65" s="611">
        <f t="shared" si="16"/>
        <v>0</v>
      </c>
      <c r="T65" s="612">
        <f t="shared" si="16"/>
        <v>0</v>
      </c>
      <c r="U65" s="609">
        <f t="shared" si="16"/>
        <v>0</v>
      </c>
      <c r="V65" s="610">
        <f t="shared" si="16"/>
        <v>0</v>
      </c>
      <c r="W65" s="611">
        <f t="shared" si="16"/>
        <v>0</v>
      </c>
      <c r="X65" s="612">
        <f t="shared" si="16"/>
        <v>0</v>
      </c>
      <c r="Y65" s="609">
        <f t="shared" si="16"/>
        <v>0</v>
      </c>
      <c r="Z65" s="689">
        <f t="shared" si="16"/>
        <v>0</v>
      </c>
      <c r="AA65" s="922" t="s">
        <v>12</v>
      </c>
      <c r="AB65" s="923"/>
      <c r="AC65" s="713">
        <f t="shared" si="6"/>
        <v>0</v>
      </c>
      <c r="AD65" s="714">
        <f>IF(AC65=0,0,(C65+E65+G65+I65+K65+M65+O65+Q65+S65+U65+W65+Y65+C77+E77+G77+I77+K77+M77+O77+Q77+S77+U77+W77+Y77)/AC65)</f>
        <v>0</v>
      </c>
      <c r="AE65" s="714">
        <f>IF(AC65=0,0,(E65+F65+I65+J65+M65+N65+Q65+R65+U65+V65+Y65+Z65+E77+F77+I77+J77+M77+N77+Q77+R77+U77+V77+Y77+Z77)/AC65)</f>
        <v>0</v>
      </c>
      <c r="AF65" s="714">
        <f>IF((E65+I65+M65+Q65+U65+Y65+E77+I77+M77+Q77+U77+Y77)=0,0,(E65+I65+M65+Q65+U65+Y65+E77+I77+M77+Q77+U77+Y77)/(E65+F65+I65+J65+M65+N65+Q65+R65+U65+V65+Y65+Z65+E77+F77+I77+J77+M77+N77+Q77+R77+U77+V77+Y77+Z77))</f>
        <v>0</v>
      </c>
      <c r="AG65" s="714">
        <f>IF(AC65=0,0,AH65/AC65)</f>
        <v>0</v>
      </c>
      <c r="AH65" s="715">
        <f t="shared" si="12"/>
        <v>0</v>
      </c>
      <c r="AI65" s="716"/>
      <c r="AJ65" s="717"/>
      <c r="AK65" s="638"/>
      <c r="AL65" s="638"/>
      <c r="AM65" s="638"/>
      <c r="AN65" s="638"/>
    </row>
    <row r="66" spans="1:43" ht="54.95" customHeight="1" thickBot="1">
      <c r="A66" s="927" t="str">
        <f>IF($AC$60=MAX($AC$60:$AC$64),A60,IF($AC$61=MAX($AC$60:$AC$64),A61,IF($AC$62=MAX($AC$60:$AC$64),A62,IF($AC$63=MAX($AC$60:$AC$64),A63,A64))))</f>
        <v>de 6:30 à 7:30</v>
      </c>
      <c r="B66" s="928"/>
      <c r="C66" s="618">
        <f>IF($AC$60=MAX($AC$60:$AC$64),C60,IF($AC$61=MAX($AC$60:$AC$64),C61,IF($AC$62=MAX($AC$60:$AC$64),C62,IF($AC$63=MAX($AC$60:$AC$64),(C63),C64))))</f>
        <v>0</v>
      </c>
      <c r="D66" s="623">
        <f t="shared" ref="D66:Z66" si="17">IF($AC$60=MAX($AC$60:$AC$64),D60,IF($AC$61=MAX($AC$60:$AC$64),D61,IF($AC$62=MAX($AC$60:$AC$64),D62,IF($AC$63=MAX($AC$60:$AC$64),(D63),D64))))</f>
        <v>0</v>
      </c>
      <c r="E66" s="620">
        <f t="shared" si="17"/>
        <v>0</v>
      </c>
      <c r="F66" s="621">
        <f t="shared" si="17"/>
        <v>0</v>
      </c>
      <c r="G66" s="622">
        <f t="shared" si="17"/>
        <v>0</v>
      </c>
      <c r="H66" s="623">
        <f t="shared" si="17"/>
        <v>0</v>
      </c>
      <c r="I66" s="620">
        <f t="shared" si="17"/>
        <v>0</v>
      </c>
      <c r="J66" s="621">
        <f t="shared" si="17"/>
        <v>0</v>
      </c>
      <c r="K66" s="622">
        <f t="shared" si="17"/>
        <v>0</v>
      </c>
      <c r="L66" s="623">
        <f t="shared" si="17"/>
        <v>0</v>
      </c>
      <c r="M66" s="620">
        <f t="shared" si="17"/>
        <v>0</v>
      </c>
      <c r="N66" s="690">
        <f t="shared" si="17"/>
        <v>0</v>
      </c>
      <c r="O66" s="618">
        <f t="shared" si="17"/>
        <v>0</v>
      </c>
      <c r="P66" s="623">
        <f t="shared" si="17"/>
        <v>0</v>
      </c>
      <c r="Q66" s="620">
        <f t="shared" si="17"/>
        <v>0</v>
      </c>
      <c r="R66" s="621">
        <f t="shared" si="17"/>
        <v>0</v>
      </c>
      <c r="S66" s="622">
        <f t="shared" si="17"/>
        <v>0</v>
      </c>
      <c r="T66" s="623">
        <f t="shared" si="17"/>
        <v>0</v>
      </c>
      <c r="U66" s="620">
        <f t="shared" si="17"/>
        <v>0</v>
      </c>
      <c r="V66" s="621">
        <f t="shared" si="17"/>
        <v>0</v>
      </c>
      <c r="W66" s="622">
        <f t="shared" si="17"/>
        <v>0</v>
      </c>
      <c r="X66" s="623">
        <f t="shared" si="17"/>
        <v>0</v>
      </c>
      <c r="Y66" s="620">
        <f t="shared" si="17"/>
        <v>0</v>
      </c>
      <c r="Z66" s="690">
        <f t="shared" si="17"/>
        <v>0</v>
      </c>
      <c r="AA66" s="929" t="str">
        <f>IF($AC$60=MAX($AC$60:$AC$64),A60,IF($AC$61=MAX($AC$60:$AC$64),A61,IF($AC$62=MAX($AC$60:$AC$64),A62,IF($AC$63=MAX($AC$60:$AC$64),A63,A64))))</f>
        <v>de 6:30 à 7:30</v>
      </c>
      <c r="AB66" s="930"/>
      <c r="AC66" s="673">
        <f>IF($AC$60=MAX($AC$60:$AC$64),AC60,IF($AC$61=MAX($AC$60:$AC$64),AC61,IF($AC$62=MAX($AC$60:$AC$64),AC62,IF($AC$63=MAX($AC$60:$AC$64),(AC63),AC64))))</f>
        <v>0</v>
      </c>
      <c r="AD66" s="718" t="e">
        <f t="shared" si="8"/>
        <v>#DIV/0!</v>
      </c>
      <c r="AE66" s="718" t="e">
        <f t="shared" si="9"/>
        <v>#DIV/0!</v>
      </c>
      <c r="AF66" s="718" t="e">
        <f t="shared" si="10"/>
        <v>#DIV/0!</v>
      </c>
      <c r="AG66" s="718" t="e">
        <f t="shared" si="11"/>
        <v>#DIV/0!</v>
      </c>
      <c r="AH66" s="719">
        <f t="shared" si="12"/>
        <v>0</v>
      </c>
      <c r="AI66" s="720"/>
      <c r="AJ66" s="721"/>
      <c r="AK66" s="638"/>
      <c r="AL66" s="638"/>
      <c r="AM66" s="638"/>
      <c r="AN66" s="638"/>
    </row>
    <row r="67" spans="1:43" ht="12.75" customHeight="1" thickTop="1" thickBot="1">
      <c r="A67" s="722"/>
      <c r="B67" s="723"/>
      <c r="C67" s="723"/>
      <c r="D67" s="723"/>
      <c r="E67" s="723"/>
      <c r="F67" s="723"/>
      <c r="G67" s="723"/>
      <c r="H67" s="723"/>
      <c r="I67" s="723"/>
      <c r="J67" s="723"/>
      <c r="K67" s="723"/>
      <c r="L67" s="723"/>
      <c r="M67" s="723"/>
      <c r="N67" s="723"/>
      <c r="O67" s="723"/>
      <c r="P67" s="723"/>
      <c r="Q67" s="723"/>
      <c r="R67" s="723"/>
      <c r="S67" s="723"/>
      <c r="T67" s="723"/>
      <c r="U67" s="723"/>
      <c r="V67" s="723"/>
      <c r="W67" s="723"/>
      <c r="X67" s="723"/>
      <c r="Y67" s="723"/>
      <c r="Z67" s="724"/>
      <c r="AA67" s="1061"/>
      <c r="AB67" s="1061"/>
      <c r="AC67" s="725"/>
      <c r="AD67" s="726"/>
      <c r="AE67" s="726"/>
      <c r="AF67" s="726"/>
      <c r="AG67" s="726"/>
      <c r="AH67" s="727"/>
      <c r="AI67" s="727"/>
      <c r="AJ67" s="727"/>
    </row>
    <row r="68" spans="1:43" ht="32.25" customHeight="1" thickTop="1">
      <c r="A68" s="512"/>
      <c r="B68" s="513"/>
      <c r="C68" s="856" t="str">
        <f>C32</f>
        <v>Depuis 'Reignier'</v>
      </c>
      <c r="D68" s="1052"/>
      <c r="E68" s="857"/>
      <c r="F68" s="857"/>
      <c r="G68" s="857"/>
      <c r="H68" s="857"/>
      <c r="I68" s="857"/>
      <c r="J68" s="857"/>
      <c r="K68" s="857"/>
      <c r="L68" s="857"/>
      <c r="M68" s="857"/>
      <c r="N68" s="858"/>
      <c r="O68" s="856" t="str">
        <f>O32</f>
        <v>Depuis 'Rossat'</v>
      </c>
      <c r="P68" s="1052"/>
      <c r="Q68" s="857"/>
      <c r="R68" s="857"/>
      <c r="S68" s="857"/>
      <c r="T68" s="857"/>
      <c r="U68" s="857"/>
      <c r="V68" s="857"/>
      <c r="W68" s="857"/>
      <c r="X68" s="857"/>
      <c r="Y68" s="857"/>
      <c r="Z68" s="858"/>
      <c r="AA68" s="952"/>
      <c r="AB68" s="952"/>
      <c r="AC68" s="681"/>
      <c r="AD68" s="682"/>
      <c r="AE68" s="682"/>
      <c r="AF68" s="682">
        <f>IF((E65+I65+M65+Q65+U65+Y65+E77+I77+M77+Q77+U77+Y77)=0,0,(E65+I65+M65+Q65+U65+Y65+E77+I77+M77+Q77+U77+Y77)/(E65+F65+I65+J65+M65+N65+Q65+R65+U65+V65+Y65+Z65+E77+F77+I77+J77+M77+N77+Q77+R77+U77+V77+Y77+Z77))</f>
        <v>0</v>
      </c>
      <c r="AG68" s="682"/>
      <c r="AH68" s="590"/>
      <c r="AI68" s="590"/>
      <c r="AJ68" s="590"/>
      <c r="AK68" s="638"/>
      <c r="AL68" s="638"/>
      <c r="AM68" s="638"/>
      <c r="AN68" s="638"/>
    </row>
    <row r="69" spans="1:43" ht="22.7" customHeight="1">
      <c r="A69" s="512"/>
      <c r="B69" s="513"/>
      <c r="C69" s="1053" t="str">
        <f>C33</f>
        <v>vers 'Nangy'</v>
      </c>
      <c r="D69" s="1053"/>
      <c r="E69" s="1053"/>
      <c r="F69" s="1053"/>
      <c r="G69" s="1053" t="str">
        <f t="shared" ref="G69" si="18">G33</f>
        <v>vers 'Rossat'</v>
      </c>
      <c r="H69" s="1053"/>
      <c r="I69" s="1053"/>
      <c r="J69" s="1053"/>
      <c r="K69" s="1053" t="str">
        <f t="shared" ref="K69" si="19">K33</f>
        <v>vers 'Annemasse'</v>
      </c>
      <c r="L69" s="1053"/>
      <c r="M69" s="1053"/>
      <c r="N69" s="1053"/>
      <c r="O69" s="1053" t="str">
        <f t="shared" ref="O69" si="20">O33</f>
        <v>vers 'Reignier'</v>
      </c>
      <c r="P69" s="1053"/>
      <c r="Q69" s="1053"/>
      <c r="R69" s="1053"/>
      <c r="S69" s="1053" t="str">
        <f t="shared" ref="S69" si="21">S33</f>
        <v>vers 'Nangy'</v>
      </c>
      <c r="T69" s="1053"/>
      <c r="U69" s="1053"/>
      <c r="V69" s="1053"/>
      <c r="W69" s="1053" t="str">
        <f t="shared" ref="W69" si="22">W33</f>
        <v>vers 'Annemasse'</v>
      </c>
      <c r="X69" s="1053"/>
      <c r="Y69" s="1053"/>
      <c r="Z69" s="1053"/>
      <c r="AA69" s="952"/>
      <c r="AB69" s="952"/>
      <c r="AC69" s="681"/>
      <c r="AD69" s="682"/>
      <c r="AE69" s="682"/>
      <c r="AF69" s="682"/>
      <c r="AG69" s="682"/>
      <c r="AH69" s="590"/>
      <c r="AI69" s="590"/>
      <c r="AJ69" s="590"/>
      <c r="AK69" s="638"/>
      <c r="AL69" s="638"/>
      <c r="AM69" s="638"/>
      <c r="AN69" s="638"/>
    </row>
    <row r="70" spans="1:43" ht="18.600000000000001" customHeight="1" thickBot="1">
      <c r="A70" s="512"/>
      <c r="B70" s="513"/>
      <c r="C70" s="934" t="s">
        <v>4</v>
      </c>
      <c r="D70" s="1056"/>
      <c r="E70" s="936" t="s">
        <v>5</v>
      </c>
      <c r="F70" s="937"/>
      <c r="G70" s="937" t="s">
        <v>4</v>
      </c>
      <c r="H70" s="938"/>
      <c r="I70" s="936" t="s">
        <v>5</v>
      </c>
      <c r="J70" s="937"/>
      <c r="K70" s="937" t="s">
        <v>4</v>
      </c>
      <c r="L70" s="938"/>
      <c r="M70" s="1054" t="s">
        <v>5</v>
      </c>
      <c r="N70" s="1055"/>
      <c r="O70" s="934" t="s">
        <v>4</v>
      </c>
      <c r="P70" s="1056"/>
      <c r="Q70" s="936" t="s">
        <v>5</v>
      </c>
      <c r="R70" s="937"/>
      <c r="S70" s="937" t="s">
        <v>4</v>
      </c>
      <c r="T70" s="938"/>
      <c r="U70" s="936" t="s">
        <v>5</v>
      </c>
      <c r="V70" s="937"/>
      <c r="W70" s="937" t="s">
        <v>4</v>
      </c>
      <c r="X70" s="938"/>
      <c r="Y70" s="1054" t="s">
        <v>5</v>
      </c>
      <c r="Z70" s="1055"/>
      <c r="AA70" s="952"/>
      <c r="AB70" s="952"/>
      <c r="AC70" s="681"/>
      <c r="AD70" s="682"/>
      <c r="AE70" s="682"/>
      <c r="AF70" s="682"/>
      <c r="AG70" s="682"/>
      <c r="AH70" s="590"/>
      <c r="AI70" s="590"/>
      <c r="AJ70" s="590"/>
      <c r="AK70" s="638"/>
      <c r="AL70" s="638"/>
      <c r="AM70" s="638"/>
      <c r="AN70" s="638"/>
    </row>
    <row r="71" spans="1:43" ht="21.75" customHeight="1" thickTop="1">
      <c r="A71" s="892" t="s">
        <v>13</v>
      </c>
      <c r="B71" s="893"/>
      <c r="C71" s="601" t="s">
        <v>8</v>
      </c>
      <c r="D71" s="606" t="s">
        <v>9</v>
      </c>
      <c r="E71" s="603" t="s">
        <v>8</v>
      </c>
      <c r="F71" s="604" t="s">
        <v>9</v>
      </c>
      <c r="G71" s="605" t="s">
        <v>8</v>
      </c>
      <c r="H71" s="606" t="s">
        <v>9</v>
      </c>
      <c r="I71" s="603" t="s">
        <v>8</v>
      </c>
      <c r="J71" s="604" t="s">
        <v>9</v>
      </c>
      <c r="K71" s="605" t="s">
        <v>8</v>
      </c>
      <c r="L71" s="606" t="s">
        <v>9</v>
      </c>
      <c r="M71" s="603" t="s">
        <v>8</v>
      </c>
      <c r="N71" s="640" t="s">
        <v>9</v>
      </c>
      <c r="O71" s="601" t="s">
        <v>8</v>
      </c>
      <c r="P71" s="606" t="s">
        <v>9</v>
      </c>
      <c r="Q71" s="603" t="s">
        <v>8</v>
      </c>
      <c r="R71" s="604" t="s">
        <v>9</v>
      </c>
      <c r="S71" s="605" t="s">
        <v>8</v>
      </c>
      <c r="T71" s="606" t="s">
        <v>9</v>
      </c>
      <c r="U71" s="603" t="s">
        <v>8</v>
      </c>
      <c r="V71" s="604" t="s">
        <v>9</v>
      </c>
      <c r="W71" s="605" t="s">
        <v>8</v>
      </c>
      <c r="X71" s="606" t="s">
        <v>9</v>
      </c>
      <c r="Y71" s="603" t="s">
        <v>8</v>
      </c>
      <c r="Z71" s="640" t="s">
        <v>9</v>
      </c>
      <c r="AA71" s="952"/>
      <c r="AB71" s="952"/>
      <c r="AC71" s="681"/>
      <c r="AD71" s="682"/>
      <c r="AE71" s="682"/>
      <c r="AF71" s="682"/>
      <c r="AG71" s="682"/>
      <c r="AH71" s="590"/>
      <c r="AI71" s="590"/>
      <c r="AJ71" s="590"/>
      <c r="AK71" s="638"/>
      <c r="AL71" s="638"/>
      <c r="AM71" s="638"/>
      <c r="AN71" s="638"/>
    </row>
    <row r="72" spans="1:43" ht="54.95" customHeight="1">
      <c r="A72" s="906" t="s">
        <v>28</v>
      </c>
      <c r="B72" s="907"/>
      <c r="C72" s="641">
        <f>SUM(C36:C39)</f>
        <v>0</v>
      </c>
      <c r="D72" s="642">
        <f t="shared" ref="D72:Z72" si="23">SUM(D36:D39)</f>
        <v>0</v>
      </c>
      <c r="E72" s="643">
        <f t="shared" si="23"/>
        <v>0</v>
      </c>
      <c r="F72" s="698">
        <f t="shared" si="23"/>
        <v>0</v>
      </c>
      <c r="G72" s="699">
        <f t="shared" si="23"/>
        <v>0</v>
      </c>
      <c r="H72" s="642">
        <f t="shared" si="23"/>
        <v>0</v>
      </c>
      <c r="I72" s="643">
        <f t="shared" si="23"/>
        <v>0</v>
      </c>
      <c r="J72" s="698">
        <f t="shared" si="23"/>
        <v>0</v>
      </c>
      <c r="K72" s="699">
        <f t="shared" si="23"/>
        <v>0</v>
      </c>
      <c r="L72" s="642">
        <f t="shared" si="23"/>
        <v>0</v>
      </c>
      <c r="M72" s="643">
        <f t="shared" si="23"/>
        <v>0</v>
      </c>
      <c r="N72" s="644">
        <f t="shared" si="23"/>
        <v>0</v>
      </c>
      <c r="O72" s="641">
        <f t="shared" si="23"/>
        <v>0</v>
      </c>
      <c r="P72" s="642">
        <f t="shared" si="23"/>
        <v>0</v>
      </c>
      <c r="Q72" s="643">
        <f t="shared" si="23"/>
        <v>0</v>
      </c>
      <c r="R72" s="698">
        <f t="shared" si="23"/>
        <v>0</v>
      </c>
      <c r="S72" s="699">
        <f t="shared" si="23"/>
        <v>0</v>
      </c>
      <c r="T72" s="642">
        <f t="shared" si="23"/>
        <v>0</v>
      </c>
      <c r="U72" s="643">
        <f t="shared" si="23"/>
        <v>0</v>
      </c>
      <c r="V72" s="698">
        <f t="shared" si="23"/>
        <v>0</v>
      </c>
      <c r="W72" s="699">
        <f t="shared" si="23"/>
        <v>0</v>
      </c>
      <c r="X72" s="642">
        <f t="shared" si="23"/>
        <v>0</v>
      </c>
      <c r="Y72" s="643">
        <f t="shared" si="23"/>
        <v>0</v>
      </c>
      <c r="Z72" s="644">
        <f t="shared" si="23"/>
        <v>0</v>
      </c>
      <c r="AA72" s="952"/>
      <c r="AB72" s="952"/>
      <c r="AC72" s="681"/>
      <c r="AD72" s="682"/>
      <c r="AE72" s="682"/>
      <c r="AF72" s="682"/>
      <c r="AG72" s="682"/>
      <c r="AH72" s="590"/>
      <c r="AI72" s="590"/>
      <c r="AJ72" s="590"/>
      <c r="AK72" s="638"/>
      <c r="AL72" s="638"/>
      <c r="AM72" s="638"/>
      <c r="AN72" s="638"/>
    </row>
    <row r="73" spans="1:43" ht="54.95" customHeight="1">
      <c r="A73" s="899" t="s">
        <v>11</v>
      </c>
      <c r="B73" s="900"/>
      <c r="C73" s="649">
        <f>SUM(C38:C41)</f>
        <v>0</v>
      </c>
      <c r="D73" s="650">
        <f t="shared" ref="D73:Z73" si="24">SUM(D38:D41)</f>
        <v>0</v>
      </c>
      <c r="E73" s="651">
        <f t="shared" si="24"/>
        <v>0</v>
      </c>
      <c r="F73" s="703">
        <f t="shared" si="24"/>
        <v>0</v>
      </c>
      <c r="G73" s="704">
        <f t="shared" si="24"/>
        <v>0</v>
      </c>
      <c r="H73" s="650">
        <f t="shared" si="24"/>
        <v>0</v>
      </c>
      <c r="I73" s="651">
        <f t="shared" si="24"/>
        <v>0</v>
      </c>
      <c r="J73" s="703">
        <f t="shared" si="24"/>
        <v>0</v>
      </c>
      <c r="K73" s="704">
        <f t="shared" si="24"/>
        <v>0</v>
      </c>
      <c r="L73" s="650">
        <f t="shared" si="24"/>
        <v>0</v>
      </c>
      <c r="M73" s="651">
        <f t="shared" si="24"/>
        <v>0</v>
      </c>
      <c r="N73" s="652">
        <f t="shared" si="24"/>
        <v>0</v>
      </c>
      <c r="O73" s="649">
        <f t="shared" si="24"/>
        <v>0</v>
      </c>
      <c r="P73" s="650">
        <f t="shared" si="24"/>
        <v>0</v>
      </c>
      <c r="Q73" s="651">
        <f t="shared" si="24"/>
        <v>0</v>
      </c>
      <c r="R73" s="703">
        <f t="shared" si="24"/>
        <v>0</v>
      </c>
      <c r="S73" s="704">
        <f t="shared" si="24"/>
        <v>0</v>
      </c>
      <c r="T73" s="650">
        <f t="shared" si="24"/>
        <v>0</v>
      </c>
      <c r="U73" s="651">
        <f t="shared" si="24"/>
        <v>0</v>
      </c>
      <c r="V73" s="703">
        <f t="shared" si="24"/>
        <v>0</v>
      </c>
      <c r="W73" s="704">
        <f t="shared" si="24"/>
        <v>0</v>
      </c>
      <c r="X73" s="650">
        <f t="shared" si="24"/>
        <v>0</v>
      </c>
      <c r="Y73" s="651">
        <f t="shared" si="24"/>
        <v>0</v>
      </c>
      <c r="Z73" s="652">
        <f t="shared" si="24"/>
        <v>0</v>
      </c>
      <c r="AA73" s="952"/>
      <c r="AB73" s="952"/>
      <c r="AC73" s="681"/>
      <c r="AD73" s="682"/>
      <c r="AE73" s="682"/>
      <c r="AF73" s="682"/>
      <c r="AG73" s="682"/>
      <c r="AH73" s="590"/>
      <c r="AI73" s="590"/>
      <c r="AJ73" s="590"/>
      <c r="AK73" s="638"/>
      <c r="AL73" s="638"/>
      <c r="AM73" s="638"/>
      <c r="AN73" s="638"/>
    </row>
    <row r="74" spans="1:43" ht="54.95" customHeight="1">
      <c r="A74" s="899" t="s">
        <v>17</v>
      </c>
      <c r="B74" s="900"/>
      <c r="C74" s="649">
        <f>SUM(C40:C43)</f>
        <v>0</v>
      </c>
      <c r="D74" s="650">
        <f t="shared" ref="D74:Z74" si="25">SUM(D40:D43)</f>
        <v>0</v>
      </c>
      <c r="E74" s="651">
        <f t="shared" si="25"/>
        <v>0</v>
      </c>
      <c r="F74" s="703">
        <f t="shared" si="25"/>
        <v>0</v>
      </c>
      <c r="G74" s="704">
        <f t="shared" si="25"/>
        <v>0</v>
      </c>
      <c r="H74" s="650">
        <f t="shared" si="25"/>
        <v>0</v>
      </c>
      <c r="I74" s="651">
        <f t="shared" si="25"/>
        <v>0</v>
      </c>
      <c r="J74" s="703">
        <f t="shared" si="25"/>
        <v>0</v>
      </c>
      <c r="K74" s="704">
        <f t="shared" si="25"/>
        <v>0</v>
      </c>
      <c r="L74" s="650">
        <f t="shared" si="25"/>
        <v>0</v>
      </c>
      <c r="M74" s="651">
        <f t="shared" si="25"/>
        <v>0</v>
      </c>
      <c r="N74" s="652">
        <f t="shared" si="25"/>
        <v>0</v>
      </c>
      <c r="O74" s="649">
        <f t="shared" si="25"/>
        <v>0</v>
      </c>
      <c r="P74" s="650">
        <f t="shared" si="25"/>
        <v>0</v>
      </c>
      <c r="Q74" s="651">
        <f t="shared" si="25"/>
        <v>0</v>
      </c>
      <c r="R74" s="703">
        <f t="shared" si="25"/>
        <v>0</v>
      </c>
      <c r="S74" s="704">
        <f t="shared" si="25"/>
        <v>0</v>
      </c>
      <c r="T74" s="650">
        <f t="shared" si="25"/>
        <v>0</v>
      </c>
      <c r="U74" s="651">
        <f t="shared" si="25"/>
        <v>0</v>
      </c>
      <c r="V74" s="703">
        <f t="shared" si="25"/>
        <v>0</v>
      </c>
      <c r="W74" s="704">
        <f t="shared" si="25"/>
        <v>0</v>
      </c>
      <c r="X74" s="650">
        <f t="shared" si="25"/>
        <v>0</v>
      </c>
      <c r="Y74" s="651">
        <f t="shared" si="25"/>
        <v>0</v>
      </c>
      <c r="Z74" s="652">
        <f t="shared" si="25"/>
        <v>0</v>
      </c>
      <c r="AA74" s="952"/>
      <c r="AB74" s="952"/>
      <c r="AC74" s="681"/>
      <c r="AD74" s="682"/>
      <c r="AE74" s="682"/>
      <c r="AF74" s="682"/>
      <c r="AG74" s="682"/>
      <c r="AH74" s="590"/>
      <c r="AI74" s="590"/>
      <c r="AJ74" s="590"/>
      <c r="AK74" s="638"/>
      <c r="AL74" s="638"/>
      <c r="AM74" s="638"/>
      <c r="AN74" s="638"/>
    </row>
    <row r="75" spans="1:43" ht="54.95" customHeight="1">
      <c r="A75" s="899" t="s">
        <v>10</v>
      </c>
      <c r="B75" s="900"/>
      <c r="C75" s="649">
        <f>SUM(C42:C45)</f>
        <v>0</v>
      </c>
      <c r="D75" s="650">
        <f t="shared" ref="D75:Z75" si="26">SUM(D42:D45)</f>
        <v>0</v>
      </c>
      <c r="E75" s="651">
        <f t="shared" si="26"/>
        <v>0</v>
      </c>
      <c r="F75" s="703">
        <f t="shared" si="26"/>
        <v>0</v>
      </c>
      <c r="G75" s="704">
        <f t="shared" si="26"/>
        <v>0</v>
      </c>
      <c r="H75" s="650">
        <f t="shared" si="26"/>
        <v>0</v>
      </c>
      <c r="I75" s="651">
        <f t="shared" si="26"/>
        <v>0</v>
      </c>
      <c r="J75" s="703">
        <f t="shared" si="26"/>
        <v>0</v>
      </c>
      <c r="K75" s="704">
        <f t="shared" si="26"/>
        <v>0</v>
      </c>
      <c r="L75" s="650">
        <f t="shared" si="26"/>
        <v>0</v>
      </c>
      <c r="M75" s="651">
        <f t="shared" si="26"/>
        <v>0</v>
      </c>
      <c r="N75" s="652">
        <f t="shared" si="26"/>
        <v>0</v>
      </c>
      <c r="O75" s="649">
        <f t="shared" si="26"/>
        <v>0</v>
      </c>
      <c r="P75" s="650">
        <f t="shared" si="26"/>
        <v>0</v>
      </c>
      <c r="Q75" s="651">
        <f t="shared" si="26"/>
        <v>0</v>
      </c>
      <c r="R75" s="703">
        <f t="shared" si="26"/>
        <v>0</v>
      </c>
      <c r="S75" s="704">
        <f t="shared" si="26"/>
        <v>0</v>
      </c>
      <c r="T75" s="650">
        <f t="shared" si="26"/>
        <v>0</v>
      </c>
      <c r="U75" s="651">
        <f t="shared" si="26"/>
        <v>0</v>
      </c>
      <c r="V75" s="703">
        <f t="shared" si="26"/>
        <v>0</v>
      </c>
      <c r="W75" s="704">
        <f t="shared" si="26"/>
        <v>0</v>
      </c>
      <c r="X75" s="650">
        <f t="shared" si="26"/>
        <v>0</v>
      </c>
      <c r="Y75" s="651">
        <f t="shared" si="26"/>
        <v>0</v>
      </c>
      <c r="Z75" s="652">
        <f t="shared" si="26"/>
        <v>0</v>
      </c>
      <c r="AA75" s="952"/>
      <c r="AB75" s="952"/>
      <c r="AC75" s="681"/>
      <c r="AD75" s="682"/>
      <c r="AE75" s="682"/>
      <c r="AF75" s="682"/>
      <c r="AG75" s="682"/>
      <c r="AH75" s="590"/>
      <c r="AI75" s="590"/>
      <c r="AJ75" s="590"/>
      <c r="AK75" s="638"/>
      <c r="AL75" s="638"/>
      <c r="AM75" s="638"/>
      <c r="AN75" s="638"/>
    </row>
    <row r="76" spans="1:43" ht="54.95" customHeight="1">
      <c r="A76" s="910" t="s">
        <v>29</v>
      </c>
      <c r="B76" s="911"/>
      <c r="C76" s="657">
        <f>SUM(C44:C47)</f>
        <v>0</v>
      </c>
      <c r="D76" s="658">
        <f t="shared" ref="D76:Z76" si="27">SUM(D44:D47)</f>
        <v>0</v>
      </c>
      <c r="E76" s="659">
        <f t="shared" si="27"/>
        <v>0</v>
      </c>
      <c r="F76" s="708">
        <f t="shared" si="27"/>
        <v>0</v>
      </c>
      <c r="G76" s="709">
        <f t="shared" si="27"/>
        <v>0</v>
      </c>
      <c r="H76" s="658">
        <f t="shared" si="27"/>
        <v>0</v>
      </c>
      <c r="I76" s="659">
        <f t="shared" si="27"/>
        <v>0</v>
      </c>
      <c r="J76" s="708">
        <f t="shared" si="27"/>
        <v>0</v>
      </c>
      <c r="K76" s="709">
        <f t="shared" si="27"/>
        <v>0</v>
      </c>
      <c r="L76" s="658">
        <f t="shared" si="27"/>
        <v>0</v>
      </c>
      <c r="M76" s="659">
        <f t="shared" si="27"/>
        <v>0</v>
      </c>
      <c r="N76" s="660">
        <f t="shared" si="27"/>
        <v>0</v>
      </c>
      <c r="O76" s="657">
        <f t="shared" si="27"/>
        <v>0</v>
      </c>
      <c r="P76" s="658">
        <f t="shared" si="27"/>
        <v>0</v>
      </c>
      <c r="Q76" s="659">
        <f t="shared" si="27"/>
        <v>0</v>
      </c>
      <c r="R76" s="708">
        <f t="shared" si="27"/>
        <v>0</v>
      </c>
      <c r="S76" s="709">
        <f t="shared" si="27"/>
        <v>0</v>
      </c>
      <c r="T76" s="658">
        <f t="shared" si="27"/>
        <v>0</v>
      </c>
      <c r="U76" s="659">
        <f t="shared" si="27"/>
        <v>0</v>
      </c>
      <c r="V76" s="708">
        <f t="shared" si="27"/>
        <v>0</v>
      </c>
      <c r="W76" s="709">
        <f t="shared" si="27"/>
        <v>0</v>
      </c>
      <c r="X76" s="658">
        <f t="shared" si="27"/>
        <v>0</v>
      </c>
      <c r="Y76" s="659">
        <f t="shared" si="27"/>
        <v>0</v>
      </c>
      <c r="Z76" s="660">
        <f t="shared" si="27"/>
        <v>0</v>
      </c>
      <c r="AA76" s="952"/>
      <c r="AB76" s="952"/>
      <c r="AC76" s="681"/>
      <c r="AD76" s="682"/>
      <c r="AE76" s="682"/>
      <c r="AF76" s="682"/>
      <c r="AG76" s="682"/>
      <c r="AH76" s="590"/>
      <c r="AI76" s="590"/>
      <c r="AJ76" s="590"/>
      <c r="AK76" s="638"/>
      <c r="AL76" s="638"/>
      <c r="AM76" s="638"/>
      <c r="AN76" s="638"/>
    </row>
    <row r="77" spans="1:43" ht="54.95" customHeight="1">
      <c r="A77" s="920" t="s">
        <v>12</v>
      </c>
      <c r="B77" s="921"/>
      <c r="C77" s="607">
        <f>SUM(C36:C47)</f>
        <v>0</v>
      </c>
      <c r="D77" s="612">
        <f t="shared" ref="D77:Z77" si="28">SUM(D36:D47)</f>
        <v>0</v>
      </c>
      <c r="E77" s="609">
        <f t="shared" si="28"/>
        <v>0</v>
      </c>
      <c r="F77" s="610">
        <f t="shared" si="28"/>
        <v>0</v>
      </c>
      <c r="G77" s="611">
        <f t="shared" si="28"/>
        <v>0</v>
      </c>
      <c r="H77" s="612">
        <f t="shared" si="28"/>
        <v>0</v>
      </c>
      <c r="I77" s="609">
        <f t="shared" si="28"/>
        <v>0</v>
      </c>
      <c r="J77" s="610">
        <f t="shared" si="28"/>
        <v>0</v>
      </c>
      <c r="K77" s="611">
        <f t="shared" si="28"/>
        <v>0</v>
      </c>
      <c r="L77" s="612">
        <f t="shared" si="28"/>
        <v>0</v>
      </c>
      <c r="M77" s="609">
        <f t="shared" si="28"/>
        <v>0</v>
      </c>
      <c r="N77" s="689">
        <f t="shared" si="28"/>
        <v>0</v>
      </c>
      <c r="O77" s="607">
        <f t="shared" si="28"/>
        <v>0</v>
      </c>
      <c r="P77" s="612">
        <f t="shared" si="28"/>
        <v>0</v>
      </c>
      <c r="Q77" s="609">
        <f t="shared" si="28"/>
        <v>0</v>
      </c>
      <c r="R77" s="610">
        <f t="shared" si="28"/>
        <v>0</v>
      </c>
      <c r="S77" s="611">
        <f t="shared" si="28"/>
        <v>0</v>
      </c>
      <c r="T77" s="612">
        <f t="shared" si="28"/>
        <v>0</v>
      </c>
      <c r="U77" s="609">
        <f t="shared" si="28"/>
        <v>0</v>
      </c>
      <c r="V77" s="610">
        <f t="shared" si="28"/>
        <v>0</v>
      </c>
      <c r="W77" s="611">
        <f t="shared" si="28"/>
        <v>0</v>
      </c>
      <c r="X77" s="612">
        <f t="shared" si="28"/>
        <v>0</v>
      </c>
      <c r="Y77" s="609">
        <f t="shared" si="28"/>
        <v>0</v>
      </c>
      <c r="Z77" s="689">
        <f t="shared" si="28"/>
        <v>0</v>
      </c>
      <c r="AA77" s="686"/>
      <c r="AB77" s="686"/>
      <c r="AC77" s="686"/>
      <c r="AD77" s="686"/>
      <c r="AE77" s="686"/>
      <c r="AF77" s="686"/>
      <c r="AG77" s="686"/>
      <c r="AH77" s="686"/>
      <c r="AI77" s="686"/>
      <c r="AJ77" s="686"/>
      <c r="AK77" s="638"/>
      <c r="AL77" s="638"/>
      <c r="AM77" s="638"/>
      <c r="AN77" s="638"/>
    </row>
    <row r="78" spans="1:43" ht="54.95" customHeight="1" thickBot="1">
      <c r="A78" s="927" t="str">
        <f>IF($AC$60=MAX($AC$60:$AC$64),A72,IF($AC$61=MAX($AC$60:$AC$64),A73,IF($AC$62=MAX($AC$60:$AC$64),A74,IF($AC$63=MAX($AC$60:$AC$64),A75,A76))))</f>
        <v>de 6:30 à 7:30</v>
      </c>
      <c r="B78" s="928"/>
      <c r="C78" s="618">
        <f>IF($AC$60=MAX($AC$60:$AC$64),C72,IF($AC$61=MAX($AC$60:$AC$64),C73,IF($AC$62=MAX($AC$60:$AC$64),C74,IF($AC$63=MAX($AC$60:$AC$64),C75,C76))))</f>
        <v>0</v>
      </c>
      <c r="D78" s="623">
        <f t="shared" ref="D78:Z78" si="29">IF($AC$60=MAX($AC$60:$AC$64),D72,IF($AC$61=MAX($AC$60:$AC$64),D73,IF($AC$62=MAX($AC$60:$AC$64),D74,IF($AC$63=MAX($AC$60:$AC$64),D75,D76))))</f>
        <v>0</v>
      </c>
      <c r="E78" s="620">
        <f t="shared" si="29"/>
        <v>0</v>
      </c>
      <c r="F78" s="621">
        <f t="shared" si="29"/>
        <v>0</v>
      </c>
      <c r="G78" s="622">
        <f t="shared" si="29"/>
        <v>0</v>
      </c>
      <c r="H78" s="623">
        <f t="shared" si="29"/>
        <v>0</v>
      </c>
      <c r="I78" s="620">
        <f t="shared" si="29"/>
        <v>0</v>
      </c>
      <c r="J78" s="621">
        <f t="shared" si="29"/>
        <v>0</v>
      </c>
      <c r="K78" s="622">
        <f t="shared" si="29"/>
        <v>0</v>
      </c>
      <c r="L78" s="623">
        <f t="shared" si="29"/>
        <v>0</v>
      </c>
      <c r="M78" s="620">
        <f t="shared" si="29"/>
        <v>0</v>
      </c>
      <c r="N78" s="690">
        <f t="shared" si="29"/>
        <v>0</v>
      </c>
      <c r="O78" s="618">
        <f t="shared" si="29"/>
        <v>0</v>
      </c>
      <c r="P78" s="623">
        <f t="shared" si="29"/>
        <v>0</v>
      </c>
      <c r="Q78" s="620">
        <f t="shared" si="29"/>
        <v>0</v>
      </c>
      <c r="R78" s="621">
        <f t="shared" si="29"/>
        <v>0</v>
      </c>
      <c r="S78" s="622">
        <f t="shared" si="29"/>
        <v>0</v>
      </c>
      <c r="T78" s="623">
        <f t="shared" si="29"/>
        <v>0</v>
      </c>
      <c r="U78" s="620">
        <f t="shared" si="29"/>
        <v>0</v>
      </c>
      <c r="V78" s="621">
        <f t="shared" si="29"/>
        <v>0</v>
      </c>
      <c r="W78" s="622">
        <f t="shared" si="29"/>
        <v>0</v>
      </c>
      <c r="X78" s="623">
        <f t="shared" si="29"/>
        <v>0</v>
      </c>
      <c r="Y78" s="620">
        <f t="shared" si="29"/>
        <v>0</v>
      </c>
      <c r="Z78" s="690">
        <f t="shared" si="29"/>
        <v>0</v>
      </c>
      <c r="AA78" s="686"/>
      <c r="AB78" s="686"/>
      <c r="AC78" s="686"/>
      <c r="AD78" s="686"/>
      <c r="AE78" s="686"/>
      <c r="AF78" s="686"/>
      <c r="AG78" s="686"/>
      <c r="AH78" s="686"/>
      <c r="AI78" s="686"/>
      <c r="AJ78" s="686"/>
      <c r="AK78" s="638"/>
      <c r="AL78" s="638"/>
      <c r="AM78" s="638"/>
      <c r="AN78" s="638"/>
    </row>
    <row r="79" spans="1:43" ht="9" customHeight="1" thickTop="1">
      <c r="A79" s="573"/>
      <c r="B79" s="574"/>
      <c r="C79" s="574"/>
      <c r="D79" s="574"/>
      <c r="E79" s="574"/>
      <c r="F79" s="574"/>
      <c r="G79" s="574"/>
      <c r="H79" s="574"/>
      <c r="I79" s="574"/>
      <c r="J79" s="574"/>
      <c r="K79" s="574"/>
      <c r="L79" s="574"/>
      <c r="M79" s="574"/>
      <c r="N79" s="574"/>
      <c r="O79" s="574"/>
      <c r="P79" s="574"/>
      <c r="Q79" s="574"/>
      <c r="R79" s="574"/>
      <c r="S79" s="574"/>
      <c r="T79" s="574"/>
      <c r="U79" s="574"/>
      <c r="V79" s="574"/>
      <c r="W79" s="574"/>
      <c r="X79" s="574"/>
      <c r="Y79" s="574"/>
      <c r="Z79" s="574"/>
      <c r="AA79" s="578"/>
      <c r="AB79" s="576"/>
      <c r="AC79" s="576"/>
      <c r="AD79" s="576"/>
      <c r="AE79" s="576"/>
      <c r="AF79" s="576"/>
      <c r="AG79" s="576"/>
      <c r="AH79" s="576"/>
      <c r="AI79" s="576"/>
      <c r="AJ79" s="576"/>
      <c r="AK79" s="189"/>
      <c r="AL79" s="190"/>
      <c r="AM79" s="189"/>
      <c r="AN79" s="189"/>
      <c r="AO79" s="189"/>
      <c r="AP79" s="189"/>
      <c r="AQ79" s="189"/>
    </row>
  </sheetData>
  <mergeCells count="121">
    <mergeCell ref="U70:V70"/>
    <mergeCell ref="W70:X70"/>
    <mergeCell ref="Y70:Z70"/>
    <mergeCell ref="Y58:Z58"/>
    <mergeCell ref="C69:F69"/>
    <mergeCell ref="G69:J69"/>
    <mergeCell ref="O69:R69"/>
    <mergeCell ref="S69:V69"/>
    <mergeCell ref="W69:Z69"/>
    <mergeCell ref="I58:J58"/>
    <mergeCell ref="O58:P58"/>
    <mergeCell ref="Q58:R58"/>
    <mergeCell ref="S58:T58"/>
    <mergeCell ref="U58:V58"/>
    <mergeCell ref="W58:X58"/>
    <mergeCell ref="M70:N70"/>
    <mergeCell ref="I70:J70"/>
    <mergeCell ref="O70:P70"/>
    <mergeCell ref="Q70:R70"/>
    <mergeCell ref="S70:T70"/>
    <mergeCell ref="C58:D58"/>
    <mergeCell ref="E58:F58"/>
    <mergeCell ref="G58:H58"/>
    <mergeCell ref="W34:X34"/>
    <mergeCell ref="Y34:Z34"/>
    <mergeCell ref="C57:F57"/>
    <mergeCell ref="G57:J57"/>
    <mergeCell ref="O57:R57"/>
    <mergeCell ref="S57:V57"/>
    <mergeCell ref="W57:Z57"/>
    <mergeCell ref="G33:J33"/>
    <mergeCell ref="O33:R33"/>
    <mergeCell ref="S33:V33"/>
    <mergeCell ref="W33:Z33"/>
    <mergeCell ref="C34:D34"/>
    <mergeCell ref="E34:F34"/>
    <mergeCell ref="G34:H34"/>
    <mergeCell ref="I34:J34"/>
    <mergeCell ref="O34:P34"/>
    <mergeCell ref="Q34:R34"/>
    <mergeCell ref="K34:L34"/>
    <mergeCell ref="M34:N34"/>
    <mergeCell ref="S34:T34"/>
    <mergeCell ref="U34:V34"/>
    <mergeCell ref="A76:B76"/>
    <mergeCell ref="AA76:AB76"/>
    <mergeCell ref="A77:B77"/>
    <mergeCell ref="A78:B78"/>
    <mergeCell ref="C10:D10"/>
    <mergeCell ref="E10:F10"/>
    <mergeCell ref="G10:H10"/>
    <mergeCell ref="I10:J10"/>
    <mergeCell ref="K10:L10"/>
    <mergeCell ref="A73:B73"/>
    <mergeCell ref="AA73:AB73"/>
    <mergeCell ref="A74:B74"/>
    <mergeCell ref="AA74:AB74"/>
    <mergeCell ref="A75:B75"/>
    <mergeCell ref="AA75:AB75"/>
    <mergeCell ref="AA70:AB70"/>
    <mergeCell ref="A71:B71"/>
    <mergeCell ref="AA71:AB71"/>
    <mergeCell ref="A72:B72"/>
    <mergeCell ref="AA72:AB72"/>
    <mergeCell ref="C70:D70"/>
    <mergeCell ref="E70:F70"/>
    <mergeCell ref="G70:H70"/>
    <mergeCell ref="K70:L70"/>
    <mergeCell ref="AA67:AB67"/>
    <mergeCell ref="C68:N68"/>
    <mergeCell ref="O68:Z68"/>
    <mergeCell ref="AA68:AB68"/>
    <mergeCell ref="K69:N69"/>
    <mergeCell ref="AA69:AB69"/>
    <mergeCell ref="A64:B64"/>
    <mergeCell ref="AA64:AB64"/>
    <mergeCell ref="A65:B65"/>
    <mergeCell ref="AA65:AB65"/>
    <mergeCell ref="A66:B66"/>
    <mergeCell ref="AA66:AB66"/>
    <mergeCell ref="A61:B61"/>
    <mergeCell ref="AA61:AB61"/>
    <mergeCell ref="A62:B62"/>
    <mergeCell ref="AA62:AB62"/>
    <mergeCell ref="A63:B63"/>
    <mergeCell ref="AA63:AB63"/>
    <mergeCell ref="A59:B59"/>
    <mergeCell ref="AA59:AB59"/>
    <mergeCell ref="A60:B60"/>
    <mergeCell ref="AA60:AB60"/>
    <mergeCell ref="AE56:AE59"/>
    <mergeCell ref="AF56:AF59"/>
    <mergeCell ref="AG56:AG59"/>
    <mergeCell ref="AH56:AH59"/>
    <mergeCell ref="AI56:AJ59"/>
    <mergeCell ref="K57:N57"/>
    <mergeCell ref="C56:N56"/>
    <mergeCell ref="O56:Z56"/>
    <mergeCell ref="AC56:AC59"/>
    <mergeCell ref="AD56:AD59"/>
    <mergeCell ref="K58:L58"/>
    <mergeCell ref="M58:N58"/>
    <mergeCell ref="C32:N32"/>
    <mergeCell ref="O32:Z32"/>
    <mergeCell ref="K33:N33"/>
    <mergeCell ref="M10:N10"/>
    <mergeCell ref="C33:F33"/>
    <mergeCell ref="C8:N8"/>
    <mergeCell ref="O8:Z8"/>
    <mergeCell ref="C9:F9"/>
    <mergeCell ref="G9:J9"/>
    <mergeCell ref="K9:N9"/>
    <mergeCell ref="O9:R9"/>
    <mergeCell ref="S9:V9"/>
    <mergeCell ref="W9:Z9"/>
    <mergeCell ref="O10:P10"/>
    <mergeCell ref="Q10:R10"/>
    <mergeCell ref="S10:T10"/>
    <mergeCell ref="U10:V10"/>
    <mergeCell ref="W10:X10"/>
    <mergeCell ref="Y10:Z10"/>
  </mergeCells>
  <pageMargins left="0.39370078740157483" right="0.39370078740157483" top="0.39370078740157483" bottom="0.39370078740157483" header="0.59055118110236227" footer="0.59055118110236227"/>
  <pageSetup paperSize="9" scale="38" fitToWidth="0" fitToHeight="0" pageOrder="overThenDown" orientation="landscape" useFirstPageNumber="1" r:id="rId1"/>
  <headerFooter alignWithMargins="0"/>
  <rowBreaks count="3" manualBreakCount="3">
    <brk id="45" max="25" man="1"/>
    <brk id="48" max="16383" man="1"/>
    <brk id="79" max="27" man="1"/>
  </rowBreaks>
  <colBreaks count="1" manualBreakCount="1">
    <brk id="26" min="48" max="78" man="1"/>
  </colBreaks>
  <ignoredErrors>
    <ignoredError sqref="E62:F65 C63 G62:Z65 G60:Z61 C76:U76 D75:U75 C71:U74 C75 V71:Z74 V75:Z7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I79"/>
  <sheetViews>
    <sheetView view="pageBreakPreview" topLeftCell="J41" zoomScale="40" zoomScaleNormal="40" zoomScaleSheetLayoutView="40" workbookViewId="0">
      <selection activeCell="V65" sqref="V65"/>
    </sheetView>
  </sheetViews>
  <sheetFormatPr baseColWidth="10" defaultRowHeight="14.25"/>
  <cols>
    <col min="1" max="1" width="9.125" style="8" customWidth="1"/>
    <col min="2" max="2" width="13.75" style="8" customWidth="1"/>
    <col min="3" max="18" width="18.625" style="8" customWidth="1"/>
    <col min="19" max="19" width="9.125" style="8" customWidth="1"/>
    <col min="20" max="20" width="13.75" style="8" customWidth="1"/>
    <col min="21" max="26" width="21.125" style="8" customWidth="1"/>
    <col min="27" max="27" width="123.625" style="8" customWidth="1"/>
    <col min="28" max="28" width="21.125" style="8" customWidth="1"/>
    <col min="29" max="35" width="10.625" style="8" customWidth="1"/>
    <col min="36" max="16384" width="11" style="8"/>
  </cols>
  <sheetData>
    <row r="1" spans="1:24" ht="52.5" customHeight="1" thickBot="1">
      <c r="A1" s="108" t="s">
        <v>89</v>
      </c>
      <c r="B1" s="327" t="s">
        <v>32</v>
      </c>
      <c r="C1" s="328"/>
      <c r="D1" s="328"/>
      <c r="E1" s="328"/>
      <c r="F1" s="329"/>
      <c r="G1" s="329"/>
      <c r="H1" s="329"/>
      <c r="I1" s="329"/>
      <c r="J1" s="329"/>
      <c r="K1" s="329"/>
      <c r="L1" s="34"/>
      <c r="M1" s="331" t="s">
        <v>30</v>
      </c>
      <c r="N1" s="332" t="s">
        <v>141</v>
      </c>
      <c r="O1" s="34"/>
      <c r="P1" s="35"/>
      <c r="Q1" s="110"/>
      <c r="R1" s="110"/>
    </row>
    <row r="2" spans="1:24" ht="52.5" customHeight="1" thickBot="1">
      <c r="A2" s="111" t="s">
        <v>2</v>
      </c>
      <c r="B2" s="319"/>
      <c r="C2" s="319"/>
      <c r="D2" s="319"/>
      <c r="E2" s="319"/>
      <c r="F2" s="327" t="s">
        <v>90</v>
      </c>
      <c r="G2" s="328"/>
      <c r="H2" s="328"/>
      <c r="I2" s="328"/>
      <c r="J2" s="328"/>
      <c r="K2" s="328"/>
      <c r="L2" s="34"/>
      <c r="M2" s="34"/>
      <c r="N2" s="34"/>
      <c r="O2" s="34"/>
      <c r="P2" s="35"/>
      <c r="Q2" s="112"/>
      <c r="R2" s="112"/>
    </row>
    <row r="3" spans="1:24" ht="52.5" hidden="1" customHeight="1" thickBot="1">
      <c r="A3" s="111" t="s">
        <v>3</v>
      </c>
      <c r="B3" s="319"/>
      <c r="C3" s="327"/>
      <c r="D3" s="328"/>
      <c r="E3" s="328"/>
      <c r="F3" s="328"/>
      <c r="G3" s="328"/>
      <c r="H3" s="328"/>
      <c r="I3" s="328"/>
      <c r="J3" s="328"/>
      <c r="K3" s="328"/>
      <c r="L3" s="34"/>
      <c r="M3" s="34"/>
      <c r="N3" s="34"/>
      <c r="O3" s="34"/>
      <c r="P3" s="35"/>
      <c r="Q3" s="112"/>
      <c r="R3" s="112"/>
    </row>
    <row r="4" spans="1:24" ht="52.5" customHeight="1" thickBot="1">
      <c r="A4" s="111" t="s">
        <v>27</v>
      </c>
      <c r="B4" s="319"/>
      <c r="C4" s="375"/>
      <c r="D4" s="328"/>
      <c r="E4" s="328"/>
      <c r="F4" s="328"/>
      <c r="G4" s="328"/>
      <c r="H4" s="328"/>
      <c r="I4" s="328"/>
      <c r="J4" s="328"/>
      <c r="K4" s="328"/>
      <c r="L4" s="34"/>
      <c r="M4" s="34"/>
      <c r="N4" s="34"/>
      <c r="O4" s="34"/>
      <c r="P4" s="35"/>
      <c r="Q4" s="112"/>
      <c r="R4" s="112"/>
    </row>
    <row r="5" spans="1:24" ht="25.5" customHeight="1">
      <c r="A5" s="111" t="s">
        <v>71</v>
      </c>
      <c r="B5" s="112"/>
      <c r="C5" s="112" t="s">
        <v>72</v>
      </c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3"/>
    </row>
    <row r="6" spans="1:24" ht="25.5" customHeight="1">
      <c r="A6" s="114"/>
      <c r="B6" s="112"/>
      <c r="C6" s="112" t="s">
        <v>91</v>
      </c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3"/>
    </row>
    <row r="7" spans="1:24" ht="25.5" customHeight="1" thickBot="1">
      <c r="A7" s="114"/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3"/>
    </row>
    <row r="8" spans="1:24" ht="32.25" customHeight="1" thickTop="1">
      <c r="A8" s="29"/>
      <c r="B8" s="30"/>
      <c r="C8" s="798" t="s">
        <v>41</v>
      </c>
      <c r="D8" s="799"/>
      <c r="E8" s="799"/>
      <c r="F8" s="799"/>
      <c r="G8" s="799"/>
      <c r="H8" s="799"/>
      <c r="I8" s="799"/>
      <c r="J8" s="799"/>
      <c r="K8" s="799" t="s">
        <v>36</v>
      </c>
      <c r="L8" s="799"/>
      <c r="M8" s="799"/>
      <c r="N8" s="799"/>
      <c r="O8" s="799"/>
      <c r="P8" s="799"/>
      <c r="Q8" s="799"/>
      <c r="R8" s="800"/>
      <c r="T8" s="9"/>
      <c r="U8" s="9"/>
      <c r="V8" s="9"/>
      <c r="W8" s="9"/>
      <c r="X8" s="9"/>
    </row>
    <row r="9" spans="1:24" ht="22.7" customHeight="1">
      <c r="A9" s="29"/>
      <c r="B9" s="30"/>
      <c r="C9" s="791" t="s">
        <v>37</v>
      </c>
      <c r="D9" s="792"/>
      <c r="E9" s="792"/>
      <c r="F9" s="792"/>
      <c r="G9" s="1064" t="s">
        <v>38</v>
      </c>
      <c r="H9" s="1064"/>
      <c r="I9" s="1064"/>
      <c r="J9" s="1064"/>
      <c r="K9" s="792" t="s">
        <v>37</v>
      </c>
      <c r="L9" s="792"/>
      <c r="M9" s="792"/>
      <c r="N9" s="792"/>
      <c r="O9" s="1064" t="s">
        <v>38</v>
      </c>
      <c r="P9" s="1064"/>
      <c r="Q9" s="1064"/>
      <c r="R9" s="1065"/>
    </row>
    <row r="10" spans="1:24" ht="18.600000000000001" customHeight="1" thickBot="1">
      <c r="A10" s="29"/>
      <c r="B10" s="30"/>
      <c r="C10" s="989" t="s">
        <v>4</v>
      </c>
      <c r="D10" s="987"/>
      <c r="E10" s="984" t="s">
        <v>5</v>
      </c>
      <c r="F10" s="985"/>
      <c r="G10" s="986" t="s">
        <v>4</v>
      </c>
      <c r="H10" s="987"/>
      <c r="I10" s="984" t="s">
        <v>5</v>
      </c>
      <c r="J10" s="985"/>
      <c r="K10" s="986" t="s">
        <v>4</v>
      </c>
      <c r="L10" s="987"/>
      <c r="M10" s="984" t="s">
        <v>5</v>
      </c>
      <c r="N10" s="985"/>
      <c r="O10" s="986" t="s">
        <v>4</v>
      </c>
      <c r="P10" s="987"/>
      <c r="Q10" s="984" t="s">
        <v>5</v>
      </c>
      <c r="R10" s="988"/>
    </row>
    <row r="11" spans="1:24" ht="21" thickTop="1">
      <c r="A11" s="11" t="s">
        <v>6</v>
      </c>
      <c r="B11" s="12" t="s">
        <v>7</v>
      </c>
      <c r="C11" s="17" t="s">
        <v>8</v>
      </c>
      <c r="D11" s="4" t="s">
        <v>9</v>
      </c>
      <c r="E11" s="5" t="s">
        <v>8</v>
      </c>
      <c r="F11" s="6" t="s">
        <v>9</v>
      </c>
      <c r="G11" s="3" t="s">
        <v>8</v>
      </c>
      <c r="H11" s="4" t="s">
        <v>9</v>
      </c>
      <c r="I11" s="5" t="s">
        <v>8</v>
      </c>
      <c r="J11" s="6" t="s">
        <v>9</v>
      </c>
      <c r="K11" s="3" t="s">
        <v>8</v>
      </c>
      <c r="L11" s="4" t="s">
        <v>9</v>
      </c>
      <c r="M11" s="5" t="s">
        <v>8</v>
      </c>
      <c r="N11" s="6" t="s">
        <v>9</v>
      </c>
      <c r="O11" s="3" t="s">
        <v>8</v>
      </c>
      <c r="P11" s="4" t="s">
        <v>9</v>
      </c>
      <c r="Q11" s="5" t="s">
        <v>8</v>
      </c>
      <c r="R11" s="18" t="s">
        <v>9</v>
      </c>
      <c r="S11" s="10"/>
    </row>
    <row r="12" spans="1:24" ht="54.95" hidden="1" customHeight="1">
      <c r="A12" s="13">
        <v>6</v>
      </c>
      <c r="B12" s="14" t="s">
        <v>25</v>
      </c>
      <c r="C12" s="455"/>
      <c r="D12" s="456"/>
      <c r="E12" s="457"/>
      <c r="F12" s="458"/>
      <c r="G12" s="459"/>
      <c r="H12" s="456"/>
      <c r="I12" s="457"/>
      <c r="J12" s="458"/>
      <c r="K12" s="459"/>
      <c r="L12" s="456"/>
      <c r="M12" s="457"/>
      <c r="N12" s="458"/>
      <c r="O12" s="459"/>
      <c r="P12" s="456"/>
      <c r="Q12" s="457"/>
      <c r="R12" s="460"/>
      <c r="S12" s="2"/>
      <c r="T12" s="2"/>
      <c r="U12" s="2"/>
      <c r="V12" s="2"/>
      <c r="W12" s="2"/>
      <c r="X12" s="2"/>
    </row>
    <row r="13" spans="1:24" ht="54.95" hidden="1" customHeight="1">
      <c r="A13" s="13"/>
      <c r="B13" s="14" t="s">
        <v>26</v>
      </c>
      <c r="C13" s="455"/>
      <c r="D13" s="456"/>
      <c r="E13" s="457"/>
      <c r="F13" s="458"/>
      <c r="G13" s="459"/>
      <c r="H13" s="456"/>
      <c r="I13" s="457"/>
      <c r="J13" s="458"/>
      <c r="K13" s="459"/>
      <c r="L13" s="456"/>
      <c r="M13" s="457"/>
      <c r="N13" s="458"/>
      <c r="O13" s="459"/>
      <c r="P13" s="456"/>
      <c r="Q13" s="457"/>
      <c r="R13" s="460"/>
      <c r="S13" s="2"/>
      <c r="T13" s="2"/>
      <c r="U13" s="2"/>
      <c r="V13" s="2"/>
      <c r="W13" s="2"/>
      <c r="X13" s="2"/>
    </row>
    <row r="14" spans="1:24" ht="54.95" customHeight="1">
      <c r="A14" s="13">
        <v>7</v>
      </c>
      <c r="B14" s="14" t="s">
        <v>23</v>
      </c>
      <c r="C14" s="455"/>
      <c r="D14" s="456"/>
      <c r="E14" s="457"/>
      <c r="F14" s="458"/>
      <c r="G14" s="459"/>
      <c r="H14" s="456"/>
      <c r="I14" s="457"/>
      <c r="J14" s="458"/>
      <c r="K14" s="459"/>
      <c r="L14" s="456"/>
      <c r="M14" s="457"/>
      <c r="N14" s="458"/>
      <c r="O14" s="459"/>
      <c r="P14" s="456"/>
      <c r="Q14" s="457"/>
      <c r="R14" s="460"/>
      <c r="S14" s="2"/>
      <c r="T14" s="2"/>
      <c r="U14" s="2"/>
      <c r="V14" s="2"/>
      <c r="W14" s="2"/>
      <c r="X14" s="2"/>
    </row>
    <row r="15" spans="1:24" ht="54.95" customHeight="1">
      <c r="A15" s="13"/>
      <c r="B15" s="14" t="s">
        <v>24</v>
      </c>
      <c r="C15" s="455"/>
      <c r="D15" s="456"/>
      <c r="E15" s="457"/>
      <c r="F15" s="458"/>
      <c r="G15" s="459"/>
      <c r="H15" s="456"/>
      <c r="I15" s="457"/>
      <c r="J15" s="458"/>
      <c r="K15" s="459"/>
      <c r="L15" s="456"/>
      <c r="M15" s="457"/>
      <c r="N15" s="458"/>
      <c r="O15" s="459"/>
      <c r="P15" s="456">
        <v>1</v>
      </c>
      <c r="Q15" s="457"/>
      <c r="R15" s="460"/>
      <c r="S15" s="2"/>
      <c r="T15" s="2"/>
      <c r="U15" s="2"/>
      <c r="V15" s="2"/>
      <c r="W15" s="2"/>
      <c r="X15" s="2"/>
    </row>
    <row r="16" spans="1:24" ht="54.95" customHeight="1">
      <c r="A16" s="13"/>
      <c r="B16" s="14" t="s">
        <v>25</v>
      </c>
      <c r="C16" s="455"/>
      <c r="D16" s="456"/>
      <c r="E16" s="457"/>
      <c r="F16" s="458"/>
      <c r="G16" s="459"/>
      <c r="H16" s="456">
        <v>1</v>
      </c>
      <c r="I16" s="457"/>
      <c r="J16" s="458"/>
      <c r="K16" s="459">
        <v>1</v>
      </c>
      <c r="L16" s="456"/>
      <c r="M16" s="457"/>
      <c r="N16" s="458"/>
      <c r="O16" s="459">
        <v>1</v>
      </c>
      <c r="P16" s="456"/>
      <c r="Q16" s="457"/>
      <c r="R16" s="460"/>
      <c r="S16" s="2"/>
      <c r="T16" s="2"/>
      <c r="U16" s="2"/>
      <c r="V16" s="2"/>
      <c r="W16" s="2"/>
      <c r="X16" s="2"/>
    </row>
    <row r="17" spans="1:24" ht="54.95" customHeight="1">
      <c r="A17" s="13"/>
      <c r="B17" s="14" t="s">
        <v>26</v>
      </c>
      <c r="C17" s="455"/>
      <c r="D17" s="456"/>
      <c r="E17" s="457"/>
      <c r="F17" s="458"/>
      <c r="G17" s="459"/>
      <c r="H17" s="456"/>
      <c r="I17" s="457"/>
      <c r="J17" s="458"/>
      <c r="K17" s="459"/>
      <c r="L17" s="456"/>
      <c r="M17" s="457"/>
      <c r="N17" s="458"/>
      <c r="O17" s="459"/>
      <c r="P17" s="456"/>
      <c r="Q17" s="457"/>
      <c r="R17" s="460"/>
      <c r="S17" s="2"/>
      <c r="T17" s="2"/>
      <c r="U17" s="2"/>
      <c r="V17" s="2"/>
      <c r="W17" s="2"/>
      <c r="X17" s="2"/>
    </row>
    <row r="18" spans="1:24" ht="54.95" customHeight="1">
      <c r="A18" s="13">
        <v>8</v>
      </c>
      <c r="B18" s="14" t="s">
        <v>23</v>
      </c>
      <c r="C18" s="455"/>
      <c r="D18" s="456"/>
      <c r="E18" s="457"/>
      <c r="F18" s="458"/>
      <c r="G18" s="459"/>
      <c r="H18" s="456"/>
      <c r="I18" s="457"/>
      <c r="J18" s="458"/>
      <c r="K18" s="459"/>
      <c r="L18" s="456">
        <v>1</v>
      </c>
      <c r="M18" s="457"/>
      <c r="N18" s="458"/>
      <c r="O18" s="459"/>
      <c r="P18" s="456"/>
      <c r="Q18" s="457"/>
      <c r="R18" s="460"/>
      <c r="S18" s="2"/>
      <c r="T18" s="2"/>
      <c r="U18" s="2"/>
      <c r="V18" s="2"/>
      <c r="W18" s="2"/>
      <c r="X18" s="2"/>
    </row>
    <row r="19" spans="1:24" ht="54.95" customHeight="1">
      <c r="A19" s="13"/>
      <c r="B19" s="14" t="s">
        <v>24</v>
      </c>
      <c r="C19" s="455"/>
      <c r="D19" s="456"/>
      <c r="E19" s="457"/>
      <c r="F19" s="458"/>
      <c r="G19" s="459">
        <v>1</v>
      </c>
      <c r="H19" s="456">
        <v>1</v>
      </c>
      <c r="I19" s="457"/>
      <c r="J19" s="458"/>
      <c r="K19" s="459"/>
      <c r="L19" s="456"/>
      <c r="M19" s="457"/>
      <c r="N19" s="458"/>
      <c r="O19" s="459"/>
      <c r="P19" s="456"/>
      <c r="Q19" s="457"/>
      <c r="R19" s="460"/>
      <c r="S19" s="2"/>
      <c r="T19" s="2"/>
      <c r="U19" s="2"/>
      <c r="V19" s="2"/>
      <c r="W19" s="2"/>
      <c r="X19" s="2"/>
    </row>
    <row r="20" spans="1:24" ht="54.95" customHeight="1">
      <c r="A20" s="13"/>
      <c r="B20" s="14" t="s">
        <v>25</v>
      </c>
      <c r="C20" s="455"/>
      <c r="D20" s="456"/>
      <c r="E20" s="457"/>
      <c r="F20" s="458"/>
      <c r="G20" s="459"/>
      <c r="H20" s="456"/>
      <c r="I20" s="457"/>
      <c r="J20" s="458"/>
      <c r="K20" s="459"/>
      <c r="L20" s="456"/>
      <c r="M20" s="457"/>
      <c r="N20" s="458"/>
      <c r="O20" s="459"/>
      <c r="P20" s="456"/>
      <c r="Q20" s="457"/>
      <c r="R20" s="460"/>
      <c r="S20" s="2"/>
      <c r="T20" s="2"/>
      <c r="U20" s="2"/>
      <c r="V20" s="2"/>
      <c r="W20" s="2"/>
      <c r="X20" s="2"/>
    </row>
    <row r="21" spans="1:24" ht="54.95" customHeight="1" thickBot="1">
      <c r="A21" s="13"/>
      <c r="B21" s="14" t="s">
        <v>26</v>
      </c>
      <c r="C21" s="455"/>
      <c r="D21" s="456"/>
      <c r="E21" s="457"/>
      <c r="F21" s="458"/>
      <c r="G21" s="459"/>
      <c r="H21" s="456"/>
      <c r="I21" s="457"/>
      <c r="J21" s="458"/>
      <c r="K21" s="459"/>
      <c r="L21" s="456"/>
      <c r="M21" s="457"/>
      <c r="N21" s="458"/>
      <c r="O21" s="459"/>
      <c r="P21" s="456"/>
      <c r="Q21" s="457"/>
      <c r="R21" s="460"/>
      <c r="S21" s="2"/>
      <c r="T21" s="2"/>
      <c r="U21" s="2"/>
      <c r="V21" s="2"/>
      <c r="W21" s="2"/>
      <c r="X21" s="2"/>
    </row>
    <row r="22" spans="1:24" ht="54.95" hidden="1" customHeight="1">
      <c r="A22" s="13">
        <v>9</v>
      </c>
      <c r="B22" s="14" t="s">
        <v>23</v>
      </c>
      <c r="C22" s="455"/>
      <c r="D22" s="456"/>
      <c r="E22" s="457"/>
      <c r="F22" s="458"/>
      <c r="G22" s="459"/>
      <c r="H22" s="456"/>
      <c r="I22" s="457"/>
      <c r="J22" s="458"/>
      <c r="K22" s="459"/>
      <c r="L22" s="456"/>
      <c r="M22" s="457"/>
      <c r="N22" s="458"/>
      <c r="O22" s="459"/>
      <c r="P22" s="456"/>
      <c r="Q22" s="457"/>
      <c r="R22" s="460"/>
      <c r="S22" s="2"/>
      <c r="T22" s="2"/>
      <c r="U22" s="2"/>
      <c r="V22" s="2"/>
      <c r="W22" s="2"/>
      <c r="X22" s="2"/>
    </row>
    <row r="23" spans="1:24" ht="54.95" hidden="1" customHeight="1" thickBot="1">
      <c r="A23" s="15"/>
      <c r="B23" s="16" t="s">
        <v>24</v>
      </c>
      <c r="C23" s="461"/>
      <c r="D23" s="462"/>
      <c r="E23" s="463"/>
      <c r="F23" s="464"/>
      <c r="G23" s="465"/>
      <c r="H23" s="462"/>
      <c r="I23" s="463"/>
      <c r="J23" s="464"/>
      <c r="K23" s="465"/>
      <c r="L23" s="462"/>
      <c r="M23" s="463"/>
      <c r="N23" s="464"/>
      <c r="O23" s="465"/>
      <c r="P23" s="462"/>
      <c r="Q23" s="463"/>
      <c r="R23" s="466"/>
      <c r="S23" s="2"/>
      <c r="T23" s="2"/>
      <c r="U23" s="2"/>
      <c r="V23" s="2"/>
      <c r="W23" s="2"/>
      <c r="X23" s="2"/>
    </row>
    <row r="24" spans="1:24" ht="54.95" hidden="1" customHeight="1" thickTop="1" thickBot="1">
      <c r="A24" s="119"/>
      <c r="B24" s="119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2"/>
      <c r="T24" s="2"/>
      <c r="U24" s="2"/>
      <c r="V24" s="2"/>
      <c r="W24" s="2"/>
      <c r="X24" s="2"/>
    </row>
    <row r="25" spans="1:24" ht="52.5" hidden="1" customHeight="1" thickBot="1">
      <c r="A25" s="108" t="s">
        <v>0</v>
      </c>
      <c r="B25" s="327" t="str">
        <f>B1</f>
        <v>ETREMBIERES_D2 route de la Libération / D906a (ex-PN93)</v>
      </c>
      <c r="C25" s="328"/>
      <c r="D25" s="328"/>
      <c r="E25" s="328"/>
      <c r="F25" s="329"/>
      <c r="G25" s="329"/>
      <c r="H25" s="329"/>
      <c r="I25" s="329"/>
      <c r="J25" s="329"/>
      <c r="K25" s="328"/>
      <c r="L25" s="328"/>
      <c r="M25" s="331" t="s">
        <v>30</v>
      </c>
      <c r="N25" s="332" t="str">
        <f>N1</f>
        <v>mardi 31 mai 2022</v>
      </c>
      <c r="O25" s="34"/>
      <c r="P25" s="35"/>
      <c r="Q25" s="110"/>
      <c r="R25" s="110"/>
    </row>
    <row r="26" spans="1:24" ht="52.5" hidden="1" customHeight="1" thickBot="1">
      <c r="A26" s="111" t="s">
        <v>2</v>
      </c>
      <c r="B26" s="319"/>
      <c r="C26" s="319"/>
      <c r="D26" s="319"/>
      <c r="E26" s="319"/>
      <c r="F26" s="327" t="str">
        <f>F2</f>
        <v>Yannick ROGUET</v>
      </c>
      <c r="G26" s="328"/>
      <c r="H26" s="328"/>
      <c r="I26" s="328"/>
      <c r="J26" s="328"/>
      <c r="K26" s="328"/>
      <c r="L26" s="328"/>
      <c r="M26" s="34"/>
      <c r="N26" s="34"/>
      <c r="O26" s="34"/>
      <c r="P26" s="35"/>
      <c r="Q26" s="112"/>
      <c r="R26" s="112"/>
    </row>
    <row r="27" spans="1:24" ht="52.5" hidden="1" customHeight="1" thickBot="1">
      <c r="A27" s="111" t="s">
        <v>3</v>
      </c>
      <c r="B27" s="319"/>
      <c r="C27" s="327">
        <f>C3</f>
        <v>0</v>
      </c>
      <c r="D27" s="328"/>
      <c r="E27" s="328"/>
      <c r="F27" s="328"/>
      <c r="G27" s="328"/>
      <c r="H27" s="328"/>
      <c r="I27" s="328"/>
      <c r="J27" s="328"/>
      <c r="K27" s="328"/>
      <c r="L27" s="328"/>
      <c r="M27" s="34"/>
      <c r="N27" s="34"/>
      <c r="O27" s="34"/>
      <c r="P27" s="35"/>
      <c r="Q27" s="112"/>
      <c r="R27" s="112"/>
    </row>
    <row r="28" spans="1:24" ht="52.5" hidden="1" customHeight="1" thickBot="1">
      <c r="A28" s="111" t="s">
        <v>27</v>
      </c>
      <c r="B28" s="319"/>
      <c r="C28" s="327">
        <f>C4</f>
        <v>0</v>
      </c>
      <c r="D28" s="328"/>
      <c r="E28" s="328"/>
      <c r="F28" s="328"/>
      <c r="G28" s="328"/>
      <c r="H28" s="328"/>
      <c r="I28" s="328"/>
      <c r="J28" s="328"/>
      <c r="K28" s="328"/>
      <c r="L28" s="328"/>
      <c r="M28" s="34"/>
      <c r="N28" s="34"/>
      <c r="O28" s="34"/>
      <c r="P28" s="35"/>
      <c r="Q28" s="112"/>
      <c r="R28" s="112"/>
    </row>
    <row r="29" spans="1:24" ht="25.5" hidden="1" customHeight="1">
      <c r="A29" s="111" t="str">
        <f>A5</f>
        <v xml:space="preserve">Méthodologie : </v>
      </c>
      <c r="B29" s="112"/>
      <c r="C29" s="112" t="str">
        <f>C5</f>
        <v>Pour chaque intervalle de temps, marquer une seule croix par personne comptée</v>
      </c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3"/>
    </row>
    <row r="30" spans="1:24" ht="25.5" hidden="1" customHeight="1">
      <c r="A30" s="114"/>
      <c r="B30" s="112"/>
      <c r="C30" s="112" t="str">
        <f>C6</f>
        <v>Si c'est enfant, remplacer la croix par E, une trottinette T, un piéton P, etc.</v>
      </c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3"/>
    </row>
    <row r="31" spans="1:24" ht="25.5" hidden="1" customHeight="1" thickBot="1">
      <c r="A31" s="114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3"/>
    </row>
    <row r="32" spans="1:24" ht="32.25" customHeight="1" thickTop="1">
      <c r="A32" s="29"/>
      <c r="B32" s="30"/>
      <c r="C32" s="798" t="s">
        <v>39</v>
      </c>
      <c r="D32" s="799"/>
      <c r="E32" s="799"/>
      <c r="F32" s="799"/>
      <c r="G32" s="799"/>
      <c r="H32" s="799"/>
      <c r="I32" s="799"/>
      <c r="J32" s="799"/>
      <c r="K32" s="798" t="s">
        <v>43</v>
      </c>
      <c r="L32" s="799"/>
      <c r="M32" s="799"/>
      <c r="N32" s="799"/>
      <c r="O32" s="799"/>
      <c r="P32" s="799"/>
      <c r="Q32" s="799"/>
      <c r="R32" s="800"/>
      <c r="T32" s="9"/>
      <c r="U32" s="9"/>
      <c r="V32" s="9"/>
      <c r="W32" s="9"/>
      <c r="X32" s="9"/>
    </row>
    <row r="33" spans="1:24" ht="22.7" customHeight="1">
      <c r="A33" s="29"/>
      <c r="B33" s="30"/>
      <c r="C33" s="791" t="s">
        <v>40</v>
      </c>
      <c r="D33" s="792"/>
      <c r="E33" s="792"/>
      <c r="F33" s="792"/>
      <c r="G33" s="1064" t="s">
        <v>42</v>
      </c>
      <c r="H33" s="1064"/>
      <c r="I33" s="1064"/>
      <c r="J33" s="1064"/>
      <c r="K33" s="791" t="s">
        <v>40</v>
      </c>
      <c r="L33" s="792"/>
      <c r="M33" s="792"/>
      <c r="N33" s="792"/>
      <c r="O33" s="1064" t="s">
        <v>42</v>
      </c>
      <c r="P33" s="1064"/>
      <c r="Q33" s="1064"/>
      <c r="R33" s="1065"/>
    </row>
    <row r="34" spans="1:24" ht="18.600000000000001" customHeight="1" thickBot="1">
      <c r="A34" s="29"/>
      <c r="B34" s="30"/>
      <c r="C34" s="989" t="s">
        <v>4</v>
      </c>
      <c r="D34" s="987"/>
      <c r="E34" s="984" t="s">
        <v>5</v>
      </c>
      <c r="F34" s="985"/>
      <c r="G34" s="986" t="s">
        <v>4</v>
      </c>
      <c r="H34" s="987"/>
      <c r="I34" s="984" t="s">
        <v>5</v>
      </c>
      <c r="J34" s="985"/>
      <c r="K34" s="986" t="s">
        <v>4</v>
      </c>
      <c r="L34" s="987"/>
      <c r="M34" s="984" t="s">
        <v>5</v>
      </c>
      <c r="N34" s="985"/>
      <c r="O34" s="986" t="s">
        <v>4</v>
      </c>
      <c r="P34" s="987"/>
      <c r="Q34" s="984" t="s">
        <v>5</v>
      </c>
      <c r="R34" s="988"/>
    </row>
    <row r="35" spans="1:24" ht="21" thickTop="1">
      <c r="A35" s="11" t="s">
        <v>6</v>
      </c>
      <c r="B35" s="12" t="s">
        <v>7</v>
      </c>
      <c r="C35" s="17" t="s">
        <v>8</v>
      </c>
      <c r="D35" s="4" t="s">
        <v>9</v>
      </c>
      <c r="E35" s="5" t="s">
        <v>8</v>
      </c>
      <c r="F35" s="6" t="s">
        <v>9</v>
      </c>
      <c r="G35" s="3" t="s">
        <v>8</v>
      </c>
      <c r="H35" s="4" t="s">
        <v>9</v>
      </c>
      <c r="I35" s="5" t="s">
        <v>8</v>
      </c>
      <c r="J35" s="6" t="s">
        <v>9</v>
      </c>
      <c r="K35" s="3" t="s">
        <v>8</v>
      </c>
      <c r="L35" s="4" t="s">
        <v>9</v>
      </c>
      <c r="M35" s="5" t="s">
        <v>8</v>
      </c>
      <c r="N35" s="6" t="s">
        <v>9</v>
      </c>
      <c r="O35" s="3" t="s">
        <v>8</v>
      </c>
      <c r="P35" s="4" t="s">
        <v>9</v>
      </c>
      <c r="Q35" s="5" t="s">
        <v>8</v>
      </c>
      <c r="R35" s="18" t="s">
        <v>9</v>
      </c>
      <c r="S35" s="10"/>
    </row>
    <row r="36" spans="1:24" ht="54.95" hidden="1" customHeight="1">
      <c r="A36" s="13">
        <v>6</v>
      </c>
      <c r="B36" s="14" t="s">
        <v>25</v>
      </c>
      <c r="C36" s="455"/>
      <c r="D36" s="456"/>
      <c r="E36" s="457"/>
      <c r="F36" s="458"/>
      <c r="G36" s="459"/>
      <c r="H36" s="456"/>
      <c r="I36" s="457"/>
      <c r="J36" s="458"/>
      <c r="K36" s="459"/>
      <c r="L36" s="456"/>
      <c r="M36" s="457"/>
      <c r="N36" s="458"/>
      <c r="O36" s="459"/>
      <c r="P36" s="456"/>
      <c r="Q36" s="457"/>
      <c r="R36" s="460"/>
      <c r="S36" s="2"/>
      <c r="T36" s="2"/>
      <c r="U36" s="2"/>
      <c r="V36" s="2"/>
      <c r="W36" s="2"/>
      <c r="X36" s="2"/>
    </row>
    <row r="37" spans="1:24" ht="54.95" hidden="1" customHeight="1">
      <c r="A37" s="13"/>
      <c r="B37" s="14" t="s">
        <v>26</v>
      </c>
      <c r="C37" s="455"/>
      <c r="D37" s="456"/>
      <c r="E37" s="457"/>
      <c r="F37" s="458"/>
      <c r="G37" s="459"/>
      <c r="H37" s="456"/>
      <c r="I37" s="457"/>
      <c r="J37" s="458"/>
      <c r="K37" s="459"/>
      <c r="L37" s="456"/>
      <c r="M37" s="457"/>
      <c r="N37" s="458"/>
      <c r="O37" s="459"/>
      <c r="P37" s="456"/>
      <c r="Q37" s="457"/>
      <c r="R37" s="460"/>
      <c r="S37" s="2"/>
      <c r="T37" s="2"/>
      <c r="U37" s="2"/>
      <c r="V37" s="2"/>
      <c r="W37" s="2"/>
      <c r="X37" s="2"/>
    </row>
    <row r="38" spans="1:24" ht="54.95" customHeight="1">
      <c r="A38" s="13">
        <v>7</v>
      </c>
      <c r="B38" s="14" t="s">
        <v>23</v>
      </c>
      <c r="C38" s="455">
        <v>2</v>
      </c>
      <c r="D38" s="456">
        <v>2</v>
      </c>
      <c r="E38" s="457"/>
      <c r="F38" s="458"/>
      <c r="G38" s="459"/>
      <c r="H38" s="456">
        <v>1</v>
      </c>
      <c r="I38" s="457"/>
      <c r="J38" s="458"/>
      <c r="K38" s="459">
        <v>1</v>
      </c>
      <c r="L38" s="456"/>
      <c r="M38" s="457"/>
      <c r="N38" s="458"/>
      <c r="O38" s="459"/>
      <c r="P38" s="456"/>
      <c r="Q38" s="457"/>
      <c r="R38" s="460"/>
      <c r="S38" s="2"/>
      <c r="T38" s="2"/>
      <c r="U38" s="2"/>
      <c r="V38" s="2"/>
      <c r="W38" s="2"/>
      <c r="X38" s="2"/>
    </row>
    <row r="39" spans="1:24" ht="54.95" customHeight="1">
      <c r="A39" s="13"/>
      <c r="B39" s="14" t="s">
        <v>24</v>
      </c>
      <c r="C39" s="455">
        <v>1</v>
      </c>
      <c r="D39" s="456">
        <v>1</v>
      </c>
      <c r="E39" s="457"/>
      <c r="F39" s="458"/>
      <c r="G39" s="459"/>
      <c r="H39" s="456">
        <v>1</v>
      </c>
      <c r="I39" s="457"/>
      <c r="J39" s="458"/>
      <c r="K39" s="459">
        <v>1</v>
      </c>
      <c r="L39" s="456"/>
      <c r="M39" s="457">
        <v>1</v>
      </c>
      <c r="N39" s="458"/>
      <c r="O39" s="459">
        <v>2</v>
      </c>
      <c r="P39" s="456">
        <v>2</v>
      </c>
      <c r="Q39" s="457"/>
      <c r="R39" s="460"/>
      <c r="S39" s="2"/>
      <c r="T39" s="2"/>
      <c r="U39" s="2"/>
      <c r="V39" s="2"/>
      <c r="W39" s="2"/>
      <c r="X39" s="2"/>
    </row>
    <row r="40" spans="1:24" ht="54.95" customHeight="1">
      <c r="A40" s="13"/>
      <c r="B40" s="14" t="s">
        <v>25</v>
      </c>
      <c r="C40" s="455">
        <v>1</v>
      </c>
      <c r="D40" s="456">
        <v>1</v>
      </c>
      <c r="E40" s="457"/>
      <c r="F40" s="458"/>
      <c r="G40" s="459">
        <v>1</v>
      </c>
      <c r="H40" s="456">
        <v>1</v>
      </c>
      <c r="I40" s="457"/>
      <c r="J40" s="458"/>
      <c r="K40" s="459"/>
      <c r="L40" s="456"/>
      <c r="M40" s="457"/>
      <c r="N40" s="458"/>
      <c r="O40" s="459">
        <v>4</v>
      </c>
      <c r="P40" s="456"/>
      <c r="Q40" s="457">
        <v>2</v>
      </c>
      <c r="R40" s="460"/>
      <c r="S40" s="2"/>
      <c r="T40" s="2"/>
      <c r="U40" s="2"/>
      <c r="V40" s="2"/>
      <c r="W40" s="2"/>
      <c r="X40" s="2"/>
    </row>
    <row r="41" spans="1:24" ht="54.95" customHeight="1">
      <c r="A41" s="13"/>
      <c r="B41" s="14" t="s">
        <v>26</v>
      </c>
      <c r="C41" s="455"/>
      <c r="D41" s="456"/>
      <c r="E41" s="457"/>
      <c r="F41" s="458"/>
      <c r="G41" s="459">
        <v>2</v>
      </c>
      <c r="H41" s="456"/>
      <c r="I41" s="457">
        <v>1</v>
      </c>
      <c r="J41" s="458"/>
      <c r="K41" s="459">
        <v>1</v>
      </c>
      <c r="L41" s="456"/>
      <c r="M41" s="457">
        <v>1</v>
      </c>
      <c r="N41" s="458"/>
      <c r="O41" s="459">
        <v>3</v>
      </c>
      <c r="P41" s="456"/>
      <c r="Q41" s="457"/>
      <c r="R41" s="460"/>
      <c r="S41" s="2"/>
      <c r="T41" s="2"/>
      <c r="U41" s="2"/>
      <c r="V41" s="2"/>
      <c r="W41" s="2"/>
      <c r="X41" s="2"/>
    </row>
    <row r="42" spans="1:24" ht="54.95" customHeight="1">
      <c r="A42" s="13">
        <v>8</v>
      </c>
      <c r="B42" s="14" t="s">
        <v>23</v>
      </c>
      <c r="C42" s="455">
        <v>1</v>
      </c>
      <c r="D42" s="456"/>
      <c r="E42" s="457"/>
      <c r="F42" s="458"/>
      <c r="G42" s="459">
        <v>1</v>
      </c>
      <c r="H42" s="456"/>
      <c r="I42" s="457"/>
      <c r="J42" s="458"/>
      <c r="K42" s="459"/>
      <c r="L42" s="456"/>
      <c r="M42" s="457">
        <v>2</v>
      </c>
      <c r="N42" s="458"/>
      <c r="O42" s="459"/>
      <c r="P42" s="456"/>
      <c r="Q42" s="457"/>
      <c r="R42" s="460">
        <v>1</v>
      </c>
      <c r="S42" s="2"/>
      <c r="T42" s="2"/>
      <c r="U42" s="2"/>
      <c r="V42" s="2"/>
      <c r="W42" s="2"/>
      <c r="X42" s="2"/>
    </row>
    <row r="43" spans="1:24" ht="54.95" customHeight="1">
      <c r="A43" s="13"/>
      <c r="B43" s="14" t="s">
        <v>24</v>
      </c>
      <c r="C43" s="455">
        <v>1</v>
      </c>
      <c r="D43" s="456">
        <v>1</v>
      </c>
      <c r="E43" s="457"/>
      <c r="F43" s="458"/>
      <c r="G43" s="459"/>
      <c r="H43" s="456"/>
      <c r="I43" s="457">
        <v>1</v>
      </c>
      <c r="J43" s="458"/>
      <c r="K43" s="459"/>
      <c r="L43" s="456"/>
      <c r="M43" s="457"/>
      <c r="N43" s="458"/>
      <c r="O43" s="459"/>
      <c r="P43" s="456"/>
      <c r="Q43" s="457">
        <v>1</v>
      </c>
      <c r="R43" s="460">
        <v>1</v>
      </c>
      <c r="S43" s="2"/>
      <c r="T43" s="2"/>
      <c r="U43" s="2"/>
      <c r="V43" s="2"/>
      <c r="W43" s="2"/>
      <c r="X43" s="2"/>
    </row>
    <row r="44" spans="1:24" ht="54.95" customHeight="1">
      <c r="A44" s="13"/>
      <c r="B44" s="14" t="s">
        <v>25</v>
      </c>
      <c r="C44" s="455"/>
      <c r="D44" s="456"/>
      <c r="E44" s="457"/>
      <c r="F44" s="458"/>
      <c r="G44" s="459"/>
      <c r="H44" s="456"/>
      <c r="I44" s="457"/>
      <c r="J44" s="458"/>
      <c r="K44" s="459"/>
      <c r="L44" s="456"/>
      <c r="M44" s="457"/>
      <c r="N44" s="458"/>
      <c r="O44" s="459"/>
      <c r="P44" s="456"/>
      <c r="Q44" s="457"/>
      <c r="R44" s="460"/>
      <c r="S44" s="2"/>
      <c r="T44" s="2"/>
      <c r="U44" s="2"/>
      <c r="V44" s="2"/>
      <c r="W44" s="2"/>
      <c r="X44" s="2"/>
    </row>
    <row r="45" spans="1:24" ht="54.95" customHeight="1">
      <c r="A45" s="13"/>
      <c r="B45" s="14" t="s">
        <v>26</v>
      </c>
      <c r="C45" s="455"/>
      <c r="D45" s="456"/>
      <c r="E45" s="457"/>
      <c r="F45" s="458"/>
      <c r="G45" s="459"/>
      <c r="H45" s="456"/>
      <c r="I45" s="457"/>
      <c r="J45" s="458"/>
      <c r="K45" s="459"/>
      <c r="L45" s="456"/>
      <c r="M45" s="457"/>
      <c r="N45" s="458"/>
      <c r="O45" s="459"/>
      <c r="P45" s="456"/>
      <c r="Q45" s="457"/>
      <c r="R45" s="460"/>
      <c r="S45" s="2"/>
      <c r="T45" s="2"/>
      <c r="U45" s="2"/>
      <c r="V45" s="2"/>
      <c r="W45" s="2"/>
      <c r="X45" s="2"/>
    </row>
    <row r="46" spans="1:24" ht="54.95" hidden="1" customHeight="1">
      <c r="A46" s="13">
        <v>9</v>
      </c>
      <c r="B46" s="14" t="s">
        <v>23</v>
      </c>
      <c r="C46" s="455"/>
      <c r="D46" s="456"/>
      <c r="E46" s="457"/>
      <c r="F46" s="458"/>
      <c r="G46" s="459"/>
      <c r="H46" s="456"/>
      <c r="I46" s="457"/>
      <c r="J46" s="458"/>
      <c r="K46" s="459"/>
      <c r="L46" s="456"/>
      <c r="M46" s="457"/>
      <c r="N46" s="458"/>
      <c r="O46" s="459"/>
      <c r="P46" s="456"/>
      <c r="Q46" s="457"/>
      <c r="R46" s="460"/>
      <c r="S46" s="2"/>
      <c r="T46" s="2"/>
      <c r="U46" s="2"/>
      <c r="V46" s="2"/>
      <c r="W46" s="2"/>
      <c r="X46" s="2"/>
    </row>
    <row r="47" spans="1:24" ht="54.95" hidden="1" customHeight="1" thickBot="1">
      <c r="A47" s="15"/>
      <c r="B47" s="16" t="s">
        <v>24</v>
      </c>
      <c r="C47" s="461"/>
      <c r="D47" s="462"/>
      <c r="E47" s="463"/>
      <c r="F47" s="464"/>
      <c r="G47" s="465"/>
      <c r="H47" s="462"/>
      <c r="I47" s="463"/>
      <c r="J47" s="464"/>
      <c r="K47" s="465"/>
      <c r="L47" s="462"/>
      <c r="M47" s="463"/>
      <c r="N47" s="464"/>
      <c r="O47" s="465"/>
      <c r="P47" s="462"/>
      <c r="Q47" s="463"/>
      <c r="R47" s="466"/>
      <c r="S47" s="2"/>
      <c r="T47" s="2"/>
      <c r="U47" s="2"/>
      <c r="V47" s="2"/>
      <c r="W47" s="2"/>
      <c r="X47" s="2"/>
    </row>
    <row r="48" spans="1:24" ht="54.95" customHeight="1" thickBot="1">
      <c r="A48" s="119"/>
      <c r="B48" s="119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2"/>
      <c r="T48" s="2"/>
      <c r="U48" s="2"/>
      <c r="V48" s="2"/>
      <c r="W48" s="2"/>
      <c r="X48" s="2"/>
    </row>
    <row r="49" spans="1:32" ht="52.5" customHeight="1" thickBot="1">
      <c r="A49" s="121" t="s">
        <v>0</v>
      </c>
      <c r="B49" s="33" t="str">
        <f>B1</f>
        <v>ETREMBIERES_D2 route de la Libération / D906a (ex-PN93)</v>
      </c>
      <c r="C49" s="34"/>
      <c r="D49" s="34"/>
      <c r="E49" s="34"/>
      <c r="F49" s="37"/>
      <c r="G49" s="37"/>
      <c r="H49" s="37"/>
      <c r="I49" s="37"/>
      <c r="J49" s="37"/>
      <c r="K49" s="34"/>
      <c r="L49" s="34"/>
      <c r="M49" s="122" t="s">
        <v>1</v>
      </c>
      <c r="N49" s="36" t="str">
        <f>N1</f>
        <v>mardi 31 mai 2022</v>
      </c>
      <c r="O49" s="34"/>
      <c r="P49" s="35"/>
      <c r="Q49" s="123"/>
      <c r="R49" s="139"/>
      <c r="S49" s="150" t="s">
        <v>0</v>
      </c>
      <c r="T49" s="33" t="str">
        <f>B49</f>
        <v>ETREMBIERES_D2 route de la Libération / D906a (ex-PN93)</v>
      </c>
      <c r="U49" s="34"/>
      <c r="V49" s="34"/>
      <c r="W49" s="161"/>
      <c r="X49" s="35"/>
      <c r="Y49" s="166" t="s">
        <v>1</v>
      </c>
      <c r="Z49" s="36" t="s">
        <v>142</v>
      </c>
      <c r="AA49" s="35"/>
      <c r="AB49" s="151"/>
    </row>
    <row r="50" spans="1:32" ht="52.5" customHeight="1" thickBot="1">
      <c r="A50" s="111" t="s">
        <v>2</v>
      </c>
      <c r="B50" s="112"/>
      <c r="C50" s="112"/>
      <c r="D50" s="112"/>
      <c r="E50" s="112"/>
      <c r="F50" s="33" t="str">
        <f>F2</f>
        <v>Yannick ROGUET</v>
      </c>
      <c r="G50" s="34"/>
      <c r="H50" s="34"/>
      <c r="I50" s="34"/>
      <c r="J50" s="34"/>
      <c r="K50" s="34"/>
      <c r="L50" s="34"/>
      <c r="M50" s="34"/>
      <c r="N50" s="34"/>
      <c r="O50" s="34"/>
      <c r="P50" s="35"/>
      <c r="Q50" s="112"/>
      <c r="R50" s="113"/>
      <c r="S50" s="111" t="s">
        <v>2</v>
      </c>
      <c r="T50" s="112"/>
      <c r="U50" s="112"/>
      <c r="V50" s="112"/>
      <c r="W50" s="33" t="str">
        <f>F50</f>
        <v>Yannick ROGUET</v>
      </c>
      <c r="X50" s="34"/>
      <c r="Y50" s="34"/>
      <c r="Z50" s="34"/>
      <c r="AA50" s="35"/>
      <c r="AB50" s="112"/>
    </row>
    <row r="51" spans="1:32" ht="52.5" customHeight="1" thickBot="1">
      <c r="A51" s="111" t="s">
        <v>3</v>
      </c>
      <c r="B51" s="112"/>
      <c r="C51" s="33">
        <f>C3</f>
        <v>0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5"/>
      <c r="Q51" s="112"/>
      <c r="R51" s="113"/>
      <c r="S51" s="111" t="s">
        <v>3</v>
      </c>
      <c r="T51" s="112"/>
      <c r="U51" s="33">
        <f>C51</f>
        <v>0</v>
      </c>
      <c r="V51" s="34"/>
      <c r="W51" s="34"/>
      <c r="X51" s="34"/>
      <c r="Y51" s="34"/>
      <c r="Z51" s="34"/>
      <c r="AA51" s="35"/>
      <c r="AB51" s="87"/>
    </row>
    <row r="52" spans="1:32" ht="52.5" customHeight="1" thickBot="1">
      <c r="A52" s="29" t="s">
        <v>27</v>
      </c>
      <c r="B52" s="30"/>
      <c r="C52" s="33">
        <f>C4</f>
        <v>0</v>
      </c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5"/>
      <c r="Q52" s="30"/>
      <c r="R52" s="32"/>
      <c r="S52" s="111" t="s">
        <v>27</v>
      </c>
      <c r="T52" s="112"/>
      <c r="U52" s="33">
        <f>C52</f>
        <v>0</v>
      </c>
      <c r="V52" s="34"/>
      <c r="W52" s="34"/>
      <c r="X52" s="161"/>
      <c r="Y52" s="34"/>
      <c r="Z52" s="34"/>
      <c r="AA52" s="35"/>
      <c r="AB52" s="87"/>
    </row>
    <row r="53" spans="1:32" ht="25.5" customHeight="1">
      <c r="A53" s="31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2"/>
      <c r="S53" s="114"/>
      <c r="T53" s="112"/>
      <c r="U53" s="112"/>
      <c r="V53" s="112"/>
      <c r="W53" s="112"/>
      <c r="X53" s="112"/>
      <c r="Y53" s="112"/>
      <c r="Z53" s="112"/>
      <c r="AA53" s="112"/>
      <c r="AB53" s="112"/>
    </row>
    <row r="54" spans="1:32" ht="25.5" customHeight="1">
      <c r="A54" s="31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2"/>
      <c r="S54" s="114"/>
      <c r="T54" s="112"/>
      <c r="U54" s="112"/>
      <c r="V54" s="112"/>
      <c r="W54" s="112"/>
      <c r="X54" s="112"/>
      <c r="Y54" s="112"/>
      <c r="Z54" s="112"/>
      <c r="AA54" s="112"/>
      <c r="AB54" s="113"/>
    </row>
    <row r="55" spans="1:32" ht="25.5" customHeight="1" thickBot="1">
      <c r="A55" s="31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2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</row>
    <row r="56" spans="1:32" ht="32.25" customHeight="1" thickTop="1">
      <c r="A56" s="29"/>
      <c r="B56" s="30"/>
      <c r="C56" s="798" t="str">
        <f>C8</f>
        <v>Depuis 'Château d'Etrembières'</v>
      </c>
      <c r="D56" s="799"/>
      <c r="E56" s="799"/>
      <c r="F56" s="799"/>
      <c r="G56" s="799"/>
      <c r="H56" s="799"/>
      <c r="I56" s="799"/>
      <c r="J56" s="799"/>
      <c r="K56" s="798" t="str">
        <f>K8</f>
        <v>Depuis 'Etrembières - Autoroute'</v>
      </c>
      <c r="L56" s="799"/>
      <c r="M56" s="799"/>
      <c r="N56" s="799"/>
      <c r="O56" s="799"/>
      <c r="P56" s="799"/>
      <c r="Q56" s="799"/>
      <c r="R56" s="800"/>
      <c r="S56" s="111"/>
      <c r="T56" s="30"/>
      <c r="U56" s="809" t="s">
        <v>12</v>
      </c>
      <c r="V56" s="811" t="s">
        <v>14</v>
      </c>
      <c r="W56" s="811" t="s">
        <v>15</v>
      </c>
      <c r="X56" s="811" t="s">
        <v>18</v>
      </c>
      <c r="Y56" s="811" t="s">
        <v>16</v>
      </c>
      <c r="Z56" s="955" t="s">
        <v>31</v>
      </c>
      <c r="AA56" s="956"/>
      <c r="AB56" s="957"/>
      <c r="AC56" s="26"/>
      <c r="AD56" s="26"/>
      <c r="AE56" s="26"/>
      <c r="AF56" s="26"/>
    </row>
    <row r="57" spans="1:32" ht="22.7" customHeight="1">
      <c r="A57" s="29"/>
      <c r="B57" s="30"/>
      <c r="C57" s="791" t="str">
        <f>C9</f>
        <v>vers 'Reignier'</v>
      </c>
      <c r="D57" s="792"/>
      <c r="E57" s="792"/>
      <c r="F57" s="792"/>
      <c r="G57" s="1064" t="str">
        <f>G9</f>
        <v>vers 'Monnetier - La Muraz'</v>
      </c>
      <c r="H57" s="1064"/>
      <c r="I57" s="1064"/>
      <c r="J57" s="1064"/>
      <c r="K57" s="791" t="str">
        <f>K9</f>
        <v>vers 'Reignier'</v>
      </c>
      <c r="L57" s="792"/>
      <c r="M57" s="792"/>
      <c r="N57" s="792"/>
      <c r="O57" s="1064" t="str">
        <f>O9</f>
        <v>vers 'Monnetier - La Muraz'</v>
      </c>
      <c r="P57" s="1064"/>
      <c r="Q57" s="1064"/>
      <c r="R57" s="1065"/>
      <c r="S57" s="111"/>
      <c r="T57" s="30"/>
      <c r="U57" s="810"/>
      <c r="V57" s="812"/>
      <c r="W57" s="812"/>
      <c r="X57" s="812"/>
      <c r="Y57" s="812"/>
      <c r="Z57" s="958"/>
      <c r="AA57" s="959"/>
      <c r="AB57" s="960"/>
      <c r="AC57" s="26"/>
      <c r="AD57" s="26"/>
      <c r="AE57" s="26"/>
      <c r="AF57" s="26"/>
    </row>
    <row r="58" spans="1:32" ht="18.600000000000001" customHeight="1" thickBot="1">
      <c r="A58" s="29"/>
      <c r="B58" s="30"/>
      <c r="C58" s="989" t="s">
        <v>4</v>
      </c>
      <c r="D58" s="987"/>
      <c r="E58" s="984" t="s">
        <v>5</v>
      </c>
      <c r="F58" s="985"/>
      <c r="G58" s="986" t="s">
        <v>4</v>
      </c>
      <c r="H58" s="987"/>
      <c r="I58" s="984" t="s">
        <v>5</v>
      </c>
      <c r="J58" s="985"/>
      <c r="K58" s="986" t="s">
        <v>4</v>
      </c>
      <c r="L58" s="987"/>
      <c r="M58" s="984" t="s">
        <v>5</v>
      </c>
      <c r="N58" s="985"/>
      <c r="O58" s="986" t="s">
        <v>4</v>
      </c>
      <c r="P58" s="987"/>
      <c r="Q58" s="1004" t="s">
        <v>5</v>
      </c>
      <c r="R58" s="1005"/>
      <c r="S58" s="124"/>
      <c r="T58" s="30"/>
      <c r="U58" s="810"/>
      <c r="V58" s="812"/>
      <c r="W58" s="812"/>
      <c r="X58" s="812"/>
      <c r="Y58" s="812"/>
      <c r="Z58" s="958"/>
      <c r="AA58" s="959"/>
      <c r="AB58" s="960"/>
      <c r="AC58" s="26"/>
      <c r="AD58" s="26"/>
      <c r="AE58" s="26"/>
      <c r="AF58" s="26"/>
    </row>
    <row r="59" spans="1:32" ht="21" thickTop="1">
      <c r="A59" s="789" t="s">
        <v>13</v>
      </c>
      <c r="B59" s="790"/>
      <c r="C59" s="17" t="s">
        <v>8</v>
      </c>
      <c r="D59" s="84" t="s">
        <v>9</v>
      </c>
      <c r="E59" s="85" t="s">
        <v>8</v>
      </c>
      <c r="F59" s="6" t="s">
        <v>9</v>
      </c>
      <c r="G59" s="3" t="s">
        <v>8</v>
      </c>
      <c r="H59" s="84" t="s">
        <v>9</v>
      </c>
      <c r="I59" s="85" t="s">
        <v>8</v>
      </c>
      <c r="J59" s="6" t="s">
        <v>9</v>
      </c>
      <c r="K59" s="3" t="s">
        <v>8</v>
      </c>
      <c r="L59" s="84" t="s">
        <v>9</v>
      </c>
      <c r="M59" s="85" t="s">
        <v>8</v>
      </c>
      <c r="N59" s="6" t="s">
        <v>9</v>
      </c>
      <c r="O59" s="3" t="s">
        <v>8</v>
      </c>
      <c r="P59" s="84" t="s">
        <v>9</v>
      </c>
      <c r="Q59" s="85" t="s">
        <v>8</v>
      </c>
      <c r="R59" s="18" t="s">
        <v>9</v>
      </c>
      <c r="S59" s="805" t="s">
        <v>13</v>
      </c>
      <c r="T59" s="806"/>
      <c r="U59" s="810"/>
      <c r="V59" s="813"/>
      <c r="W59" s="813"/>
      <c r="X59" s="813"/>
      <c r="Y59" s="813"/>
      <c r="Z59" s="961"/>
      <c r="AA59" s="962"/>
      <c r="AB59" s="963"/>
      <c r="AC59" s="26"/>
      <c r="AD59" s="26"/>
      <c r="AE59" s="26"/>
      <c r="AF59" s="26"/>
    </row>
    <row r="60" spans="1:32" ht="54.95" customHeight="1">
      <c r="A60" s="783" t="s">
        <v>28</v>
      </c>
      <c r="B60" s="784"/>
      <c r="C60" s="92">
        <f t="shared" ref="C60:J60" si="0">SUM(C12:C15)</f>
        <v>0</v>
      </c>
      <c r="D60" s="93">
        <f t="shared" si="0"/>
        <v>0</v>
      </c>
      <c r="E60" s="94">
        <f t="shared" si="0"/>
        <v>0</v>
      </c>
      <c r="F60" s="95">
        <f t="shared" si="0"/>
        <v>0</v>
      </c>
      <c r="G60" s="92">
        <f t="shared" si="0"/>
        <v>0</v>
      </c>
      <c r="H60" s="93">
        <f t="shared" si="0"/>
        <v>0</v>
      </c>
      <c r="I60" s="94">
        <f t="shared" si="0"/>
        <v>0</v>
      </c>
      <c r="J60" s="95">
        <f t="shared" si="0"/>
        <v>0</v>
      </c>
      <c r="K60" s="92">
        <f t="shared" ref="K60:R60" si="1">SUM(K12:K15)</f>
        <v>0</v>
      </c>
      <c r="L60" s="93">
        <f t="shared" si="1"/>
        <v>0</v>
      </c>
      <c r="M60" s="94">
        <f t="shared" si="1"/>
        <v>0</v>
      </c>
      <c r="N60" s="95">
        <f t="shared" si="1"/>
        <v>0</v>
      </c>
      <c r="O60" s="92">
        <f t="shared" si="1"/>
        <v>0</v>
      </c>
      <c r="P60" s="93">
        <f t="shared" si="1"/>
        <v>1</v>
      </c>
      <c r="Q60" s="94">
        <f t="shared" si="1"/>
        <v>0</v>
      </c>
      <c r="R60" s="95">
        <f t="shared" si="1"/>
        <v>0</v>
      </c>
      <c r="S60" s="807" t="s">
        <v>28</v>
      </c>
      <c r="T60" s="808"/>
      <c r="U60" s="134">
        <f t="shared" ref="U60:U65" si="2">SUM(C60:R60)+SUM(C72:R72)</f>
        <v>16</v>
      </c>
      <c r="V60" s="144">
        <f>IF(U60=0,0,V72/U60)</f>
        <v>0.5</v>
      </c>
      <c r="W60" s="144">
        <f>IF(U60=0,0,W72/U60)</f>
        <v>6.25E-2</v>
      </c>
      <c r="X60" s="144">
        <f>IF(W72=0,0,X72/W72)</f>
        <v>1</v>
      </c>
      <c r="Y60" s="144">
        <f t="shared" ref="Y60:Y66" si="3">IF(U60=0,0,Y72/U60)</f>
        <v>0.9375</v>
      </c>
      <c r="Z60" s="88"/>
      <c r="AA60" s="256"/>
      <c r="AB60" s="89"/>
      <c r="AC60" s="26"/>
      <c r="AD60" s="26"/>
      <c r="AE60" s="26"/>
      <c r="AF60" s="26"/>
    </row>
    <row r="61" spans="1:32" ht="54.95" customHeight="1">
      <c r="A61" s="774" t="s">
        <v>11</v>
      </c>
      <c r="B61" s="775"/>
      <c r="C61" s="96">
        <f t="shared" ref="C61:R61" si="4">SUM(C14:C17)</f>
        <v>0</v>
      </c>
      <c r="D61" s="97">
        <f t="shared" si="4"/>
        <v>0</v>
      </c>
      <c r="E61" s="98">
        <f t="shared" si="4"/>
        <v>0</v>
      </c>
      <c r="F61" s="99">
        <f t="shared" si="4"/>
        <v>0</v>
      </c>
      <c r="G61" s="96">
        <f t="shared" si="4"/>
        <v>0</v>
      </c>
      <c r="H61" s="97">
        <f t="shared" si="4"/>
        <v>1</v>
      </c>
      <c r="I61" s="98">
        <f t="shared" si="4"/>
        <v>0</v>
      </c>
      <c r="J61" s="99">
        <f t="shared" si="4"/>
        <v>0</v>
      </c>
      <c r="K61" s="96">
        <f t="shared" si="4"/>
        <v>1</v>
      </c>
      <c r="L61" s="97">
        <f t="shared" si="4"/>
        <v>0</v>
      </c>
      <c r="M61" s="98">
        <f t="shared" si="4"/>
        <v>0</v>
      </c>
      <c r="N61" s="99">
        <f t="shared" si="4"/>
        <v>0</v>
      </c>
      <c r="O61" s="96">
        <f t="shared" si="4"/>
        <v>1</v>
      </c>
      <c r="P61" s="97">
        <f t="shared" si="4"/>
        <v>1</v>
      </c>
      <c r="Q61" s="98">
        <f t="shared" si="4"/>
        <v>0</v>
      </c>
      <c r="R61" s="99">
        <f t="shared" si="4"/>
        <v>0</v>
      </c>
      <c r="S61" s="801" t="s">
        <v>11</v>
      </c>
      <c r="T61" s="802"/>
      <c r="U61" s="135">
        <f t="shared" si="2"/>
        <v>37</v>
      </c>
      <c r="V61" s="146">
        <f t="shared" ref="V61:V66" si="5">IF(U61=0,0,V73/U61)</f>
        <v>0.70270270270270274</v>
      </c>
      <c r="W61" s="146">
        <f t="shared" ref="W61:W66" si="6">IF(U61=0,0,W73/U61)</f>
        <v>0.13513513513513514</v>
      </c>
      <c r="X61" s="146">
        <f t="shared" ref="X61:X66" si="7">IF(W73=0,0,X73/W73)</f>
        <v>1</v>
      </c>
      <c r="Y61" s="146">
        <f t="shared" si="3"/>
        <v>0.89189189189189189</v>
      </c>
      <c r="Z61" s="90"/>
      <c r="AA61" s="257"/>
      <c r="AB61" s="91"/>
      <c r="AC61" s="26"/>
      <c r="AD61" s="26"/>
      <c r="AE61" s="26"/>
      <c r="AF61" s="26"/>
    </row>
    <row r="62" spans="1:32" ht="54.95" customHeight="1">
      <c r="A62" s="774" t="s">
        <v>17</v>
      </c>
      <c r="B62" s="775"/>
      <c r="C62" s="96">
        <f t="shared" ref="C62:R62" si="8">SUM(C16:C19)</f>
        <v>0</v>
      </c>
      <c r="D62" s="97">
        <f t="shared" si="8"/>
        <v>0</v>
      </c>
      <c r="E62" s="98">
        <f t="shared" si="8"/>
        <v>0</v>
      </c>
      <c r="F62" s="99">
        <f t="shared" si="8"/>
        <v>0</v>
      </c>
      <c r="G62" s="96">
        <f t="shared" si="8"/>
        <v>1</v>
      </c>
      <c r="H62" s="97">
        <f t="shared" si="8"/>
        <v>2</v>
      </c>
      <c r="I62" s="98">
        <f t="shared" si="8"/>
        <v>0</v>
      </c>
      <c r="J62" s="99">
        <f t="shared" si="8"/>
        <v>0</v>
      </c>
      <c r="K62" s="96">
        <f t="shared" si="8"/>
        <v>1</v>
      </c>
      <c r="L62" s="97">
        <f t="shared" si="8"/>
        <v>1</v>
      </c>
      <c r="M62" s="98">
        <f t="shared" si="8"/>
        <v>0</v>
      </c>
      <c r="N62" s="99">
        <f t="shared" si="8"/>
        <v>0</v>
      </c>
      <c r="O62" s="96">
        <f t="shared" si="8"/>
        <v>1</v>
      </c>
      <c r="P62" s="97">
        <f t="shared" si="8"/>
        <v>0</v>
      </c>
      <c r="Q62" s="98">
        <f t="shared" si="8"/>
        <v>0</v>
      </c>
      <c r="R62" s="99">
        <f t="shared" si="8"/>
        <v>0</v>
      </c>
      <c r="S62" s="801" t="s">
        <v>17</v>
      </c>
      <c r="T62" s="802"/>
      <c r="U62" s="135">
        <f t="shared" si="2"/>
        <v>34</v>
      </c>
      <c r="V62" s="146">
        <f t="shared" si="5"/>
        <v>0.76470588235294112</v>
      </c>
      <c r="W62" s="146">
        <f t="shared" si="6"/>
        <v>0.29411764705882354</v>
      </c>
      <c r="X62" s="146">
        <f t="shared" si="7"/>
        <v>0.8</v>
      </c>
      <c r="Y62" s="146">
        <f t="shared" si="3"/>
        <v>0.82352941176470584</v>
      </c>
      <c r="Z62" s="90"/>
      <c r="AA62" s="257"/>
      <c r="AB62" s="91"/>
      <c r="AC62" s="26"/>
      <c r="AD62" s="26"/>
      <c r="AE62" s="26"/>
      <c r="AF62" s="26"/>
    </row>
    <row r="63" spans="1:32" ht="54.95" customHeight="1">
      <c r="A63" s="774" t="s">
        <v>10</v>
      </c>
      <c r="B63" s="775"/>
      <c r="C63" s="96">
        <f t="shared" ref="C63:R63" si="9">SUM(C18:C21)</f>
        <v>0</v>
      </c>
      <c r="D63" s="97">
        <f t="shared" si="9"/>
        <v>0</v>
      </c>
      <c r="E63" s="98">
        <f t="shared" si="9"/>
        <v>0</v>
      </c>
      <c r="F63" s="99">
        <f t="shared" si="9"/>
        <v>0</v>
      </c>
      <c r="G63" s="96">
        <f t="shared" si="9"/>
        <v>1</v>
      </c>
      <c r="H63" s="97">
        <f t="shared" si="9"/>
        <v>1</v>
      </c>
      <c r="I63" s="98">
        <f t="shared" si="9"/>
        <v>0</v>
      </c>
      <c r="J63" s="99">
        <f t="shared" si="9"/>
        <v>0</v>
      </c>
      <c r="K63" s="96">
        <f t="shared" si="9"/>
        <v>0</v>
      </c>
      <c r="L63" s="97">
        <f t="shared" si="9"/>
        <v>1</v>
      </c>
      <c r="M63" s="98">
        <f t="shared" si="9"/>
        <v>0</v>
      </c>
      <c r="N63" s="99">
        <f t="shared" si="9"/>
        <v>0</v>
      </c>
      <c r="O63" s="96">
        <f t="shared" si="9"/>
        <v>0</v>
      </c>
      <c r="P63" s="97">
        <f t="shared" si="9"/>
        <v>0</v>
      </c>
      <c r="Q63" s="98">
        <f t="shared" si="9"/>
        <v>0</v>
      </c>
      <c r="R63" s="99">
        <f t="shared" si="9"/>
        <v>0</v>
      </c>
      <c r="S63" s="801" t="s">
        <v>10</v>
      </c>
      <c r="T63" s="802"/>
      <c r="U63" s="135">
        <f t="shared" si="2"/>
        <v>13</v>
      </c>
      <c r="V63" s="146">
        <f t="shared" si="5"/>
        <v>0.61538461538461542</v>
      </c>
      <c r="W63" s="146">
        <f t="shared" si="6"/>
        <v>0.46153846153846156</v>
      </c>
      <c r="X63" s="146">
        <f t="shared" si="7"/>
        <v>0.66666666666666663</v>
      </c>
      <c r="Y63" s="146">
        <f t="shared" si="3"/>
        <v>0.76923076923076927</v>
      </c>
      <c r="Z63" s="90"/>
      <c r="AA63" s="257"/>
      <c r="AB63" s="91"/>
      <c r="AC63" s="26"/>
      <c r="AD63" s="26"/>
      <c r="AE63" s="26"/>
      <c r="AF63" s="26"/>
    </row>
    <row r="64" spans="1:32" ht="54.95" customHeight="1">
      <c r="A64" s="777" t="s">
        <v>29</v>
      </c>
      <c r="B64" s="778"/>
      <c r="C64" s="100">
        <f t="shared" ref="C64:R64" si="10">SUM(C20:C23)</f>
        <v>0</v>
      </c>
      <c r="D64" s="101">
        <f t="shared" si="10"/>
        <v>0</v>
      </c>
      <c r="E64" s="102">
        <f t="shared" si="10"/>
        <v>0</v>
      </c>
      <c r="F64" s="103">
        <f t="shared" si="10"/>
        <v>0</v>
      </c>
      <c r="G64" s="100">
        <f t="shared" si="10"/>
        <v>0</v>
      </c>
      <c r="H64" s="101">
        <f t="shared" si="10"/>
        <v>0</v>
      </c>
      <c r="I64" s="102">
        <f t="shared" si="10"/>
        <v>0</v>
      </c>
      <c r="J64" s="103">
        <f t="shared" si="10"/>
        <v>0</v>
      </c>
      <c r="K64" s="100">
        <f t="shared" si="10"/>
        <v>0</v>
      </c>
      <c r="L64" s="101">
        <f t="shared" si="10"/>
        <v>0</v>
      </c>
      <c r="M64" s="102">
        <f t="shared" si="10"/>
        <v>0</v>
      </c>
      <c r="N64" s="103">
        <f t="shared" si="10"/>
        <v>0</v>
      </c>
      <c r="O64" s="100">
        <f t="shared" si="10"/>
        <v>0</v>
      </c>
      <c r="P64" s="101">
        <f t="shared" si="10"/>
        <v>0</v>
      </c>
      <c r="Q64" s="102">
        <f t="shared" si="10"/>
        <v>0</v>
      </c>
      <c r="R64" s="103">
        <f t="shared" si="10"/>
        <v>0</v>
      </c>
      <c r="S64" s="803" t="s">
        <v>29</v>
      </c>
      <c r="T64" s="804"/>
      <c r="U64" s="136">
        <f t="shared" si="2"/>
        <v>0</v>
      </c>
      <c r="V64" s="148">
        <f t="shared" si="5"/>
        <v>0</v>
      </c>
      <c r="W64" s="148">
        <f t="shared" si="6"/>
        <v>0</v>
      </c>
      <c r="X64" s="148">
        <f t="shared" si="7"/>
        <v>0</v>
      </c>
      <c r="Y64" s="148">
        <f t="shared" si="3"/>
        <v>0</v>
      </c>
      <c r="Z64" s="132"/>
      <c r="AA64" s="258"/>
      <c r="AB64" s="133"/>
      <c r="AC64" s="26"/>
      <c r="AD64" s="26"/>
      <c r="AE64" s="26"/>
      <c r="AF64" s="26"/>
    </row>
    <row r="65" spans="1:35" ht="54.95" customHeight="1">
      <c r="A65" s="779" t="s">
        <v>12</v>
      </c>
      <c r="B65" s="780"/>
      <c r="C65" s="104">
        <f>SUM(C12:C23)</f>
        <v>0</v>
      </c>
      <c r="D65" s="105">
        <f t="shared" ref="D65:R65" si="11">SUM(D12:D23)</f>
        <v>0</v>
      </c>
      <c r="E65" s="106">
        <f t="shared" si="11"/>
        <v>0</v>
      </c>
      <c r="F65" s="107">
        <f t="shared" si="11"/>
        <v>0</v>
      </c>
      <c r="G65" s="104">
        <f t="shared" si="11"/>
        <v>1</v>
      </c>
      <c r="H65" s="105">
        <f t="shared" si="11"/>
        <v>2</v>
      </c>
      <c r="I65" s="106">
        <f t="shared" si="11"/>
        <v>0</v>
      </c>
      <c r="J65" s="107">
        <f t="shared" si="11"/>
        <v>0</v>
      </c>
      <c r="K65" s="104">
        <f t="shared" si="11"/>
        <v>1</v>
      </c>
      <c r="L65" s="105">
        <f t="shared" si="11"/>
        <v>1</v>
      </c>
      <c r="M65" s="106">
        <f t="shared" si="11"/>
        <v>0</v>
      </c>
      <c r="N65" s="107">
        <f t="shared" si="11"/>
        <v>0</v>
      </c>
      <c r="O65" s="104">
        <f t="shared" si="11"/>
        <v>1</v>
      </c>
      <c r="P65" s="105">
        <f t="shared" si="11"/>
        <v>1</v>
      </c>
      <c r="Q65" s="106">
        <f t="shared" si="11"/>
        <v>0</v>
      </c>
      <c r="R65" s="107">
        <f t="shared" si="11"/>
        <v>0</v>
      </c>
      <c r="S65" s="794" t="s">
        <v>12</v>
      </c>
      <c r="T65" s="795"/>
      <c r="U65" s="137">
        <f t="shared" si="2"/>
        <v>50</v>
      </c>
      <c r="V65" s="267">
        <f t="shared" si="5"/>
        <v>0.68</v>
      </c>
      <c r="W65" s="267">
        <f t="shared" si="6"/>
        <v>0.22</v>
      </c>
      <c r="X65" s="267">
        <f t="shared" si="7"/>
        <v>0.81818181818181823</v>
      </c>
      <c r="Y65" s="267">
        <f t="shared" si="3"/>
        <v>0.86</v>
      </c>
      <c r="Z65" s="259"/>
      <c r="AA65" s="260"/>
      <c r="AB65" s="138"/>
      <c r="AC65" s="26"/>
      <c r="AD65" s="26"/>
      <c r="AE65" s="26"/>
      <c r="AF65" s="26"/>
    </row>
    <row r="66" spans="1:35" ht="54.95" customHeight="1" thickBot="1">
      <c r="A66" s="781" t="str">
        <f>IF($U$60=MAX($U$60:$U$64),A60,IF($U$61=MAX($U$60:$U$64),A61,IF($U$62=MAX($U$60:$U$64),A62,IF($U$63=MAX($U$60:$U$64),A63,A64))))</f>
        <v>de 7:00 à 8:00</v>
      </c>
      <c r="B66" s="782"/>
      <c r="C66" s="115">
        <f>IF($U$60=MAX($U$60:$U$64),C60,IF($U$61=MAX($U$60:$U$64),C61,IF($U$62=MAX($U$60:$U$64),C62,IF($U$63=MAX($U$60:$U$64),(C63),C64))))</f>
        <v>0</v>
      </c>
      <c r="D66" s="116">
        <f t="shared" ref="D66:R66" si="12">IF($U$60=MAX($U$60:$U$64),D60,IF($U$61=MAX($U$60:$U$64),D61,IF($U$62=MAX($U$60:$U$64),D62,IF($U$63=MAX($U$60:$U$64),(D63),D64))))</f>
        <v>0</v>
      </c>
      <c r="E66" s="117">
        <f t="shared" si="12"/>
        <v>0</v>
      </c>
      <c r="F66" s="118">
        <f t="shared" si="12"/>
        <v>0</v>
      </c>
      <c r="G66" s="115">
        <f t="shared" si="12"/>
        <v>0</v>
      </c>
      <c r="H66" s="116">
        <f t="shared" si="12"/>
        <v>1</v>
      </c>
      <c r="I66" s="117">
        <f t="shared" si="12"/>
        <v>0</v>
      </c>
      <c r="J66" s="118">
        <f t="shared" si="12"/>
        <v>0</v>
      </c>
      <c r="K66" s="115">
        <f t="shared" si="12"/>
        <v>1</v>
      </c>
      <c r="L66" s="116">
        <f t="shared" si="12"/>
        <v>0</v>
      </c>
      <c r="M66" s="117">
        <f t="shared" si="12"/>
        <v>0</v>
      </c>
      <c r="N66" s="118">
        <f t="shared" si="12"/>
        <v>0</v>
      </c>
      <c r="O66" s="115">
        <f t="shared" si="12"/>
        <v>1</v>
      </c>
      <c r="P66" s="116">
        <f t="shared" si="12"/>
        <v>1</v>
      </c>
      <c r="Q66" s="117">
        <f t="shared" si="12"/>
        <v>0</v>
      </c>
      <c r="R66" s="118">
        <f t="shared" si="12"/>
        <v>0</v>
      </c>
      <c r="S66" s="796" t="str">
        <f>IF($U$60=MAX($U$60:$U$64),A60,IF($U$61=MAX($U$60:$U$64),A61,IF($U$62=MAX($U$60:$U$64),A62,IF($U$63=MAX($U$60:$U$64),A63,A64))))</f>
        <v>de 7:00 à 8:00</v>
      </c>
      <c r="T66" s="797"/>
      <c r="U66" s="156">
        <f>IF($U$60=MAX($U$60:$U$64),U60,IF($U$61=MAX($U$60:$U$64),U61,IF($U$62=MAX($U$60:$U$64),U62,IF($U$63=MAX($U$60:$U$64),(U63),U64))))</f>
        <v>37</v>
      </c>
      <c r="V66" s="268">
        <f t="shared" si="5"/>
        <v>0.70270270270270274</v>
      </c>
      <c r="W66" s="268">
        <f t="shared" si="6"/>
        <v>0.13513513513513514</v>
      </c>
      <c r="X66" s="268">
        <f t="shared" si="7"/>
        <v>1</v>
      </c>
      <c r="Y66" s="268">
        <f t="shared" si="3"/>
        <v>0.89189189189189189</v>
      </c>
      <c r="Z66" s="157"/>
      <c r="AA66" s="261"/>
      <c r="AB66" s="158"/>
      <c r="AC66" s="26"/>
      <c r="AD66" s="26"/>
      <c r="AE66" s="26"/>
      <c r="AF66" s="26"/>
    </row>
    <row r="67" spans="1:35" ht="12.75" customHeight="1" thickTop="1" thickBot="1">
      <c r="A67" s="31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113"/>
      <c r="S67" s="776"/>
      <c r="T67" s="776"/>
      <c r="U67" s="127"/>
      <c r="V67" s="128"/>
      <c r="W67" s="128"/>
      <c r="X67" s="128"/>
      <c r="Y67" s="128"/>
      <c r="Z67" s="129"/>
      <c r="AA67" s="129"/>
      <c r="AB67" s="129"/>
    </row>
    <row r="68" spans="1:35" ht="32.25" customHeight="1" thickTop="1">
      <c r="A68" s="29"/>
      <c r="B68" s="30"/>
      <c r="C68" s="798" t="str">
        <f>C32</f>
        <v>Depuis 'Reignier'</v>
      </c>
      <c r="D68" s="799"/>
      <c r="E68" s="799"/>
      <c r="F68" s="799"/>
      <c r="G68" s="799"/>
      <c r="H68" s="799"/>
      <c r="I68" s="799"/>
      <c r="J68" s="799"/>
      <c r="K68" s="798" t="str">
        <f>K32</f>
        <v>Depuis 'Monnetier - La Muraz'</v>
      </c>
      <c r="L68" s="799"/>
      <c r="M68" s="799"/>
      <c r="N68" s="799"/>
      <c r="O68" s="799"/>
      <c r="P68" s="799"/>
      <c r="Q68" s="799"/>
      <c r="R68" s="800"/>
      <c r="S68" s="776"/>
      <c r="T68" s="776"/>
      <c r="U68" s="127"/>
      <c r="V68" s="811" t="s">
        <v>115</v>
      </c>
      <c r="W68" s="811" t="s">
        <v>116</v>
      </c>
      <c r="X68" s="811" t="s">
        <v>117</v>
      </c>
      <c r="Y68" s="829" t="s">
        <v>19</v>
      </c>
      <c r="Z68" s="129"/>
      <c r="AA68" s="129"/>
      <c r="AB68" s="129"/>
      <c r="AC68" s="26"/>
      <c r="AD68" s="26"/>
      <c r="AE68" s="26"/>
      <c r="AF68" s="26"/>
    </row>
    <row r="69" spans="1:35" ht="22.7" customHeight="1">
      <c r="A69" s="29"/>
      <c r="B69" s="30"/>
      <c r="C69" s="791" t="str">
        <f>C33</f>
        <v>vers 'Château d'Etrembières'</v>
      </c>
      <c r="D69" s="792"/>
      <c r="E69" s="792"/>
      <c r="F69" s="792"/>
      <c r="G69" s="1064" t="str">
        <f>G33</f>
        <v>vers 'Etrembières - Autoroute'</v>
      </c>
      <c r="H69" s="1064"/>
      <c r="I69" s="1064"/>
      <c r="J69" s="1064"/>
      <c r="K69" s="791" t="str">
        <f>K33</f>
        <v>vers 'Château d'Etrembières'</v>
      </c>
      <c r="L69" s="792"/>
      <c r="M69" s="792"/>
      <c r="N69" s="792"/>
      <c r="O69" s="1064" t="str">
        <f>O33</f>
        <v>vers 'Etrembières - Autoroute'</v>
      </c>
      <c r="P69" s="1064"/>
      <c r="Q69" s="1064"/>
      <c r="R69" s="1065"/>
      <c r="S69" s="776"/>
      <c r="T69" s="776"/>
      <c r="U69" s="127"/>
      <c r="V69" s="812"/>
      <c r="W69" s="812"/>
      <c r="X69" s="812"/>
      <c r="Y69" s="830"/>
      <c r="Z69" s="129"/>
      <c r="AA69" s="129"/>
      <c r="AB69" s="129"/>
      <c r="AC69" s="26"/>
      <c r="AD69" s="26"/>
      <c r="AE69" s="26"/>
      <c r="AF69" s="26"/>
    </row>
    <row r="70" spans="1:35" ht="18.600000000000001" customHeight="1" thickBot="1">
      <c r="A70" s="29"/>
      <c r="B70" s="30"/>
      <c r="C70" s="989" t="s">
        <v>4</v>
      </c>
      <c r="D70" s="987"/>
      <c r="E70" s="984" t="s">
        <v>5</v>
      </c>
      <c r="F70" s="985"/>
      <c r="G70" s="986" t="s">
        <v>4</v>
      </c>
      <c r="H70" s="987"/>
      <c r="I70" s="984" t="s">
        <v>5</v>
      </c>
      <c r="J70" s="985"/>
      <c r="K70" s="986" t="s">
        <v>4</v>
      </c>
      <c r="L70" s="987"/>
      <c r="M70" s="984" t="s">
        <v>5</v>
      </c>
      <c r="N70" s="985"/>
      <c r="O70" s="986" t="s">
        <v>4</v>
      </c>
      <c r="P70" s="987"/>
      <c r="Q70" s="1004" t="s">
        <v>5</v>
      </c>
      <c r="R70" s="1005"/>
      <c r="S70" s="776"/>
      <c r="T70" s="776"/>
      <c r="U70" s="127"/>
      <c r="V70" s="812"/>
      <c r="W70" s="812"/>
      <c r="X70" s="812"/>
      <c r="Y70" s="830"/>
      <c r="Z70" s="129"/>
      <c r="AA70" s="129"/>
      <c r="AB70" s="129"/>
      <c r="AC70" s="26"/>
      <c r="AD70" s="26"/>
      <c r="AE70" s="26"/>
      <c r="AF70" s="26"/>
    </row>
    <row r="71" spans="1:35" ht="21.75" customHeight="1" thickTop="1">
      <c r="A71" s="789" t="s">
        <v>13</v>
      </c>
      <c r="B71" s="790"/>
      <c r="C71" s="17" t="s">
        <v>8</v>
      </c>
      <c r="D71" s="84" t="s">
        <v>9</v>
      </c>
      <c r="E71" s="85" t="s">
        <v>8</v>
      </c>
      <c r="F71" s="6" t="s">
        <v>9</v>
      </c>
      <c r="G71" s="3" t="s">
        <v>8</v>
      </c>
      <c r="H71" s="84" t="s">
        <v>9</v>
      </c>
      <c r="I71" s="85" t="s">
        <v>8</v>
      </c>
      <c r="J71" s="6" t="s">
        <v>9</v>
      </c>
      <c r="K71" s="3" t="s">
        <v>8</v>
      </c>
      <c r="L71" s="84" t="s">
        <v>9</v>
      </c>
      <c r="M71" s="85" t="s">
        <v>8</v>
      </c>
      <c r="N71" s="6" t="s">
        <v>9</v>
      </c>
      <c r="O71" s="3" t="s">
        <v>8</v>
      </c>
      <c r="P71" s="84" t="s">
        <v>9</v>
      </c>
      <c r="Q71" s="85" t="s">
        <v>8</v>
      </c>
      <c r="R71" s="18" t="s">
        <v>9</v>
      </c>
      <c r="S71" s="776"/>
      <c r="T71" s="776"/>
      <c r="U71" s="127"/>
      <c r="V71" s="813"/>
      <c r="W71" s="813"/>
      <c r="X71" s="813"/>
      <c r="Y71" s="831"/>
      <c r="Z71" s="129"/>
      <c r="AA71" s="129"/>
      <c r="AB71" s="129"/>
      <c r="AC71" s="26"/>
      <c r="AD71" s="26"/>
      <c r="AE71" s="26"/>
      <c r="AF71" s="26"/>
    </row>
    <row r="72" spans="1:35" ht="54.95" customHeight="1">
      <c r="A72" s="783" t="s">
        <v>28</v>
      </c>
      <c r="B72" s="784"/>
      <c r="C72" s="92">
        <f>SUM(C36:C39)</f>
        <v>3</v>
      </c>
      <c r="D72" s="93">
        <f t="shared" ref="D72:R72" si="13">SUM(D36:D39)</f>
        <v>3</v>
      </c>
      <c r="E72" s="94">
        <f t="shared" si="13"/>
        <v>0</v>
      </c>
      <c r="F72" s="95">
        <f t="shared" si="13"/>
        <v>0</v>
      </c>
      <c r="G72" s="92">
        <f t="shared" si="13"/>
        <v>0</v>
      </c>
      <c r="H72" s="93">
        <f t="shared" si="13"/>
        <v>2</v>
      </c>
      <c r="I72" s="94">
        <f t="shared" si="13"/>
        <v>0</v>
      </c>
      <c r="J72" s="95">
        <f t="shared" si="13"/>
        <v>0</v>
      </c>
      <c r="K72" s="92">
        <f t="shared" si="13"/>
        <v>2</v>
      </c>
      <c r="L72" s="93">
        <f t="shared" si="13"/>
        <v>0</v>
      </c>
      <c r="M72" s="94">
        <f t="shared" si="13"/>
        <v>1</v>
      </c>
      <c r="N72" s="95">
        <f t="shared" si="13"/>
        <v>0</v>
      </c>
      <c r="O72" s="92">
        <f t="shared" si="13"/>
        <v>2</v>
      </c>
      <c r="P72" s="93">
        <f t="shared" si="13"/>
        <v>2</v>
      </c>
      <c r="Q72" s="94">
        <f t="shared" si="13"/>
        <v>0</v>
      </c>
      <c r="R72" s="95">
        <f t="shared" si="13"/>
        <v>0</v>
      </c>
      <c r="S72" s="776"/>
      <c r="T72" s="776"/>
      <c r="U72" s="127"/>
      <c r="V72" s="262">
        <f>(C60+E60+G60+I60+K60+M60+O60+Q60+C72+E72+G72+I72+K72+M72+O72+Q72)</f>
        <v>8</v>
      </c>
      <c r="W72" s="262">
        <f>(E60+F60+I60+J60+M60+N60+Q60+R60+E72+F72+I72+J72+M72+N72+Q72+R72)</f>
        <v>1</v>
      </c>
      <c r="X72" s="262">
        <f>(E60+I60+M60+Q60+E72+I72+M72+Q72)</f>
        <v>1</v>
      </c>
      <c r="Y72" s="262">
        <f t="shared" ref="Y72:Y78" si="14">SUM(C72:R72)</f>
        <v>15</v>
      </c>
      <c r="Z72" s="129"/>
      <c r="AA72" s="129"/>
      <c r="AB72" s="129"/>
      <c r="AC72" s="26"/>
      <c r="AD72" s="26"/>
      <c r="AE72" s="26"/>
      <c r="AF72" s="26"/>
    </row>
    <row r="73" spans="1:35" ht="54.95" customHeight="1">
      <c r="A73" s="774" t="s">
        <v>11</v>
      </c>
      <c r="B73" s="775"/>
      <c r="C73" s="96">
        <f>SUM(C38:C41)</f>
        <v>4</v>
      </c>
      <c r="D73" s="97">
        <f t="shared" ref="D73:R73" si="15">SUM(D38:D41)</f>
        <v>4</v>
      </c>
      <c r="E73" s="98">
        <f t="shared" si="15"/>
        <v>0</v>
      </c>
      <c r="F73" s="99">
        <f t="shared" si="15"/>
        <v>0</v>
      </c>
      <c r="G73" s="96">
        <f t="shared" si="15"/>
        <v>3</v>
      </c>
      <c r="H73" s="97">
        <f t="shared" si="15"/>
        <v>3</v>
      </c>
      <c r="I73" s="98">
        <f t="shared" si="15"/>
        <v>1</v>
      </c>
      <c r="J73" s="99">
        <f t="shared" si="15"/>
        <v>0</v>
      </c>
      <c r="K73" s="96">
        <f t="shared" si="15"/>
        <v>3</v>
      </c>
      <c r="L73" s="97">
        <f t="shared" si="15"/>
        <v>0</v>
      </c>
      <c r="M73" s="98">
        <f t="shared" si="15"/>
        <v>2</v>
      </c>
      <c r="N73" s="99">
        <f t="shared" si="15"/>
        <v>0</v>
      </c>
      <c r="O73" s="96">
        <f t="shared" si="15"/>
        <v>9</v>
      </c>
      <c r="P73" s="97">
        <f t="shared" si="15"/>
        <v>2</v>
      </c>
      <c r="Q73" s="98">
        <f t="shared" si="15"/>
        <v>2</v>
      </c>
      <c r="R73" s="99">
        <f t="shared" si="15"/>
        <v>0</v>
      </c>
      <c r="S73" s="776"/>
      <c r="T73" s="776"/>
      <c r="U73" s="127"/>
      <c r="V73" s="263">
        <f t="shared" ref="V73:V78" si="16">(C61+E61+G61+I61+K61+M61+O61+Q61+C73+E73+G73+I73+K73+M73+O73+Q73)</f>
        <v>26</v>
      </c>
      <c r="W73" s="263">
        <f t="shared" ref="W73:W78" si="17">(E61+F61+I61+J61+M61+N61+Q61+R61+E73+F73+I73+J73+M73+N73+Q73+R73)</f>
        <v>5</v>
      </c>
      <c r="X73" s="263">
        <f t="shared" ref="X73:X78" si="18">(E61+I61+M61+Q61+E73+I73+M73+Q73)</f>
        <v>5</v>
      </c>
      <c r="Y73" s="263">
        <f t="shared" si="14"/>
        <v>33</v>
      </c>
      <c r="Z73" s="129"/>
      <c r="AA73" s="129"/>
      <c r="AB73" s="129"/>
      <c r="AC73" s="26"/>
      <c r="AD73" s="26"/>
      <c r="AE73" s="26"/>
      <c r="AF73" s="26"/>
    </row>
    <row r="74" spans="1:35" ht="54.95" customHeight="1">
      <c r="A74" s="774" t="s">
        <v>17</v>
      </c>
      <c r="B74" s="775"/>
      <c r="C74" s="96">
        <f>SUM(C40:C43)</f>
        <v>3</v>
      </c>
      <c r="D74" s="97">
        <f t="shared" ref="D74:R74" si="19">SUM(D40:D43)</f>
        <v>2</v>
      </c>
      <c r="E74" s="98">
        <f t="shared" si="19"/>
        <v>0</v>
      </c>
      <c r="F74" s="99">
        <f t="shared" si="19"/>
        <v>0</v>
      </c>
      <c r="G74" s="96">
        <f t="shared" si="19"/>
        <v>4</v>
      </c>
      <c r="H74" s="97">
        <f t="shared" si="19"/>
        <v>1</v>
      </c>
      <c r="I74" s="98">
        <f t="shared" si="19"/>
        <v>2</v>
      </c>
      <c r="J74" s="99">
        <f t="shared" si="19"/>
        <v>0</v>
      </c>
      <c r="K74" s="96">
        <f t="shared" si="19"/>
        <v>1</v>
      </c>
      <c r="L74" s="97">
        <f t="shared" si="19"/>
        <v>0</v>
      </c>
      <c r="M74" s="98">
        <f t="shared" si="19"/>
        <v>3</v>
      </c>
      <c r="N74" s="99">
        <f t="shared" si="19"/>
        <v>0</v>
      </c>
      <c r="O74" s="96">
        <f t="shared" si="19"/>
        <v>7</v>
      </c>
      <c r="P74" s="97">
        <f t="shared" si="19"/>
        <v>0</v>
      </c>
      <c r="Q74" s="98">
        <f t="shared" si="19"/>
        <v>3</v>
      </c>
      <c r="R74" s="99">
        <f t="shared" si="19"/>
        <v>2</v>
      </c>
      <c r="S74" s="776"/>
      <c r="T74" s="776"/>
      <c r="U74" s="127"/>
      <c r="V74" s="263">
        <f t="shared" si="16"/>
        <v>26</v>
      </c>
      <c r="W74" s="263">
        <f t="shared" si="17"/>
        <v>10</v>
      </c>
      <c r="X74" s="263">
        <f t="shared" si="18"/>
        <v>8</v>
      </c>
      <c r="Y74" s="263">
        <f t="shared" si="14"/>
        <v>28</v>
      </c>
      <c r="Z74" s="129"/>
      <c r="AA74" s="129"/>
      <c r="AB74" s="129"/>
      <c r="AC74" s="26"/>
      <c r="AD74" s="26"/>
      <c r="AE74" s="26"/>
      <c r="AF74" s="26"/>
    </row>
    <row r="75" spans="1:35" ht="54.95" customHeight="1">
      <c r="A75" s="774" t="s">
        <v>10</v>
      </c>
      <c r="B75" s="775"/>
      <c r="C75" s="96">
        <f>SUM(C42:C45)</f>
        <v>2</v>
      </c>
      <c r="D75" s="97">
        <f t="shared" ref="D75:R75" si="20">SUM(D42:D45)</f>
        <v>1</v>
      </c>
      <c r="E75" s="98">
        <f t="shared" si="20"/>
        <v>0</v>
      </c>
      <c r="F75" s="99">
        <f t="shared" si="20"/>
        <v>0</v>
      </c>
      <c r="G75" s="96">
        <f t="shared" si="20"/>
        <v>1</v>
      </c>
      <c r="H75" s="97">
        <f t="shared" si="20"/>
        <v>0</v>
      </c>
      <c r="I75" s="98">
        <f t="shared" si="20"/>
        <v>1</v>
      </c>
      <c r="J75" s="99">
        <f t="shared" si="20"/>
        <v>0</v>
      </c>
      <c r="K75" s="96">
        <f t="shared" si="20"/>
        <v>0</v>
      </c>
      <c r="L75" s="97">
        <f t="shared" si="20"/>
        <v>0</v>
      </c>
      <c r="M75" s="98">
        <f t="shared" si="20"/>
        <v>2</v>
      </c>
      <c r="N75" s="99">
        <f t="shared" si="20"/>
        <v>0</v>
      </c>
      <c r="O75" s="96">
        <f t="shared" si="20"/>
        <v>0</v>
      </c>
      <c r="P75" s="97">
        <f t="shared" si="20"/>
        <v>0</v>
      </c>
      <c r="Q75" s="98">
        <f t="shared" si="20"/>
        <v>1</v>
      </c>
      <c r="R75" s="99">
        <f t="shared" si="20"/>
        <v>2</v>
      </c>
      <c r="S75" s="776"/>
      <c r="T75" s="776"/>
      <c r="U75" s="127"/>
      <c r="V75" s="263">
        <f t="shared" si="16"/>
        <v>8</v>
      </c>
      <c r="W75" s="263">
        <f t="shared" si="17"/>
        <v>6</v>
      </c>
      <c r="X75" s="263">
        <f t="shared" si="18"/>
        <v>4</v>
      </c>
      <c r="Y75" s="263">
        <f t="shared" si="14"/>
        <v>10</v>
      </c>
      <c r="Z75" s="129"/>
      <c r="AA75" s="129"/>
      <c r="AB75" s="129"/>
      <c r="AC75" s="26"/>
      <c r="AD75" s="26"/>
      <c r="AE75" s="26"/>
      <c r="AF75" s="26"/>
    </row>
    <row r="76" spans="1:35" ht="54.95" customHeight="1">
      <c r="A76" s="777" t="s">
        <v>29</v>
      </c>
      <c r="B76" s="778"/>
      <c r="C76" s="100">
        <f>SUM(C44:C47)</f>
        <v>0</v>
      </c>
      <c r="D76" s="101">
        <f t="shared" ref="D76:R76" si="21">SUM(D44:D47)</f>
        <v>0</v>
      </c>
      <c r="E76" s="102">
        <f t="shared" si="21"/>
        <v>0</v>
      </c>
      <c r="F76" s="103">
        <f t="shared" si="21"/>
        <v>0</v>
      </c>
      <c r="G76" s="100">
        <f t="shared" si="21"/>
        <v>0</v>
      </c>
      <c r="H76" s="101">
        <f t="shared" si="21"/>
        <v>0</v>
      </c>
      <c r="I76" s="102">
        <f t="shared" si="21"/>
        <v>0</v>
      </c>
      <c r="J76" s="103">
        <f t="shared" si="21"/>
        <v>0</v>
      </c>
      <c r="K76" s="100">
        <f t="shared" si="21"/>
        <v>0</v>
      </c>
      <c r="L76" s="101">
        <f t="shared" si="21"/>
        <v>0</v>
      </c>
      <c r="M76" s="102">
        <f t="shared" si="21"/>
        <v>0</v>
      </c>
      <c r="N76" s="103">
        <f t="shared" si="21"/>
        <v>0</v>
      </c>
      <c r="O76" s="100">
        <f t="shared" si="21"/>
        <v>0</v>
      </c>
      <c r="P76" s="101">
        <f t="shared" si="21"/>
        <v>0</v>
      </c>
      <c r="Q76" s="102">
        <f t="shared" si="21"/>
        <v>0</v>
      </c>
      <c r="R76" s="103">
        <f t="shared" si="21"/>
        <v>0</v>
      </c>
      <c r="S76" s="776"/>
      <c r="T76" s="776"/>
      <c r="U76" s="127"/>
      <c r="V76" s="264">
        <f t="shared" si="16"/>
        <v>0</v>
      </c>
      <c r="W76" s="264">
        <f t="shared" si="17"/>
        <v>0</v>
      </c>
      <c r="X76" s="264">
        <f t="shared" si="18"/>
        <v>0</v>
      </c>
      <c r="Y76" s="264">
        <f t="shared" si="14"/>
        <v>0</v>
      </c>
      <c r="Z76" s="129"/>
      <c r="AA76" s="129"/>
      <c r="AB76" s="129"/>
      <c r="AC76" s="26"/>
      <c r="AD76" s="26"/>
      <c r="AE76" s="26"/>
      <c r="AF76" s="26"/>
    </row>
    <row r="77" spans="1:35" ht="54.95" customHeight="1">
      <c r="A77" s="779" t="s">
        <v>12</v>
      </c>
      <c r="B77" s="780"/>
      <c r="C77" s="104">
        <f>SUM(C36:C47)</f>
        <v>6</v>
      </c>
      <c r="D77" s="105">
        <f t="shared" ref="D77:R77" si="22">SUM(D36:D47)</f>
        <v>5</v>
      </c>
      <c r="E77" s="106">
        <f t="shared" si="22"/>
        <v>0</v>
      </c>
      <c r="F77" s="107">
        <f t="shared" si="22"/>
        <v>0</v>
      </c>
      <c r="G77" s="104">
        <f t="shared" si="22"/>
        <v>4</v>
      </c>
      <c r="H77" s="105">
        <f t="shared" si="22"/>
        <v>3</v>
      </c>
      <c r="I77" s="106">
        <f t="shared" si="22"/>
        <v>2</v>
      </c>
      <c r="J77" s="107">
        <f t="shared" si="22"/>
        <v>0</v>
      </c>
      <c r="K77" s="104">
        <f t="shared" si="22"/>
        <v>3</v>
      </c>
      <c r="L77" s="105">
        <f t="shared" si="22"/>
        <v>0</v>
      </c>
      <c r="M77" s="106">
        <f t="shared" si="22"/>
        <v>4</v>
      </c>
      <c r="N77" s="107">
        <f t="shared" si="22"/>
        <v>0</v>
      </c>
      <c r="O77" s="104">
        <f t="shared" si="22"/>
        <v>9</v>
      </c>
      <c r="P77" s="105">
        <f t="shared" si="22"/>
        <v>2</v>
      </c>
      <c r="Q77" s="106">
        <f t="shared" si="22"/>
        <v>3</v>
      </c>
      <c r="R77" s="107">
        <f t="shared" si="22"/>
        <v>2</v>
      </c>
      <c r="S77" s="130"/>
      <c r="T77" s="130"/>
      <c r="U77" s="130"/>
      <c r="V77" s="265">
        <f t="shared" si="16"/>
        <v>34</v>
      </c>
      <c r="W77" s="265">
        <f t="shared" si="17"/>
        <v>11</v>
      </c>
      <c r="X77" s="265">
        <f t="shared" si="18"/>
        <v>9</v>
      </c>
      <c r="Y77" s="265">
        <f t="shared" si="14"/>
        <v>43</v>
      </c>
      <c r="Z77" s="130"/>
      <c r="AA77" s="130"/>
      <c r="AB77" s="130"/>
      <c r="AC77" s="26"/>
      <c r="AD77" s="26"/>
      <c r="AE77" s="26"/>
      <c r="AF77" s="26"/>
    </row>
    <row r="78" spans="1:35" ht="54.95" customHeight="1" thickBot="1">
      <c r="A78" s="781" t="str">
        <f>IF($U$60=MAX($U$60:$U$64),A72,IF($U$61=MAX($U$60:$U$64),A73,IF($U$62=MAX($U$60:$U$64),A74,IF($U$63=MAX($U$60:$U$64),A75,A76))))</f>
        <v>de 7:00 à 8:00</v>
      </c>
      <c r="B78" s="782"/>
      <c r="C78" s="115">
        <f t="shared" ref="C78:R78" si="23">IF($U$60=MAX($U$60:$U$64),C72,IF($U$61=MAX($U$60:$U$64),C73,IF($U$62=MAX($U$60:$U$64),C74,IF($U$63=MAX($U$60:$U$64),C75,C76))))</f>
        <v>4</v>
      </c>
      <c r="D78" s="116">
        <f t="shared" si="23"/>
        <v>4</v>
      </c>
      <c r="E78" s="117">
        <f t="shared" si="23"/>
        <v>0</v>
      </c>
      <c r="F78" s="118">
        <f t="shared" si="23"/>
        <v>0</v>
      </c>
      <c r="G78" s="115">
        <f t="shared" si="23"/>
        <v>3</v>
      </c>
      <c r="H78" s="116">
        <f t="shared" si="23"/>
        <v>3</v>
      </c>
      <c r="I78" s="117">
        <f t="shared" si="23"/>
        <v>1</v>
      </c>
      <c r="J78" s="118">
        <f t="shared" si="23"/>
        <v>0</v>
      </c>
      <c r="K78" s="115">
        <f t="shared" si="23"/>
        <v>3</v>
      </c>
      <c r="L78" s="116">
        <f t="shared" si="23"/>
        <v>0</v>
      </c>
      <c r="M78" s="117">
        <f t="shared" si="23"/>
        <v>2</v>
      </c>
      <c r="N78" s="118">
        <f t="shared" si="23"/>
        <v>0</v>
      </c>
      <c r="O78" s="115">
        <f t="shared" si="23"/>
        <v>9</v>
      </c>
      <c r="P78" s="116">
        <f t="shared" si="23"/>
        <v>2</v>
      </c>
      <c r="Q78" s="117">
        <f t="shared" si="23"/>
        <v>2</v>
      </c>
      <c r="R78" s="118">
        <f t="shared" si="23"/>
        <v>0</v>
      </c>
      <c r="S78" s="130"/>
      <c r="T78" s="130"/>
      <c r="U78" s="130"/>
      <c r="V78" s="266">
        <f t="shared" si="16"/>
        <v>26</v>
      </c>
      <c r="W78" s="266">
        <f t="shared" si="17"/>
        <v>5</v>
      </c>
      <c r="X78" s="266">
        <f t="shared" si="18"/>
        <v>5</v>
      </c>
      <c r="Y78" s="266">
        <f t="shared" si="14"/>
        <v>33</v>
      </c>
      <c r="Z78" s="130"/>
      <c r="AA78" s="130"/>
      <c r="AB78" s="130"/>
      <c r="AC78" s="26"/>
      <c r="AD78" s="26"/>
      <c r="AE78" s="26"/>
      <c r="AF78" s="26"/>
    </row>
    <row r="79" spans="1:35" ht="9" customHeight="1" thickTop="1">
      <c r="A79" s="13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131"/>
      <c r="T79" s="71"/>
      <c r="U79" s="71"/>
      <c r="V79" s="71"/>
      <c r="W79" s="71"/>
      <c r="X79" s="71"/>
      <c r="Y79" s="71"/>
      <c r="Z79" s="71"/>
      <c r="AA79" s="71"/>
      <c r="AB79" s="71"/>
      <c r="AC79" s="7"/>
      <c r="AD79" s="1"/>
      <c r="AE79" s="7"/>
      <c r="AF79" s="7"/>
      <c r="AG79" s="7"/>
      <c r="AH79" s="7"/>
      <c r="AI79" s="7"/>
    </row>
  </sheetData>
  <mergeCells count="100">
    <mergeCell ref="V68:V71"/>
    <mergeCell ref="W68:W71"/>
    <mergeCell ref="X68:X71"/>
    <mergeCell ref="Y68:Y71"/>
    <mergeCell ref="Z56:AB59"/>
    <mergeCell ref="Y56:Y59"/>
    <mergeCell ref="X56:X59"/>
    <mergeCell ref="S65:T65"/>
    <mergeCell ref="S68:T68"/>
    <mergeCell ref="S69:T69"/>
    <mergeCell ref="S70:T70"/>
    <mergeCell ref="S71:T71"/>
    <mergeCell ref="S67:T67"/>
    <mergeCell ref="S66:T66"/>
    <mergeCell ref="S74:T74"/>
    <mergeCell ref="A75:B75"/>
    <mergeCell ref="S75:T75"/>
    <mergeCell ref="A73:B73"/>
    <mergeCell ref="S76:T76"/>
    <mergeCell ref="S73:T73"/>
    <mergeCell ref="C69:F69"/>
    <mergeCell ref="G69:J69"/>
    <mergeCell ref="A77:B77"/>
    <mergeCell ref="A78:B78"/>
    <mergeCell ref="A76:B76"/>
    <mergeCell ref="A74:B74"/>
    <mergeCell ref="M70:N70"/>
    <mergeCell ref="O70:P70"/>
    <mergeCell ref="Q70:R70"/>
    <mergeCell ref="A71:B71"/>
    <mergeCell ref="A72:B72"/>
    <mergeCell ref="C70:D70"/>
    <mergeCell ref="E70:F70"/>
    <mergeCell ref="G70:H70"/>
    <mergeCell ref="I70:J70"/>
    <mergeCell ref="K70:L70"/>
    <mergeCell ref="A65:B65"/>
    <mergeCell ref="A66:B66"/>
    <mergeCell ref="C68:J68"/>
    <mergeCell ref="K68:R68"/>
    <mergeCell ref="M34:N34"/>
    <mergeCell ref="O34:P34"/>
    <mergeCell ref="Q34:R34"/>
    <mergeCell ref="C34:D34"/>
    <mergeCell ref="E34:F34"/>
    <mergeCell ref="G34:H34"/>
    <mergeCell ref="I34:J34"/>
    <mergeCell ref="K34:L34"/>
    <mergeCell ref="A60:B60"/>
    <mergeCell ref="A61:B61"/>
    <mergeCell ref="A59:B59"/>
    <mergeCell ref="A63:B63"/>
    <mergeCell ref="K32:R32"/>
    <mergeCell ref="C33:F33"/>
    <mergeCell ref="G33:J33"/>
    <mergeCell ref="K33:N33"/>
    <mergeCell ref="O33:R33"/>
    <mergeCell ref="K8:R8"/>
    <mergeCell ref="K9:N9"/>
    <mergeCell ref="O9:R9"/>
    <mergeCell ref="K10:L10"/>
    <mergeCell ref="M10:N10"/>
    <mergeCell ref="O10:P10"/>
    <mergeCell ref="Q10:R10"/>
    <mergeCell ref="O57:R57"/>
    <mergeCell ref="K58:L58"/>
    <mergeCell ref="M58:N58"/>
    <mergeCell ref="O58:P58"/>
    <mergeCell ref="Q58:R58"/>
    <mergeCell ref="U56:U59"/>
    <mergeCell ref="V56:V59"/>
    <mergeCell ref="W56:W59"/>
    <mergeCell ref="S63:T63"/>
    <mergeCell ref="S64:T64"/>
    <mergeCell ref="S72:T72"/>
    <mergeCell ref="C56:J56"/>
    <mergeCell ref="C57:F57"/>
    <mergeCell ref="G57:J57"/>
    <mergeCell ref="C58:D58"/>
    <mergeCell ref="E58:F58"/>
    <mergeCell ref="G58:H58"/>
    <mergeCell ref="I58:J58"/>
    <mergeCell ref="S59:T59"/>
    <mergeCell ref="S60:T60"/>
    <mergeCell ref="S61:T61"/>
    <mergeCell ref="S62:T62"/>
    <mergeCell ref="K69:N69"/>
    <mergeCell ref="O69:R69"/>
    <mergeCell ref="K56:R56"/>
    <mergeCell ref="K57:N57"/>
    <mergeCell ref="A64:B64"/>
    <mergeCell ref="A62:B62"/>
    <mergeCell ref="C8:J8"/>
    <mergeCell ref="C9:F9"/>
    <mergeCell ref="G9:J9"/>
    <mergeCell ref="C10:D10"/>
    <mergeCell ref="E10:F10"/>
    <mergeCell ref="G10:H10"/>
    <mergeCell ref="I10:J10"/>
    <mergeCell ref="C32:J32"/>
  </mergeCells>
  <pageMargins left="0.39370078740157483" right="0.39370078740157483" top="0.39370078740157483" bottom="0.39370078740157483" header="0.59055118110236227" footer="0.59055118110236227"/>
  <pageSetup paperSize="9" scale="39" fitToWidth="0" fitToHeight="0" pageOrder="overThenDown" orientation="landscape" useFirstPageNumber="1" r:id="rId1"/>
  <headerFooter alignWithMargins="0"/>
  <rowBreaks count="2" manualBreakCount="2">
    <brk id="48" max="16383" man="1"/>
    <brk id="79" max="27" man="1"/>
  </rowBreaks>
  <colBreaks count="1" manualBreakCount="1">
    <brk id="18" min="48" max="78" man="1"/>
  </colBreaks>
  <ignoredErrors>
    <ignoredError sqref="U61:U62 U60" evalError="1"/>
    <ignoredError sqref="C67:Z67 C66:T66 R63:T65 C63:Q65 C60:Q62 C77:U77 C68:U76 Z68:Z76 Z77" formulaRange="1"/>
    <ignoredError sqref="U64 U66 U63" evalError="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L55"/>
  <sheetViews>
    <sheetView view="pageBreakPreview" topLeftCell="D10" zoomScale="85" zoomScaleNormal="40" zoomScaleSheetLayoutView="85" workbookViewId="0">
      <selection activeCell="S19" sqref="S19"/>
    </sheetView>
  </sheetViews>
  <sheetFormatPr baseColWidth="10" defaultRowHeight="14.25"/>
  <cols>
    <col min="1" max="1" width="9.125" style="8" customWidth="1"/>
    <col min="2" max="2" width="13.75" style="8" customWidth="1"/>
    <col min="3" max="26" width="10.875" style="8" customWidth="1"/>
    <col min="27" max="27" width="9.125" style="8" customWidth="1"/>
    <col min="28" max="28" width="13.75" style="8" customWidth="1"/>
    <col min="29" max="36" width="21.125" style="8" customWidth="1"/>
    <col min="37" max="37" width="82.625" style="8" customWidth="1"/>
    <col min="38" max="38" width="21.125" style="8" customWidth="1"/>
    <col min="39" max="43" width="10.625" style="8" customWidth="1"/>
    <col min="44" max="16384" width="11" style="8"/>
  </cols>
  <sheetData>
    <row r="1" spans="1:36" ht="52.5" customHeight="1" thickBot="1">
      <c r="A1" s="374" t="s">
        <v>89</v>
      </c>
      <c r="B1" s="375" t="s">
        <v>33</v>
      </c>
      <c r="C1" s="376"/>
      <c r="D1" s="376"/>
      <c r="E1" s="376"/>
      <c r="F1" s="377"/>
      <c r="G1" s="377"/>
      <c r="H1" s="376"/>
      <c r="I1" s="376"/>
      <c r="J1" s="377"/>
      <c r="K1" s="377"/>
      <c r="L1" s="378"/>
      <c r="M1" s="331" t="s">
        <v>30</v>
      </c>
      <c r="N1" s="332" t="s">
        <v>141</v>
      </c>
      <c r="O1" s="376"/>
      <c r="P1" s="376"/>
      <c r="Q1" s="376"/>
      <c r="R1" s="376"/>
      <c r="S1" s="376"/>
      <c r="T1" s="376"/>
      <c r="U1" s="376"/>
      <c r="V1" s="380"/>
      <c r="W1" s="381"/>
      <c r="X1" s="381"/>
      <c r="Y1" s="381"/>
      <c r="Z1" s="382"/>
    </row>
    <row r="2" spans="1:36" ht="52.5" customHeight="1" thickBot="1">
      <c r="A2" s="318" t="s">
        <v>2</v>
      </c>
      <c r="B2" s="319"/>
      <c r="C2" s="319"/>
      <c r="D2" s="319"/>
      <c r="E2" s="319"/>
      <c r="F2" s="319"/>
      <c r="G2" s="375" t="s">
        <v>138</v>
      </c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  <c r="V2" s="380"/>
      <c r="W2" s="319"/>
      <c r="X2" s="319"/>
      <c r="Y2" s="319"/>
      <c r="Z2" s="319"/>
    </row>
    <row r="3" spans="1:36" ht="52.5" hidden="1" customHeight="1" thickBot="1">
      <c r="A3" s="318" t="s">
        <v>3</v>
      </c>
      <c r="B3" s="319"/>
      <c r="C3" s="375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80"/>
      <c r="W3" s="319"/>
      <c r="X3" s="319"/>
      <c r="Y3" s="319"/>
      <c r="Z3" s="336"/>
    </row>
    <row r="4" spans="1:36" ht="52.5" customHeight="1" thickBot="1">
      <c r="A4" s="318" t="s">
        <v>27</v>
      </c>
      <c r="B4" s="319"/>
      <c r="C4" s="375" t="s">
        <v>145</v>
      </c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U4" s="376"/>
      <c r="V4" s="380"/>
      <c r="W4" s="319"/>
      <c r="X4" s="319"/>
      <c r="Y4" s="319"/>
      <c r="Z4" s="336"/>
    </row>
    <row r="5" spans="1:36" ht="25.5" customHeight="1">
      <c r="A5" s="318" t="s">
        <v>71</v>
      </c>
      <c r="B5" s="319"/>
      <c r="C5" s="319" t="s">
        <v>72</v>
      </c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36"/>
      <c r="S5" s="319"/>
      <c r="T5" s="319"/>
      <c r="U5" s="319"/>
      <c r="V5" s="319"/>
      <c r="W5" s="319"/>
      <c r="X5" s="319"/>
      <c r="Y5" s="319"/>
      <c r="Z5" s="336"/>
    </row>
    <row r="6" spans="1:36" ht="25.5" customHeight="1">
      <c r="A6" s="337"/>
      <c r="B6" s="319"/>
      <c r="C6" s="319" t="s">
        <v>91</v>
      </c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36"/>
      <c r="S6" s="319"/>
      <c r="T6" s="319"/>
      <c r="U6" s="319"/>
      <c r="V6" s="319"/>
      <c r="W6" s="319"/>
      <c r="X6" s="319"/>
      <c r="Y6" s="319"/>
      <c r="Z6" s="336"/>
    </row>
    <row r="7" spans="1:36" ht="25.5" customHeight="1" thickBot="1">
      <c r="A7" s="337"/>
      <c r="B7" s="319"/>
      <c r="C7" s="319"/>
      <c r="D7" s="319"/>
      <c r="E7" s="319"/>
      <c r="F7" s="319"/>
      <c r="G7" s="319"/>
      <c r="H7" s="319"/>
      <c r="I7" s="319"/>
      <c r="J7" s="319"/>
      <c r="K7" s="319"/>
      <c r="L7" s="319"/>
      <c r="M7" s="319"/>
      <c r="N7" s="319"/>
      <c r="O7" s="319"/>
      <c r="P7" s="319"/>
      <c r="Q7" s="319"/>
      <c r="R7" s="336"/>
      <c r="S7" s="319"/>
      <c r="T7" s="319"/>
      <c r="U7" s="319"/>
      <c r="V7" s="319"/>
      <c r="W7" s="319"/>
      <c r="X7" s="319"/>
      <c r="Y7" s="319"/>
      <c r="Z7" s="336"/>
    </row>
    <row r="8" spans="1:36" ht="32.25" customHeight="1" thickTop="1">
      <c r="A8" s="384"/>
      <c r="B8" s="385"/>
      <c r="C8" s="826" t="s">
        <v>44</v>
      </c>
      <c r="D8" s="827"/>
      <c r="E8" s="827"/>
      <c r="F8" s="827"/>
      <c r="G8" s="827"/>
      <c r="H8" s="827"/>
      <c r="I8" s="827"/>
      <c r="J8" s="827"/>
      <c r="K8" s="827" t="s">
        <v>46</v>
      </c>
      <c r="L8" s="827"/>
      <c r="M8" s="827"/>
      <c r="N8" s="827"/>
      <c r="O8" s="827"/>
      <c r="P8" s="827"/>
      <c r="Q8" s="827"/>
      <c r="R8" s="828"/>
      <c r="S8" s="827" t="s">
        <v>39</v>
      </c>
      <c r="T8" s="827"/>
      <c r="U8" s="827"/>
      <c r="V8" s="827"/>
      <c r="W8" s="827"/>
      <c r="X8" s="827"/>
      <c r="Y8" s="827"/>
      <c r="Z8" s="828"/>
      <c r="AA8" s="19"/>
      <c r="AB8" s="19"/>
      <c r="AD8" s="9"/>
      <c r="AE8" s="9"/>
      <c r="AF8" s="9"/>
      <c r="AG8" s="9"/>
      <c r="AH8" s="9"/>
      <c r="AI8" s="9"/>
      <c r="AJ8" s="9"/>
    </row>
    <row r="9" spans="1:36" ht="22.7" customHeight="1">
      <c r="A9" s="384"/>
      <c r="B9" s="385"/>
      <c r="C9" s="823" t="s">
        <v>37</v>
      </c>
      <c r="D9" s="824"/>
      <c r="E9" s="824"/>
      <c r="F9" s="824"/>
      <c r="G9" s="1012" t="s">
        <v>45</v>
      </c>
      <c r="H9" s="1012"/>
      <c r="I9" s="1012"/>
      <c r="J9" s="1012"/>
      <c r="K9" s="824" t="s">
        <v>37</v>
      </c>
      <c r="L9" s="824"/>
      <c r="M9" s="824"/>
      <c r="N9" s="824"/>
      <c r="O9" s="1012" t="s">
        <v>47</v>
      </c>
      <c r="P9" s="1012"/>
      <c r="Q9" s="1012"/>
      <c r="R9" s="1013"/>
      <c r="S9" s="824" t="s">
        <v>47</v>
      </c>
      <c r="T9" s="824"/>
      <c r="U9" s="824"/>
      <c r="V9" s="824"/>
      <c r="W9" s="1012" t="s">
        <v>45</v>
      </c>
      <c r="X9" s="1012"/>
      <c r="Y9" s="1012"/>
      <c r="Z9" s="1013"/>
      <c r="AA9" s="19"/>
      <c r="AB9" s="19"/>
    </row>
    <row r="10" spans="1:36" ht="18.600000000000001" customHeight="1" thickBot="1">
      <c r="A10" s="384"/>
      <c r="B10" s="385"/>
      <c r="C10" s="1014" t="s">
        <v>4</v>
      </c>
      <c r="D10" s="1003"/>
      <c r="E10" s="820" t="s">
        <v>5</v>
      </c>
      <c r="F10" s="822"/>
      <c r="G10" s="1002" t="s">
        <v>4</v>
      </c>
      <c r="H10" s="1003"/>
      <c r="I10" s="820" t="s">
        <v>5</v>
      </c>
      <c r="J10" s="822"/>
      <c r="K10" s="1002" t="s">
        <v>4</v>
      </c>
      <c r="L10" s="1003"/>
      <c r="M10" s="820" t="s">
        <v>5</v>
      </c>
      <c r="N10" s="822"/>
      <c r="O10" s="1002" t="s">
        <v>4</v>
      </c>
      <c r="P10" s="1003"/>
      <c r="Q10" s="820" t="s">
        <v>5</v>
      </c>
      <c r="R10" s="821"/>
      <c r="S10" s="1002" t="s">
        <v>4</v>
      </c>
      <c r="T10" s="1003"/>
      <c r="U10" s="820" t="s">
        <v>5</v>
      </c>
      <c r="V10" s="822"/>
      <c r="W10" s="1002" t="s">
        <v>4</v>
      </c>
      <c r="X10" s="1003"/>
      <c r="Y10" s="820" t="s">
        <v>5</v>
      </c>
      <c r="Z10" s="821"/>
      <c r="AA10" s="19"/>
      <c r="AB10" s="19"/>
    </row>
    <row r="11" spans="1:36" ht="21" thickTop="1">
      <c r="A11" s="388" t="s">
        <v>6</v>
      </c>
      <c r="B11" s="389" t="s">
        <v>7</v>
      </c>
      <c r="C11" s="338" t="s">
        <v>8</v>
      </c>
      <c r="D11" s="339" t="s">
        <v>9</v>
      </c>
      <c r="E11" s="340" t="s">
        <v>8</v>
      </c>
      <c r="F11" s="341" t="s">
        <v>9</v>
      </c>
      <c r="G11" s="342" t="s">
        <v>8</v>
      </c>
      <c r="H11" s="339" t="s">
        <v>9</v>
      </c>
      <c r="I11" s="340" t="s">
        <v>8</v>
      </c>
      <c r="J11" s="341" t="s">
        <v>9</v>
      </c>
      <c r="K11" s="342" t="s">
        <v>8</v>
      </c>
      <c r="L11" s="339" t="s">
        <v>9</v>
      </c>
      <c r="M11" s="340" t="s">
        <v>8</v>
      </c>
      <c r="N11" s="341" t="s">
        <v>9</v>
      </c>
      <c r="O11" s="342" t="s">
        <v>8</v>
      </c>
      <c r="P11" s="339" t="s">
        <v>9</v>
      </c>
      <c r="Q11" s="340" t="s">
        <v>8</v>
      </c>
      <c r="R11" s="343" t="s">
        <v>9</v>
      </c>
      <c r="S11" s="342" t="s">
        <v>8</v>
      </c>
      <c r="T11" s="339" t="s">
        <v>9</v>
      </c>
      <c r="U11" s="340" t="s">
        <v>8</v>
      </c>
      <c r="V11" s="341" t="s">
        <v>9</v>
      </c>
      <c r="W11" s="342" t="s">
        <v>8</v>
      </c>
      <c r="X11" s="339" t="s">
        <v>9</v>
      </c>
      <c r="Y11" s="340" t="s">
        <v>8</v>
      </c>
      <c r="Z11" s="343" t="s">
        <v>9</v>
      </c>
      <c r="AA11" s="19"/>
      <c r="AB11" s="19"/>
      <c r="AC11" s="10"/>
    </row>
    <row r="12" spans="1:36" ht="54.95" customHeight="1">
      <c r="A12" s="391">
        <v>6</v>
      </c>
      <c r="B12" s="392" t="s">
        <v>25</v>
      </c>
      <c r="C12" s="467"/>
      <c r="D12" s="468"/>
      <c r="E12" s="469"/>
      <c r="F12" s="470"/>
      <c r="G12" s="471"/>
      <c r="H12" s="468"/>
      <c r="I12" s="469"/>
      <c r="J12" s="470"/>
      <c r="K12" s="471"/>
      <c r="L12" s="468"/>
      <c r="M12" s="469"/>
      <c r="N12" s="470"/>
      <c r="O12" s="471"/>
      <c r="P12" s="468"/>
      <c r="Q12" s="469"/>
      <c r="R12" s="472"/>
      <c r="S12" s="471"/>
      <c r="T12" s="468"/>
      <c r="U12" s="469"/>
      <c r="V12" s="470"/>
      <c r="W12" s="471"/>
      <c r="X12" s="468"/>
      <c r="Y12" s="469"/>
      <c r="Z12" s="472"/>
      <c r="AA12" s="19"/>
      <c r="AB12" s="19"/>
      <c r="AC12" s="2"/>
      <c r="AD12" s="2"/>
      <c r="AE12" s="2"/>
      <c r="AF12" s="2"/>
      <c r="AG12" s="2"/>
      <c r="AH12" s="2"/>
      <c r="AI12" s="2"/>
      <c r="AJ12" s="2"/>
    </row>
    <row r="13" spans="1:36" ht="54.95" customHeight="1">
      <c r="A13" s="391"/>
      <c r="B13" s="392" t="s">
        <v>26</v>
      </c>
      <c r="C13" s="467"/>
      <c r="D13" s="468"/>
      <c r="E13" s="469"/>
      <c r="F13" s="470"/>
      <c r="G13" s="471"/>
      <c r="H13" s="468"/>
      <c r="I13" s="469"/>
      <c r="J13" s="470"/>
      <c r="K13" s="471"/>
      <c r="L13" s="468"/>
      <c r="M13" s="469"/>
      <c r="N13" s="470"/>
      <c r="O13" s="471"/>
      <c r="P13" s="468"/>
      <c r="Q13" s="469"/>
      <c r="R13" s="472"/>
      <c r="S13" s="471"/>
      <c r="T13" s="468"/>
      <c r="U13" s="469"/>
      <c r="V13" s="470"/>
      <c r="W13" s="471"/>
      <c r="X13" s="468"/>
      <c r="Y13" s="469"/>
      <c r="Z13" s="472"/>
      <c r="AA13" s="19"/>
      <c r="AB13" s="19"/>
      <c r="AC13" s="2"/>
      <c r="AD13" s="2"/>
      <c r="AE13" s="2"/>
      <c r="AF13" s="2"/>
      <c r="AG13" s="2"/>
      <c r="AH13" s="2"/>
      <c r="AI13" s="2"/>
      <c r="AJ13" s="2"/>
    </row>
    <row r="14" spans="1:36" ht="54.95" customHeight="1">
      <c r="A14" s="391">
        <v>7</v>
      </c>
      <c r="B14" s="392" t="s">
        <v>23</v>
      </c>
      <c r="C14" s="467"/>
      <c r="D14" s="468"/>
      <c r="E14" s="469"/>
      <c r="F14" s="470"/>
      <c r="G14" s="471"/>
      <c r="H14" s="468"/>
      <c r="I14" s="469"/>
      <c r="J14" s="470"/>
      <c r="K14" s="471"/>
      <c r="L14" s="468"/>
      <c r="M14" s="469"/>
      <c r="N14" s="470"/>
      <c r="O14" s="471"/>
      <c r="P14" s="468">
        <v>1</v>
      </c>
      <c r="Q14" s="469"/>
      <c r="R14" s="472"/>
      <c r="S14" s="471">
        <v>1</v>
      </c>
      <c r="T14" s="468">
        <v>2</v>
      </c>
      <c r="U14" s="469"/>
      <c r="V14" s="470"/>
      <c r="W14" s="471"/>
      <c r="X14" s="468"/>
      <c r="Y14" s="469"/>
      <c r="Z14" s="472"/>
      <c r="AA14" s="19"/>
      <c r="AB14" s="19"/>
      <c r="AC14" s="2"/>
      <c r="AD14" s="2"/>
      <c r="AE14" s="2"/>
      <c r="AF14" s="2"/>
      <c r="AG14" s="2"/>
      <c r="AH14" s="2"/>
      <c r="AI14" s="2"/>
      <c r="AJ14" s="2"/>
    </row>
    <row r="15" spans="1:36" ht="54.95" customHeight="1">
      <c r="A15" s="391"/>
      <c r="B15" s="392" t="s">
        <v>24</v>
      </c>
      <c r="C15" s="467"/>
      <c r="D15" s="468"/>
      <c r="E15" s="469"/>
      <c r="F15" s="470"/>
      <c r="G15" s="471"/>
      <c r="H15" s="468"/>
      <c r="I15" s="469"/>
      <c r="J15" s="470"/>
      <c r="K15" s="471"/>
      <c r="L15" s="468"/>
      <c r="M15" s="469"/>
      <c r="N15" s="470"/>
      <c r="O15" s="471">
        <v>1</v>
      </c>
      <c r="P15" s="468">
        <v>1</v>
      </c>
      <c r="Q15" s="469"/>
      <c r="R15" s="472"/>
      <c r="S15" s="471">
        <v>1</v>
      </c>
      <c r="T15" s="468">
        <v>2</v>
      </c>
      <c r="U15" s="469">
        <v>1</v>
      </c>
      <c r="V15" s="470"/>
      <c r="W15" s="471"/>
      <c r="X15" s="468"/>
      <c r="Y15" s="469"/>
      <c r="Z15" s="472"/>
      <c r="AA15" s="19"/>
      <c r="AB15" s="19"/>
      <c r="AC15" s="2"/>
      <c r="AD15" s="2"/>
      <c r="AE15" s="2"/>
      <c r="AF15" s="2"/>
      <c r="AG15" s="2"/>
      <c r="AH15" s="2"/>
      <c r="AI15" s="2"/>
      <c r="AJ15" s="2"/>
    </row>
    <row r="16" spans="1:36" ht="54.95" customHeight="1">
      <c r="A16" s="391"/>
      <c r="B16" s="392" t="s">
        <v>25</v>
      </c>
      <c r="C16" s="467"/>
      <c r="D16" s="468">
        <v>1</v>
      </c>
      <c r="E16" s="469"/>
      <c r="F16" s="470"/>
      <c r="G16" s="471"/>
      <c r="H16" s="468"/>
      <c r="I16" s="469"/>
      <c r="J16" s="470"/>
      <c r="K16" s="471"/>
      <c r="L16" s="468"/>
      <c r="M16" s="469"/>
      <c r="N16" s="470"/>
      <c r="O16" s="471"/>
      <c r="P16" s="468"/>
      <c r="Q16" s="469"/>
      <c r="R16" s="472"/>
      <c r="S16" s="471">
        <v>1</v>
      </c>
      <c r="T16" s="468"/>
      <c r="U16" s="469"/>
      <c r="V16" s="470"/>
      <c r="W16" s="471"/>
      <c r="X16" s="468"/>
      <c r="Y16" s="469"/>
      <c r="Z16" s="472"/>
      <c r="AA16" s="19"/>
      <c r="AB16" s="19"/>
      <c r="AC16" s="2"/>
      <c r="AD16" s="2"/>
      <c r="AE16" s="2"/>
      <c r="AF16" s="2"/>
      <c r="AG16" s="2"/>
      <c r="AH16" s="2"/>
      <c r="AI16" s="2"/>
      <c r="AJ16" s="2"/>
    </row>
    <row r="17" spans="1:38" ht="54.95" customHeight="1">
      <c r="A17" s="391"/>
      <c r="B17" s="392" t="s">
        <v>26</v>
      </c>
      <c r="C17" s="467"/>
      <c r="D17" s="468"/>
      <c r="E17" s="469"/>
      <c r="F17" s="470"/>
      <c r="G17" s="471"/>
      <c r="H17" s="468"/>
      <c r="I17" s="469"/>
      <c r="J17" s="470"/>
      <c r="K17" s="471"/>
      <c r="L17" s="468"/>
      <c r="M17" s="469"/>
      <c r="N17" s="470"/>
      <c r="O17" s="471"/>
      <c r="P17" s="468"/>
      <c r="Q17" s="469"/>
      <c r="R17" s="472"/>
      <c r="S17" s="471"/>
      <c r="T17" s="468">
        <v>3</v>
      </c>
      <c r="U17" s="469">
        <v>2</v>
      </c>
      <c r="V17" s="470"/>
      <c r="W17" s="471"/>
      <c r="X17" s="468"/>
      <c r="Y17" s="469"/>
      <c r="Z17" s="472"/>
      <c r="AA17" s="19"/>
      <c r="AB17" s="19"/>
      <c r="AC17" s="2"/>
      <c r="AD17" s="2"/>
      <c r="AE17" s="2"/>
      <c r="AF17" s="2"/>
      <c r="AG17" s="2"/>
      <c r="AH17" s="2"/>
      <c r="AI17" s="2"/>
      <c r="AJ17" s="2"/>
    </row>
    <row r="18" spans="1:38" ht="54.95" customHeight="1">
      <c r="A18" s="391">
        <v>8</v>
      </c>
      <c r="B18" s="392" t="s">
        <v>23</v>
      </c>
      <c r="C18" s="467"/>
      <c r="D18" s="468"/>
      <c r="E18" s="469"/>
      <c r="F18" s="470"/>
      <c r="G18" s="471"/>
      <c r="H18" s="468"/>
      <c r="I18" s="469"/>
      <c r="J18" s="470"/>
      <c r="K18" s="471"/>
      <c r="L18" s="468"/>
      <c r="M18" s="469"/>
      <c r="N18" s="470"/>
      <c r="O18" s="471"/>
      <c r="P18" s="468"/>
      <c r="Q18" s="469"/>
      <c r="R18" s="472"/>
      <c r="S18" s="471"/>
      <c r="T18" s="468">
        <v>1</v>
      </c>
      <c r="U18" s="469">
        <v>1</v>
      </c>
      <c r="V18" s="470"/>
      <c r="W18" s="471"/>
      <c r="X18" s="468"/>
      <c r="Y18" s="469"/>
      <c r="Z18" s="472"/>
      <c r="AA18" s="19"/>
      <c r="AB18" s="19"/>
      <c r="AC18" s="2"/>
      <c r="AD18" s="2"/>
      <c r="AE18" s="2"/>
      <c r="AF18" s="2"/>
      <c r="AG18" s="2"/>
      <c r="AH18" s="2"/>
      <c r="AI18" s="2"/>
      <c r="AJ18" s="2"/>
    </row>
    <row r="19" spans="1:38" ht="54.95" customHeight="1">
      <c r="A19" s="391"/>
      <c r="B19" s="392" t="s">
        <v>24</v>
      </c>
      <c r="C19" s="467">
        <v>1</v>
      </c>
      <c r="D19" s="468"/>
      <c r="E19" s="469"/>
      <c r="F19" s="470"/>
      <c r="G19" s="471"/>
      <c r="H19" s="468"/>
      <c r="I19" s="469"/>
      <c r="J19" s="470"/>
      <c r="K19" s="471"/>
      <c r="L19" s="468"/>
      <c r="M19" s="469"/>
      <c r="N19" s="470"/>
      <c r="O19" s="471"/>
      <c r="P19" s="468">
        <v>1</v>
      </c>
      <c r="Q19" s="469"/>
      <c r="R19" s="472">
        <v>1</v>
      </c>
      <c r="S19" s="471">
        <v>2</v>
      </c>
      <c r="T19" s="468">
        <v>1</v>
      </c>
      <c r="U19" s="469"/>
      <c r="V19" s="470">
        <v>1</v>
      </c>
      <c r="W19" s="471"/>
      <c r="X19" s="468"/>
      <c r="Y19" s="469"/>
      <c r="Z19" s="472"/>
      <c r="AA19" s="19"/>
      <c r="AB19" s="19"/>
      <c r="AC19" s="2"/>
      <c r="AD19" s="2"/>
      <c r="AE19" s="2"/>
      <c r="AF19" s="2"/>
      <c r="AG19" s="2"/>
      <c r="AH19" s="2"/>
      <c r="AI19" s="2"/>
      <c r="AJ19" s="2"/>
    </row>
    <row r="20" spans="1:38" ht="54.95" customHeight="1">
      <c r="A20" s="391"/>
      <c r="B20" s="392" t="s">
        <v>25</v>
      </c>
      <c r="C20" s="467"/>
      <c r="D20" s="468"/>
      <c r="E20" s="469"/>
      <c r="F20" s="470"/>
      <c r="G20" s="471"/>
      <c r="H20" s="468"/>
      <c r="I20" s="469"/>
      <c r="J20" s="470"/>
      <c r="K20" s="471"/>
      <c r="L20" s="468"/>
      <c r="M20" s="469"/>
      <c r="N20" s="470"/>
      <c r="O20" s="471"/>
      <c r="P20" s="468"/>
      <c r="Q20" s="469"/>
      <c r="R20" s="472"/>
      <c r="S20" s="471"/>
      <c r="T20" s="468"/>
      <c r="U20" s="469"/>
      <c r="V20" s="470"/>
      <c r="W20" s="471"/>
      <c r="X20" s="468"/>
      <c r="Y20" s="469"/>
      <c r="Z20" s="472"/>
      <c r="AA20" s="19"/>
      <c r="AB20" s="19"/>
      <c r="AC20" s="2"/>
      <c r="AD20" s="2"/>
      <c r="AE20" s="2"/>
      <c r="AF20" s="2"/>
      <c r="AG20" s="2"/>
      <c r="AH20" s="2"/>
      <c r="AI20" s="2"/>
      <c r="AJ20" s="2"/>
    </row>
    <row r="21" spans="1:38" ht="54.95" customHeight="1">
      <c r="A21" s="391"/>
      <c r="B21" s="392" t="s">
        <v>26</v>
      </c>
      <c r="C21" s="467"/>
      <c r="D21" s="468"/>
      <c r="E21" s="469"/>
      <c r="F21" s="470"/>
      <c r="G21" s="471"/>
      <c r="H21" s="468"/>
      <c r="I21" s="469"/>
      <c r="J21" s="470"/>
      <c r="K21" s="471"/>
      <c r="L21" s="468"/>
      <c r="M21" s="469"/>
      <c r="N21" s="470"/>
      <c r="O21" s="471"/>
      <c r="P21" s="468"/>
      <c r="Q21" s="469"/>
      <c r="R21" s="472"/>
      <c r="S21" s="471"/>
      <c r="T21" s="468"/>
      <c r="U21" s="469"/>
      <c r="V21" s="470"/>
      <c r="W21" s="471"/>
      <c r="X21" s="468"/>
      <c r="Y21" s="469"/>
      <c r="Z21" s="472"/>
      <c r="AA21" s="19"/>
      <c r="AB21" s="19"/>
      <c r="AC21" s="2"/>
      <c r="AD21" s="2"/>
      <c r="AE21" s="2"/>
      <c r="AF21" s="2"/>
      <c r="AG21" s="2"/>
      <c r="AH21" s="2"/>
      <c r="AI21" s="2"/>
      <c r="AJ21" s="2"/>
    </row>
    <row r="22" spans="1:38" ht="54.95" customHeight="1">
      <c r="A22" s="391">
        <v>9</v>
      </c>
      <c r="B22" s="392" t="s">
        <v>23</v>
      </c>
      <c r="C22" s="467"/>
      <c r="D22" s="468"/>
      <c r="E22" s="469"/>
      <c r="F22" s="470"/>
      <c r="G22" s="471"/>
      <c r="H22" s="468"/>
      <c r="I22" s="469"/>
      <c r="J22" s="470"/>
      <c r="K22" s="471"/>
      <c r="L22" s="468"/>
      <c r="M22" s="469"/>
      <c r="N22" s="470"/>
      <c r="O22" s="471"/>
      <c r="P22" s="468"/>
      <c r="Q22" s="469"/>
      <c r="R22" s="472"/>
      <c r="S22" s="471"/>
      <c r="T22" s="468"/>
      <c r="U22" s="469"/>
      <c r="V22" s="470"/>
      <c r="W22" s="471"/>
      <c r="X22" s="468"/>
      <c r="Y22" s="469"/>
      <c r="Z22" s="472"/>
      <c r="AA22" s="19"/>
      <c r="AB22" s="19"/>
      <c r="AC22" s="2"/>
      <c r="AD22" s="2"/>
      <c r="AE22" s="2"/>
      <c r="AF22" s="2"/>
      <c r="AG22" s="2"/>
      <c r="AH22" s="2"/>
      <c r="AI22" s="2"/>
      <c r="AJ22" s="2"/>
    </row>
    <row r="23" spans="1:38" ht="54.95" customHeight="1" thickBot="1">
      <c r="A23" s="394"/>
      <c r="B23" s="395" t="s">
        <v>24</v>
      </c>
      <c r="C23" s="473"/>
      <c r="D23" s="474"/>
      <c r="E23" s="475"/>
      <c r="F23" s="476"/>
      <c r="G23" s="477"/>
      <c r="H23" s="474"/>
      <c r="I23" s="475"/>
      <c r="J23" s="476"/>
      <c r="K23" s="477"/>
      <c r="L23" s="474"/>
      <c r="M23" s="475"/>
      <c r="N23" s="476"/>
      <c r="O23" s="477"/>
      <c r="P23" s="474"/>
      <c r="Q23" s="475"/>
      <c r="R23" s="478"/>
      <c r="S23" s="477"/>
      <c r="T23" s="474"/>
      <c r="U23" s="475"/>
      <c r="V23" s="476"/>
      <c r="W23" s="477"/>
      <c r="X23" s="474"/>
      <c r="Y23" s="475"/>
      <c r="Z23" s="478"/>
      <c r="AA23" s="19"/>
      <c r="AB23" s="19"/>
      <c r="AC23" s="69"/>
      <c r="AD23" s="69"/>
      <c r="AE23" s="69"/>
      <c r="AF23" s="69"/>
      <c r="AG23" s="69"/>
      <c r="AH23" s="69"/>
      <c r="AI23" s="69"/>
      <c r="AJ23" s="69"/>
      <c r="AK23" s="70"/>
      <c r="AL23" s="70"/>
    </row>
    <row r="24" spans="1:38" ht="54.95" customHeight="1" thickTop="1" thickBot="1">
      <c r="A24" s="119"/>
      <c r="B24" s="1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69"/>
      <c r="AD24" s="69"/>
      <c r="AE24" s="69"/>
      <c r="AF24" s="69"/>
      <c r="AG24" s="69"/>
      <c r="AH24" s="69"/>
      <c r="AI24" s="69"/>
      <c r="AJ24" s="69"/>
      <c r="AK24" s="70"/>
      <c r="AL24" s="70"/>
    </row>
    <row r="25" spans="1:38" ht="52.5" customHeight="1" thickBot="1">
      <c r="A25" s="374" t="s">
        <v>0</v>
      </c>
      <c r="B25" s="375" t="str">
        <f>B1</f>
        <v>ETREMBIERES_Rte de St-Julien / Rte du Salève (sous château)</v>
      </c>
      <c r="C25" s="376"/>
      <c r="D25" s="376"/>
      <c r="E25" s="376"/>
      <c r="F25" s="377"/>
      <c r="G25" s="377"/>
      <c r="H25" s="376"/>
      <c r="I25" s="376"/>
      <c r="J25" s="377"/>
      <c r="K25" s="377"/>
      <c r="L25" s="378"/>
      <c r="M25" s="331" t="s">
        <v>30</v>
      </c>
      <c r="N25" s="379" t="str">
        <f>N1</f>
        <v>mardi 31 mai 2022</v>
      </c>
      <c r="O25" s="376"/>
      <c r="P25" s="376"/>
      <c r="Q25" s="376"/>
      <c r="R25" s="72"/>
      <c r="S25" s="72"/>
      <c r="T25" s="72"/>
      <c r="U25" s="72"/>
      <c r="V25" s="165"/>
      <c r="W25" s="123"/>
      <c r="X25" s="123"/>
      <c r="Y25" s="123"/>
      <c r="Z25" s="139"/>
      <c r="AA25" s="159" t="s">
        <v>0</v>
      </c>
      <c r="AB25" s="33" t="str">
        <f>B25</f>
        <v>ETREMBIERES_Rte de St-Julien / Rte du Salève (sous château)</v>
      </c>
      <c r="AC25" s="34"/>
      <c r="AD25" s="34"/>
      <c r="AE25" s="34"/>
      <c r="AF25" s="38"/>
      <c r="AG25" s="122" t="s">
        <v>1</v>
      </c>
      <c r="AH25" s="36" t="str">
        <f>N25</f>
        <v>mardi 31 mai 2022</v>
      </c>
      <c r="AI25" s="34"/>
      <c r="AJ25" s="160"/>
      <c r="AK25" s="35"/>
      <c r="AL25" s="86"/>
    </row>
    <row r="26" spans="1:38" ht="52.5" customHeight="1" thickBot="1">
      <c r="A26" s="318" t="s">
        <v>2</v>
      </c>
      <c r="B26" s="319"/>
      <c r="C26" s="319"/>
      <c r="D26" s="319"/>
      <c r="E26" s="319"/>
      <c r="F26" s="319"/>
      <c r="G26" s="375" t="str">
        <f>G2</f>
        <v>Philippe LEMOINE</v>
      </c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72"/>
      <c r="S26" s="72"/>
      <c r="T26" s="72"/>
      <c r="U26" s="72"/>
      <c r="V26" s="165"/>
      <c r="W26" s="112"/>
      <c r="X26" s="112"/>
      <c r="Y26" s="112"/>
      <c r="Z26" s="112"/>
      <c r="AA26" s="111" t="s">
        <v>2</v>
      </c>
      <c r="AB26" s="112"/>
      <c r="AC26" s="112"/>
      <c r="AD26" s="112"/>
      <c r="AE26" s="33" t="str">
        <f>G26</f>
        <v>Philippe LEMOINE</v>
      </c>
      <c r="AF26" s="34"/>
      <c r="AG26" s="34"/>
      <c r="AH26" s="34"/>
      <c r="AI26" s="34"/>
      <c r="AJ26" s="34"/>
      <c r="AK26" s="35"/>
      <c r="AL26" s="112"/>
    </row>
    <row r="27" spans="1:38" ht="52.5" customHeight="1" thickBot="1">
      <c r="A27" s="318" t="s">
        <v>3</v>
      </c>
      <c r="B27" s="319"/>
      <c r="C27" s="375">
        <f>C3</f>
        <v>0</v>
      </c>
      <c r="D27" s="376"/>
      <c r="E27" s="376"/>
      <c r="F27" s="376"/>
      <c r="G27" s="376"/>
      <c r="H27" s="376"/>
      <c r="I27" s="376"/>
      <c r="J27" s="376"/>
      <c r="K27" s="376"/>
      <c r="L27" s="376"/>
      <c r="M27" s="376"/>
      <c r="N27" s="376"/>
      <c r="O27" s="376"/>
      <c r="P27" s="376"/>
      <c r="Q27" s="376"/>
      <c r="R27" s="72"/>
      <c r="S27" s="72"/>
      <c r="T27" s="72"/>
      <c r="U27" s="72"/>
      <c r="V27" s="165"/>
      <c r="W27" s="112"/>
      <c r="X27" s="112"/>
      <c r="Y27" s="112"/>
      <c r="Z27" s="113"/>
      <c r="AA27" s="111" t="s">
        <v>3</v>
      </c>
      <c r="AB27" s="112"/>
      <c r="AC27" s="33">
        <f>C27</f>
        <v>0</v>
      </c>
      <c r="AD27" s="34"/>
      <c r="AE27" s="34"/>
      <c r="AF27" s="34"/>
      <c r="AG27" s="34"/>
      <c r="AH27" s="34"/>
      <c r="AI27" s="34"/>
      <c r="AJ27" s="34"/>
      <c r="AK27" s="35"/>
      <c r="AL27" s="87"/>
    </row>
    <row r="28" spans="1:38" ht="52.5" customHeight="1" thickBot="1">
      <c r="A28" s="318" t="s">
        <v>27</v>
      </c>
      <c r="B28" s="319"/>
      <c r="C28" s="375" t="str">
        <f>C4</f>
        <v>Aucun vélo n'est allé en direction du nouveau chemin du pied du Salève (qui rejoint Le Pas-de-L'Echelle)</v>
      </c>
      <c r="D28" s="376"/>
      <c r="E28" s="376"/>
      <c r="F28" s="376"/>
      <c r="G28" s="376"/>
      <c r="H28" s="376"/>
      <c r="I28" s="376"/>
      <c r="J28" s="376"/>
      <c r="K28" s="376"/>
      <c r="L28" s="376"/>
      <c r="M28" s="376"/>
      <c r="N28" s="376"/>
      <c r="O28" s="376"/>
      <c r="P28" s="376"/>
      <c r="Q28" s="376"/>
      <c r="R28" s="72"/>
      <c r="S28" s="72"/>
      <c r="T28" s="72"/>
      <c r="U28" s="72"/>
      <c r="V28" s="165"/>
      <c r="W28" s="112"/>
      <c r="X28" s="112"/>
      <c r="Y28" s="112"/>
      <c r="Z28" s="113"/>
      <c r="AA28" s="111" t="s">
        <v>27</v>
      </c>
      <c r="AB28" s="112"/>
      <c r="AC28" s="33" t="str">
        <f>C28</f>
        <v>Aucun vélo n'est allé en direction du nouveau chemin du pied du Salève (qui rejoint Le Pas-de-L'Echelle)</v>
      </c>
      <c r="AD28" s="34"/>
      <c r="AE28" s="34"/>
      <c r="AF28" s="34"/>
      <c r="AG28" s="34"/>
      <c r="AH28" s="34"/>
      <c r="AI28" s="34"/>
      <c r="AJ28" s="34"/>
      <c r="AK28" s="35"/>
      <c r="AL28" s="87"/>
    </row>
    <row r="29" spans="1:38" ht="25.5" customHeight="1">
      <c r="A29" s="337"/>
      <c r="B29" s="319"/>
      <c r="C29" s="319"/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113"/>
      <c r="S29" s="112"/>
      <c r="T29" s="112"/>
      <c r="U29" s="112"/>
      <c r="V29" s="112"/>
      <c r="W29" s="112"/>
      <c r="X29" s="112"/>
      <c r="Y29" s="112"/>
      <c r="Z29" s="113"/>
      <c r="AA29" s="114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</row>
    <row r="30" spans="1:38" ht="25.5" customHeight="1">
      <c r="A30" s="337"/>
      <c r="B30" s="319"/>
      <c r="C30" s="319"/>
      <c r="D30" s="319"/>
      <c r="E30" s="319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113"/>
      <c r="S30" s="112"/>
      <c r="T30" s="112"/>
      <c r="U30" s="112"/>
      <c r="V30" s="112"/>
      <c r="W30" s="112"/>
      <c r="X30" s="112"/>
      <c r="Y30" s="112"/>
      <c r="Z30" s="113"/>
      <c r="AA30" s="114"/>
      <c r="AB30" s="112"/>
      <c r="AC30" s="112"/>
      <c r="AD30" s="112"/>
      <c r="AE30" s="112"/>
      <c r="AF30" s="112"/>
      <c r="AG30" s="112"/>
      <c r="AH30" s="112"/>
      <c r="AI30" s="112"/>
      <c r="AJ30" s="112"/>
      <c r="AK30" s="113"/>
      <c r="AL30" s="113"/>
    </row>
    <row r="31" spans="1:38" ht="25.5" customHeight="1" thickBot="1">
      <c r="A31" s="114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3"/>
      <c r="S31" s="112"/>
      <c r="T31" s="112"/>
      <c r="U31" s="112"/>
      <c r="V31" s="112"/>
      <c r="W31" s="112"/>
      <c r="X31" s="112"/>
      <c r="Y31" s="112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1:38" ht="32.25" customHeight="1" thickTop="1">
      <c r="A32" s="29"/>
      <c r="B32" s="30"/>
      <c r="C32" s="798" t="str">
        <f>C8</f>
        <v>Depuis 'Pas-de-l'Echelle'</v>
      </c>
      <c r="D32" s="799"/>
      <c r="E32" s="799"/>
      <c r="F32" s="799"/>
      <c r="G32" s="799"/>
      <c r="H32" s="799"/>
      <c r="I32" s="799"/>
      <c r="J32" s="799"/>
      <c r="K32" s="799" t="str">
        <f>K8</f>
        <v>Depuis 'Annemasse'</v>
      </c>
      <c r="L32" s="799"/>
      <c r="M32" s="799"/>
      <c r="N32" s="799"/>
      <c r="O32" s="799"/>
      <c r="P32" s="799"/>
      <c r="Q32" s="799"/>
      <c r="R32" s="800"/>
      <c r="S32" s="799" t="str">
        <f>S8</f>
        <v>Depuis 'Reignier'</v>
      </c>
      <c r="T32" s="799"/>
      <c r="U32" s="799"/>
      <c r="V32" s="799"/>
      <c r="W32" s="799"/>
      <c r="X32" s="799"/>
      <c r="Y32" s="799"/>
      <c r="Z32" s="800"/>
      <c r="AA32" s="29"/>
      <c r="AB32" s="30"/>
      <c r="AC32" s="809" t="s">
        <v>12</v>
      </c>
      <c r="AD32" s="811" t="s">
        <v>14</v>
      </c>
      <c r="AE32" s="811" t="s">
        <v>15</v>
      </c>
      <c r="AF32" s="811" t="s">
        <v>18</v>
      </c>
      <c r="AG32" s="811" t="s">
        <v>16</v>
      </c>
      <c r="AH32" s="993" t="s">
        <v>20</v>
      </c>
      <c r="AI32" s="996" t="s">
        <v>21</v>
      </c>
      <c r="AJ32" s="999" t="s">
        <v>22</v>
      </c>
      <c r="AK32" s="956"/>
      <c r="AL32" s="957"/>
    </row>
    <row r="33" spans="1:38" ht="22.7" customHeight="1">
      <c r="A33" s="29"/>
      <c r="B33" s="30"/>
      <c r="C33" s="791" t="str">
        <f>C9</f>
        <v>vers 'Reignier'</v>
      </c>
      <c r="D33" s="792"/>
      <c r="E33" s="792"/>
      <c r="F33" s="792"/>
      <c r="G33" s="791" t="str">
        <f t="shared" ref="G33" si="0">G9</f>
        <v>vers 'Annemasse'</v>
      </c>
      <c r="H33" s="792"/>
      <c r="I33" s="792"/>
      <c r="J33" s="792"/>
      <c r="K33" s="791" t="str">
        <f t="shared" ref="K33" si="1">K9</f>
        <v>vers 'Reignier'</v>
      </c>
      <c r="L33" s="792"/>
      <c r="M33" s="792"/>
      <c r="N33" s="792"/>
      <c r="O33" s="791" t="str">
        <f t="shared" ref="O33" si="2">O9</f>
        <v>vers 'Pas-de-l'Echelle'</v>
      </c>
      <c r="P33" s="792"/>
      <c r="Q33" s="792"/>
      <c r="R33" s="792"/>
      <c r="S33" s="791" t="str">
        <f t="shared" ref="S33" si="3">S9</f>
        <v>vers 'Pas-de-l'Echelle'</v>
      </c>
      <c r="T33" s="792"/>
      <c r="U33" s="792"/>
      <c r="V33" s="792"/>
      <c r="W33" s="791" t="str">
        <f t="shared" ref="W33" si="4">W9</f>
        <v>vers 'Annemasse'</v>
      </c>
      <c r="X33" s="792"/>
      <c r="Y33" s="792"/>
      <c r="Z33" s="793"/>
      <c r="AA33" s="29"/>
      <c r="AB33" s="30"/>
      <c r="AC33" s="810"/>
      <c r="AD33" s="812"/>
      <c r="AE33" s="812"/>
      <c r="AF33" s="812"/>
      <c r="AG33" s="812"/>
      <c r="AH33" s="994"/>
      <c r="AI33" s="997"/>
      <c r="AJ33" s="1000"/>
      <c r="AK33" s="959"/>
      <c r="AL33" s="960"/>
    </row>
    <row r="34" spans="1:38" ht="18.600000000000001" customHeight="1" thickBot="1">
      <c r="A34" s="29"/>
      <c r="B34" s="30"/>
      <c r="C34" s="989" t="s">
        <v>4</v>
      </c>
      <c r="D34" s="987"/>
      <c r="E34" s="984" t="s">
        <v>5</v>
      </c>
      <c r="F34" s="985"/>
      <c r="G34" s="986" t="s">
        <v>4</v>
      </c>
      <c r="H34" s="987"/>
      <c r="I34" s="984" t="s">
        <v>5</v>
      </c>
      <c r="J34" s="985"/>
      <c r="K34" s="986" t="s">
        <v>4</v>
      </c>
      <c r="L34" s="987"/>
      <c r="M34" s="984" t="s">
        <v>5</v>
      </c>
      <c r="N34" s="985"/>
      <c r="O34" s="986" t="s">
        <v>4</v>
      </c>
      <c r="P34" s="987"/>
      <c r="Q34" s="984" t="s">
        <v>5</v>
      </c>
      <c r="R34" s="988"/>
      <c r="S34" s="986" t="s">
        <v>4</v>
      </c>
      <c r="T34" s="987"/>
      <c r="U34" s="984" t="s">
        <v>5</v>
      </c>
      <c r="V34" s="985"/>
      <c r="W34" s="986" t="s">
        <v>4</v>
      </c>
      <c r="X34" s="987"/>
      <c r="Y34" s="1004" t="s">
        <v>5</v>
      </c>
      <c r="Z34" s="1005"/>
      <c r="AA34" s="29"/>
      <c r="AB34" s="30"/>
      <c r="AC34" s="810"/>
      <c r="AD34" s="812"/>
      <c r="AE34" s="812"/>
      <c r="AF34" s="812"/>
      <c r="AG34" s="812"/>
      <c r="AH34" s="994"/>
      <c r="AI34" s="997"/>
      <c r="AJ34" s="1000"/>
      <c r="AK34" s="959"/>
      <c r="AL34" s="960"/>
    </row>
    <row r="35" spans="1:38" ht="21" thickTop="1">
      <c r="A35" s="789" t="s">
        <v>13</v>
      </c>
      <c r="B35" s="790"/>
      <c r="C35" s="17" t="s">
        <v>8</v>
      </c>
      <c r="D35" s="4" t="s">
        <v>9</v>
      </c>
      <c r="E35" s="5" t="s">
        <v>8</v>
      </c>
      <c r="F35" s="6" t="s">
        <v>9</v>
      </c>
      <c r="G35" s="3" t="s">
        <v>8</v>
      </c>
      <c r="H35" s="4" t="s">
        <v>9</v>
      </c>
      <c r="I35" s="5" t="s">
        <v>8</v>
      </c>
      <c r="J35" s="6" t="s">
        <v>9</v>
      </c>
      <c r="K35" s="3" t="s">
        <v>8</v>
      </c>
      <c r="L35" s="4" t="s">
        <v>9</v>
      </c>
      <c r="M35" s="5" t="s">
        <v>8</v>
      </c>
      <c r="N35" s="6" t="s">
        <v>9</v>
      </c>
      <c r="O35" s="3" t="s">
        <v>8</v>
      </c>
      <c r="P35" s="4" t="s">
        <v>9</v>
      </c>
      <c r="Q35" s="5" t="s">
        <v>8</v>
      </c>
      <c r="R35" s="18" t="s">
        <v>9</v>
      </c>
      <c r="S35" s="3" t="s">
        <v>8</v>
      </c>
      <c r="T35" s="4" t="s">
        <v>9</v>
      </c>
      <c r="U35" s="5" t="s">
        <v>8</v>
      </c>
      <c r="V35" s="6" t="s">
        <v>9</v>
      </c>
      <c r="W35" s="3" t="s">
        <v>8</v>
      </c>
      <c r="X35" s="4" t="s">
        <v>9</v>
      </c>
      <c r="Y35" s="5" t="s">
        <v>8</v>
      </c>
      <c r="Z35" s="18" t="s">
        <v>9</v>
      </c>
      <c r="AA35" s="805" t="s">
        <v>13</v>
      </c>
      <c r="AB35" s="806"/>
      <c r="AC35" s="810"/>
      <c r="AD35" s="813"/>
      <c r="AE35" s="813"/>
      <c r="AF35" s="813"/>
      <c r="AG35" s="813"/>
      <c r="AH35" s="995"/>
      <c r="AI35" s="998"/>
      <c r="AJ35" s="1001"/>
      <c r="AK35" s="962"/>
      <c r="AL35" s="963"/>
    </row>
    <row r="36" spans="1:38" ht="54.95" customHeight="1">
      <c r="A36" s="783" t="s">
        <v>28</v>
      </c>
      <c r="B36" s="784"/>
      <c r="C36" s="39">
        <f>SUM(C12:C15)</f>
        <v>0</v>
      </c>
      <c r="D36" s="40">
        <f t="shared" ref="D36:Z36" si="5">SUM(D12:D15)</f>
        <v>0</v>
      </c>
      <c r="E36" s="41">
        <f t="shared" si="5"/>
        <v>0</v>
      </c>
      <c r="F36" s="42">
        <f t="shared" si="5"/>
        <v>0</v>
      </c>
      <c r="G36" s="43">
        <f t="shared" si="5"/>
        <v>0</v>
      </c>
      <c r="H36" s="40">
        <f t="shared" si="5"/>
        <v>0</v>
      </c>
      <c r="I36" s="41">
        <f t="shared" si="5"/>
        <v>0</v>
      </c>
      <c r="J36" s="42">
        <f t="shared" si="5"/>
        <v>0</v>
      </c>
      <c r="K36" s="43">
        <f t="shared" si="5"/>
        <v>0</v>
      </c>
      <c r="L36" s="40">
        <f t="shared" si="5"/>
        <v>0</v>
      </c>
      <c r="M36" s="41">
        <f t="shared" si="5"/>
        <v>0</v>
      </c>
      <c r="N36" s="42">
        <f t="shared" si="5"/>
        <v>0</v>
      </c>
      <c r="O36" s="43">
        <f t="shared" si="5"/>
        <v>1</v>
      </c>
      <c r="P36" s="40">
        <f t="shared" si="5"/>
        <v>2</v>
      </c>
      <c r="Q36" s="41">
        <f t="shared" si="5"/>
        <v>0</v>
      </c>
      <c r="R36" s="44">
        <f t="shared" si="5"/>
        <v>0</v>
      </c>
      <c r="S36" s="43">
        <f t="shared" si="5"/>
        <v>2</v>
      </c>
      <c r="T36" s="40">
        <f t="shared" si="5"/>
        <v>4</v>
      </c>
      <c r="U36" s="41">
        <f t="shared" si="5"/>
        <v>1</v>
      </c>
      <c r="V36" s="42">
        <f t="shared" si="5"/>
        <v>0</v>
      </c>
      <c r="W36" s="43">
        <f t="shared" si="5"/>
        <v>0</v>
      </c>
      <c r="X36" s="40">
        <f t="shared" si="5"/>
        <v>0</v>
      </c>
      <c r="Y36" s="41">
        <f t="shared" si="5"/>
        <v>0</v>
      </c>
      <c r="Z36" s="44">
        <f t="shared" si="5"/>
        <v>0</v>
      </c>
      <c r="AA36" s="982" t="s">
        <v>28</v>
      </c>
      <c r="AB36" s="983"/>
      <c r="AC36" s="75">
        <f t="shared" ref="AC36:AC42" si="6">SUM(C36:Z36)</f>
        <v>10</v>
      </c>
      <c r="AD36" s="144">
        <f>IF(AC36=0,0,AD48/AC36)</f>
        <v>0.4</v>
      </c>
      <c r="AE36" s="144">
        <f>IF(AC36=0,0,AE48/AC36)</f>
        <v>0.1</v>
      </c>
      <c r="AF36" s="144">
        <f>IF(AE48=0,0,AF48/AE48)</f>
        <v>1</v>
      </c>
      <c r="AG36" s="144">
        <f t="shared" ref="AG36:AG42" si="7">IF(AC36=0,0,AG48/AC36)</f>
        <v>1</v>
      </c>
      <c r="AH36" s="76">
        <f>SUM(S36:Z36)</f>
        <v>7</v>
      </c>
      <c r="AI36" s="76">
        <f>'ETR_D2 (ex-PN93)'!Y72</f>
        <v>15</v>
      </c>
      <c r="AJ36" s="77">
        <f>AI36-AH36</f>
        <v>8</v>
      </c>
      <c r="AK36" s="980"/>
      <c r="AL36" s="981"/>
    </row>
    <row r="37" spans="1:38" ht="54.95" customHeight="1">
      <c r="A37" s="774" t="s">
        <v>11</v>
      </c>
      <c r="B37" s="775"/>
      <c r="C37" s="45">
        <f>SUM(C14:C17)</f>
        <v>0</v>
      </c>
      <c r="D37" s="46">
        <f t="shared" ref="D37:Z37" si="8">SUM(D14:D17)</f>
        <v>1</v>
      </c>
      <c r="E37" s="47">
        <f t="shared" si="8"/>
        <v>0</v>
      </c>
      <c r="F37" s="48">
        <f t="shared" si="8"/>
        <v>0</v>
      </c>
      <c r="G37" s="49">
        <f t="shared" si="8"/>
        <v>0</v>
      </c>
      <c r="H37" s="46">
        <f t="shared" si="8"/>
        <v>0</v>
      </c>
      <c r="I37" s="47">
        <f t="shared" si="8"/>
        <v>0</v>
      </c>
      <c r="J37" s="48">
        <f t="shared" si="8"/>
        <v>0</v>
      </c>
      <c r="K37" s="49">
        <f t="shared" si="8"/>
        <v>0</v>
      </c>
      <c r="L37" s="46">
        <f t="shared" si="8"/>
        <v>0</v>
      </c>
      <c r="M37" s="47">
        <f t="shared" si="8"/>
        <v>0</v>
      </c>
      <c r="N37" s="48">
        <f t="shared" si="8"/>
        <v>0</v>
      </c>
      <c r="O37" s="49">
        <f t="shared" si="8"/>
        <v>1</v>
      </c>
      <c r="P37" s="46">
        <f t="shared" si="8"/>
        <v>2</v>
      </c>
      <c r="Q37" s="47">
        <f t="shared" si="8"/>
        <v>0</v>
      </c>
      <c r="R37" s="50">
        <f t="shared" si="8"/>
        <v>0</v>
      </c>
      <c r="S37" s="49">
        <f t="shared" si="8"/>
        <v>3</v>
      </c>
      <c r="T37" s="46">
        <f t="shared" si="8"/>
        <v>7</v>
      </c>
      <c r="U37" s="47">
        <f t="shared" si="8"/>
        <v>3</v>
      </c>
      <c r="V37" s="48">
        <f t="shared" si="8"/>
        <v>0</v>
      </c>
      <c r="W37" s="49">
        <f t="shared" si="8"/>
        <v>0</v>
      </c>
      <c r="X37" s="46">
        <f t="shared" si="8"/>
        <v>0</v>
      </c>
      <c r="Y37" s="47">
        <f t="shared" si="8"/>
        <v>0</v>
      </c>
      <c r="Z37" s="50">
        <f t="shared" si="8"/>
        <v>0</v>
      </c>
      <c r="AA37" s="972" t="s">
        <v>11</v>
      </c>
      <c r="AB37" s="973"/>
      <c r="AC37" s="78">
        <f t="shared" si="6"/>
        <v>17</v>
      </c>
      <c r="AD37" s="146">
        <f t="shared" ref="AD37:AD42" si="9">IF(AC37=0,0,AD49/AC37)</f>
        <v>0.41176470588235292</v>
      </c>
      <c r="AE37" s="146">
        <f t="shared" ref="AE37:AE42" si="10">IF(AC37=0,0,AE49/AC37)</f>
        <v>0.17647058823529413</v>
      </c>
      <c r="AF37" s="146">
        <f t="shared" ref="AF37:AF42" si="11">IF(AE49=0,0,AF49/AE49)</f>
        <v>1</v>
      </c>
      <c r="AG37" s="146">
        <f t="shared" si="7"/>
        <v>0.94117647058823528</v>
      </c>
      <c r="AH37" s="79">
        <f t="shared" ref="AH37:AH42" si="12">SUM(S37:Z37)</f>
        <v>13</v>
      </c>
      <c r="AI37" s="79">
        <f>'ETR_D2 (ex-PN93)'!Y73</f>
        <v>33</v>
      </c>
      <c r="AJ37" s="80">
        <f t="shared" ref="AJ37:AJ42" si="13">AI37-AH37</f>
        <v>20</v>
      </c>
      <c r="AK37" s="974"/>
      <c r="AL37" s="975"/>
    </row>
    <row r="38" spans="1:38" ht="54.95" customHeight="1">
      <c r="A38" s="774" t="s">
        <v>17</v>
      </c>
      <c r="B38" s="775"/>
      <c r="C38" s="45">
        <f>SUM(C16:C19)</f>
        <v>1</v>
      </c>
      <c r="D38" s="46">
        <f t="shared" ref="D38:Z38" si="14">SUM(D16:D19)</f>
        <v>1</v>
      </c>
      <c r="E38" s="47">
        <f t="shared" si="14"/>
        <v>0</v>
      </c>
      <c r="F38" s="48">
        <f t="shared" si="14"/>
        <v>0</v>
      </c>
      <c r="G38" s="49">
        <f t="shared" si="14"/>
        <v>0</v>
      </c>
      <c r="H38" s="46">
        <f t="shared" si="14"/>
        <v>0</v>
      </c>
      <c r="I38" s="47">
        <f t="shared" si="14"/>
        <v>0</v>
      </c>
      <c r="J38" s="48">
        <f t="shared" si="14"/>
        <v>0</v>
      </c>
      <c r="K38" s="49">
        <f t="shared" si="14"/>
        <v>0</v>
      </c>
      <c r="L38" s="46">
        <f t="shared" si="14"/>
        <v>0</v>
      </c>
      <c r="M38" s="47">
        <f t="shared" si="14"/>
        <v>0</v>
      </c>
      <c r="N38" s="48">
        <f t="shared" si="14"/>
        <v>0</v>
      </c>
      <c r="O38" s="49">
        <f t="shared" si="14"/>
        <v>0</v>
      </c>
      <c r="P38" s="46">
        <f t="shared" si="14"/>
        <v>1</v>
      </c>
      <c r="Q38" s="47">
        <f t="shared" si="14"/>
        <v>0</v>
      </c>
      <c r="R38" s="50">
        <f t="shared" si="14"/>
        <v>1</v>
      </c>
      <c r="S38" s="49">
        <f t="shared" si="14"/>
        <v>3</v>
      </c>
      <c r="T38" s="46">
        <f t="shared" si="14"/>
        <v>5</v>
      </c>
      <c r="U38" s="47">
        <f t="shared" si="14"/>
        <v>3</v>
      </c>
      <c r="V38" s="48">
        <f t="shared" si="14"/>
        <v>1</v>
      </c>
      <c r="W38" s="49">
        <f t="shared" si="14"/>
        <v>0</v>
      </c>
      <c r="X38" s="46">
        <f t="shared" si="14"/>
        <v>0</v>
      </c>
      <c r="Y38" s="47">
        <f t="shared" si="14"/>
        <v>0</v>
      </c>
      <c r="Z38" s="50">
        <f t="shared" si="14"/>
        <v>0</v>
      </c>
      <c r="AA38" s="972" t="s">
        <v>17</v>
      </c>
      <c r="AB38" s="973"/>
      <c r="AC38" s="78">
        <f t="shared" si="6"/>
        <v>16</v>
      </c>
      <c r="AD38" s="146">
        <f t="shared" si="9"/>
        <v>0.4375</v>
      </c>
      <c r="AE38" s="146">
        <f t="shared" si="10"/>
        <v>0.3125</v>
      </c>
      <c r="AF38" s="146">
        <f t="shared" si="11"/>
        <v>0.6</v>
      </c>
      <c r="AG38" s="146">
        <f t="shared" si="7"/>
        <v>0.875</v>
      </c>
      <c r="AH38" s="79">
        <f t="shared" si="12"/>
        <v>12</v>
      </c>
      <c r="AI38" s="79">
        <f>'ETR_D2 (ex-PN93)'!Y74</f>
        <v>28</v>
      </c>
      <c r="AJ38" s="80">
        <f t="shared" si="13"/>
        <v>16</v>
      </c>
      <c r="AK38" s="974"/>
      <c r="AL38" s="975"/>
    </row>
    <row r="39" spans="1:38" ht="54.95" customHeight="1">
      <c r="A39" s="774" t="s">
        <v>10</v>
      </c>
      <c r="B39" s="775"/>
      <c r="C39" s="45">
        <f>SUM(C18:C21)</f>
        <v>1</v>
      </c>
      <c r="D39" s="46">
        <f t="shared" ref="D39:Z39" si="15">SUM(D18:D21)</f>
        <v>0</v>
      </c>
      <c r="E39" s="47">
        <f t="shared" si="15"/>
        <v>0</v>
      </c>
      <c r="F39" s="48">
        <f t="shared" si="15"/>
        <v>0</v>
      </c>
      <c r="G39" s="49">
        <f t="shared" si="15"/>
        <v>0</v>
      </c>
      <c r="H39" s="46">
        <f t="shared" si="15"/>
        <v>0</v>
      </c>
      <c r="I39" s="47">
        <f t="shared" si="15"/>
        <v>0</v>
      </c>
      <c r="J39" s="48">
        <f t="shared" si="15"/>
        <v>0</v>
      </c>
      <c r="K39" s="49">
        <f t="shared" si="15"/>
        <v>0</v>
      </c>
      <c r="L39" s="46">
        <f t="shared" si="15"/>
        <v>0</v>
      </c>
      <c r="M39" s="47">
        <f t="shared" si="15"/>
        <v>0</v>
      </c>
      <c r="N39" s="48">
        <f t="shared" si="15"/>
        <v>0</v>
      </c>
      <c r="O39" s="49">
        <f t="shared" si="15"/>
        <v>0</v>
      </c>
      <c r="P39" s="46">
        <f t="shared" si="15"/>
        <v>1</v>
      </c>
      <c r="Q39" s="47">
        <f t="shared" si="15"/>
        <v>0</v>
      </c>
      <c r="R39" s="50">
        <f t="shared" si="15"/>
        <v>1</v>
      </c>
      <c r="S39" s="49">
        <f t="shared" si="15"/>
        <v>2</v>
      </c>
      <c r="T39" s="46">
        <f t="shared" si="15"/>
        <v>2</v>
      </c>
      <c r="U39" s="47">
        <f t="shared" si="15"/>
        <v>1</v>
      </c>
      <c r="V39" s="48">
        <f t="shared" si="15"/>
        <v>1</v>
      </c>
      <c r="W39" s="49">
        <f t="shared" si="15"/>
        <v>0</v>
      </c>
      <c r="X39" s="46">
        <f t="shared" si="15"/>
        <v>0</v>
      </c>
      <c r="Y39" s="47">
        <f t="shared" si="15"/>
        <v>0</v>
      </c>
      <c r="Z39" s="50">
        <f t="shared" si="15"/>
        <v>0</v>
      </c>
      <c r="AA39" s="972" t="s">
        <v>10</v>
      </c>
      <c r="AB39" s="973"/>
      <c r="AC39" s="78">
        <f t="shared" si="6"/>
        <v>9</v>
      </c>
      <c r="AD39" s="146">
        <f t="shared" si="9"/>
        <v>0.44444444444444442</v>
      </c>
      <c r="AE39" s="146">
        <f t="shared" si="10"/>
        <v>0.33333333333333331</v>
      </c>
      <c r="AF39" s="146">
        <f t="shared" si="11"/>
        <v>0.33333333333333331</v>
      </c>
      <c r="AG39" s="146">
        <f t="shared" si="7"/>
        <v>0.88888888888888884</v>
      </c>
      <c r="AH39" s="79">
        <f t="shared" si="12"/>
        <v>6</v>
      </c>
      <c r="AI39" s="79">
        <f>'ETR_D2 (ex-PN93)'!Y77</f>
        <v>43</v>
      </c>
      <c r="AJ39" s="80">
        <f t="shared" ref="AJ39" si="16">AI39-AH39</f>
        <v>37</v>
      </c>
      <c r="AK39" s="974"/>
      <c r="AL39" s="975"/>
    </row>
    <row r="40" spans="1:38" ht="54.95" customHeight="1">
      <c r="A40" s="777" t="s">
        <v>29</v>
      </c>
      <c r="B40" s="778"/>
      <c r="C40" s="51">
        <f>SUM(C20:C23)</f>
        <v>0</v>
      </c>
      <c r="D40" s="52">
        <f t="shared" ref="D40:Z40" si="17">SUM(D20:D23)</f>
        <v>0</v>
      </c>
      <c r="E40" s="53">
        <f t="shared" si="17"/>
        <v>0</v>
      </c>
      <c r="F40" s="54">
        <f t="shared" si="17"/>
        <v>0</v>
      </c>
      <c r="G40" s="55">
        <f t="shared" si="17"/>
        <v>0</v>
      </c>
      <c r="H40" s="52">
        <f t="shared" si="17"/>
        <v>0</v>
      </c>
      <c r="I40" s="53">
        <f t="shared" si="17"/>
        <v>0</v>
      </c>
      <c r="J40" s="54">
        <f t="shared" si="17"/>
        <v>0</v>
      </c>
      <c r="K40" s="55">
        <f t="shared" si="17"/>
        <v>0</v>
      </c>
      <c r="L40" s="52">
        <f t="shared" si="17"/>
        <v>0</v>
      </c>
      <c r="M40" s="53">
        <f t="shared" si="17"/>
        <v>0</v>
      </c>
      <c r="N40" s="54">
        <f t="shared" si="17"/>
        <v>0</v>
      </c>
      <c r="O40" s="55">
        <f t="shared" si="17"/>
        <v>0</v>
      </c>
      <c r="P40" s="52">
        <f t="shared" si="17"/>
        <v>0</v>
      </c>
      <c r="Q40" s="53">
        <f t="shared" si="17"/>
        <v>0</v>
      </c>
      <c r="R40" s="56">
        <f t="shared" si="17"/>
        <v>0</v>
      </c>
      <c r="S40" s="55">
        <f t="shared" si="17"/>
        <v>0</v>
      </c>
      <c r="T40" s="52">
        <f t="shared" si="17"/>
        <v>0</v>
      </c>
      <c r="U40" s="53">
        <f t="shared" si="17"/>
        <v>0</v>
      </c>
      <c r="V40" s="54">
        <f t="shared" si="17"/>
        <v>0</v>
      </c>
      <c r="W40" s="55">
        <f t="shared" si="17"/>
        <v>0</v>
      </c>
      <c r="X40" s="52">
        <f t="shared" si="17"/>
        <v>0</v>
      </c>
      <c r="Y40" s="53">
        <f t="shared" si="17"/>
        <v>0</v>
      </c>
      <c r="Z40" s="56">
        <f t="shared" si="17"/>
        <v>0</v>
      </c>
      <c r="AA40" s="976" t="s">
        <v>29</v>
      </c>
      <c r="AB40" s="977"/>
      <c r="AC40" s="81">
        <f t="shared" si="6"/>
        <v>0</v>
      </c>
      <c r="AD40" s="148">
        <f t="shared" si="9"/>
        <v>0</v>
      </c>
      <c r="AE40" s="148">
        <f t="shared" si="10"/>
        <v>0</v>
      </c>
      <c r="AF40" s="148">
        <f t="shared" si="11"/>
        <v>0</v>
      </c>
      <c r="AG40" s="148">
        <f t="shared" si="7"/>
        <v>0</v>
      </c>
      <c r="AH40" s="82">
        <f t="shared" si="12"/>
        <v>0</v>
      </c>
      <c r="AI40" s="82">
        <f>'ETR_D2 (ex-PN93)'!Y78</f>
        <v>33</v>
      </c>
      <c r="AJ40" s="83">
        <f t="shared" ref="AJ40" si="18">AI40-AH40</f>
        <v>33</v>
      </c>
      <c r="AK40" s="978"/>
      <c r="AL40" s="979"/>
    </row>
    <row r="41" spans="1:38" ht="54.95" customHeight="1">
      <c r="A41" s="779" t="s">
        <v>12</v>
      </c>
      <c r="B41" s="780"/>
      <c r="C41" s="57">
        <f>SUM(C12:C23)</f>
        <v>1</v>
      </c>
      <c r="D41" s="58">
        <f t="shared" ref="D41:Z41" si="19">SUM(D12:D23)</f>
        <v>1</v>
      </c>
      <c r="E41" s="59">
        <f t="shared" si="19"/>
        <v>0</v>
      </c>
      <c r="F41" s="60">
        <f t="shared" si="19"/>
        <v>0</v>
      </c>
      <c r="G41" s="61">
        <f t="shared" si="19"/>
        <v>0</v>
      </c>
      <c r="H41" s="58">
        <f t="shared" si="19"/>
        <v>0</v>
      </c>
      <c r="I41" s="59">
        <f t="shared" si="19"/>
        <v>0</v>
      </c>
      <c r="J41" s="60">
        <f t="shared" si="19"/>
        <v>0</v>
      </c>
      <c r="K41" s="61">
        <f t="shared" si="19"/>
        <v>0</v>
      </c>
      <c r="L41" s="58">
        <f t="shared" si="19"/>
        <v>0</v>
      </c>
      <c r="M41" s="59">
        <f t="shared" si="19"/>
        <v>0</v>
      </c>
      <c r="N41" s="60">
        <f t="shared" si="19"/>
        <v>0</v>
      </c>
      <c r="O41" s="61">
        <f t="shared" si="19"/>
        <v>1</v>
      </c>
      <c r="P41" s="58">
        <f t="shared" si="19"/>
        <v>3</v>
      </c>
      <c r="Q41" s="59">
        <f t="shared" si="19"/>
        <v>0</v>
      </c>
      <c r="R41" s="62">
        <f t="shared" si="19"/>
        <v>1</v>
      </c>
      <c r="S41" s="61">
        <f t="shared" si="19"/>
        <v>5</v>
      </c>
      <c r="T41" s="58">
        <f t="shared" si="19"/>
        <v>9</v>
      </c>
      <c r="U41" s="59">
        <f t="shared" si="19"/>
        <v>4</v>
      </c>
      <c r="V41" s="60">
        <f t="shared" si="19"/>
        <v>1</v>
      </c>
      <c r="W41" s="61">
        <f t="shared" si="19"/>
        <v>0</v>
      </c>
      <c r="X41" s="58">
        <f t="shared" si="19"/>
        <v>0</v>
      </c>
      <c r="Y41" s="59">
        <f t="shared" si="19"/>
        <v>0</v>
      </c>
      <c r="Z41" s="62">
        <f t="shared" si="19"/>
        <v>0</v>
      </c>
      <c r="AA41" s="964" t="s">
        <v>12</v>
      </c>
      <c r="AB41" s="965"/>
      <c r="AC41" s="22">
        <f t="shared" si="6"/>
        <v>26</v>
      </c>
      <c r="AD41" s="267">
        <f t="shared" si="9"/>
        <v>0.42307692307692307</v>
      </c>
      <c r="AE41" s="267">
        <f t="shared" si="10"/>
        <v>0.23076923076923078</v>
      </c>
      <c r="AF41" s="267">
        <f t="shared" si="11"/>
        <v>0.66666666666666663</v>
      </c>
      <c r="AG41" s="267">
        <f t="shared" si="7"/>
        <v>0.92307692307692313</v>
      </c>
      <c r="AH41" s="24">
        <f t="shared" si="12"/>
        <v>19</v>
      </c>
      <c r="AI41" s="24">
        <f>'ETR_D2 (ex-PN93)'!Y77</f>
        <v>43</v>
      </c>
      <c r="AJ41" s="27">
        <f t="shared" si="13"/>
        <v>24</v>
      </c>
      <c r="AK41" s="1068"/>
      <c r="AL41" s="1069"/>
    </row>
    <row r="42" spans="1:38" ht="54.95" customHeight="1" thickBot="1">
      <c r="A42" s="781" t="str">
        <f>IF($AC$36=MAX($AC$36:$AC$40),A36,IF($AC$37=MAX($AC$36:$AC$40),A37,IF($AC$38=MAX($AC$36:$AC$40),A38,IF($AC$39=MAX($AC$36:$AC$40),A39,A40))))</f>
        <v>de 7:00 à 8:00</v>
      </c>
      <c r="B42" s="782"/>
      <c r="C42" s="63">
        <f>IF($AC$36=MAX($AC$36:$AC$40),C36,IF($AC$37=MAX($AC$36:$AC$40),C37,IF($AC$38=MAX($AC$36:$AC$40),C38,IF($AC$39=MAX($AC$36:$AC$40),C39,C40))))</f>
        <v>0</v>
      </c>
      <c r="D42" s="64">
        <f t="shared" ref="D42:Z42" si="20">IF($AC$36=MAX($AC$36:$AC$40),D36,IF($AC$37=MAX($AC$36:$AC$40),D37,IF($AC$38=MAX($AC$36:$AC$40),D38,IF($AC$39=MAX($AC$36:$AC$40),D39,D40))))</f>
        <v>1</v>
      </c>
      <c r="E42" s="65">
        <f t="shared" si="20"/>
        <v>0</v>
      </c>
      <c r="F42" s="66">
        <f t="shared" si="20"/>
        <v>0</v>
      </c>
      <c r="G42" s="67">
        <f t="shared" si="20"/>
        <v>0</v>
      </c>
      <c r="H42" s="64">
        <f t="shared" si="20"/>
        <v>0</v>
      </c>
      <c r="I42" s="65">
        <f t="shared" si="20"/>
        <v>0</v>
      </c>
      <c r="J42" s="66">
        <f t="shared" si="20"/>
        <v>0</v>
      </c>
      <c r="K42" s="67">
        <f t="shared" si="20"/>
        <v>0</v>
      </c>
      <c r="L42" s="64">
        <f t="shared" si="20"/>
        <v>0</v>
      </c>
      <c r="M42" s="65">
        <f t="shared" si="20"/>
        <v>0</v>
      </c>
      <c r="N42" s="66">
        <f t="shared" si="20"/>
        <v>0</v>
      </c>
      <c r="O42" s="67">
        <f t="shared" si="20"/>
        <v>1</v>
      </c>
      <c r="P42" s="64">
        <f t="shared" si="20"/>
        <v>2</v>
      </c>
      <c r="Q42" s="65">
        <f t="shared" si="20"/>
        <v>0</v>
      </c>
      <c r="R42" s="68">
        <f t="shared" si="20"/>
        <v>0</v>
      </c>
      <c r="S42" s="67">
        <f t="shared" si="20"/>
        <v>3</v>
      </c>
      <c r="T42" s="64">
        <f t="shared" si="20"/>
        <v>7</v>
      </c>
      <c r="U42" s="65">
        <f t="shared" si="20"/>
        <v>3</v>
      </c>
      <c r="V42" s="66">
        <f t="shared" si="20"/>
        <v>0</v>
      </c>
      <c r="W42" s="67">
        <f t="shared" si="20"/>
        <v>0</v>
      </c>
      <c r="X42" s="64">
        <f t="shared" si="20"/>
        <v>0</v>
      </c>
      <c r="Y42" s="65">
        <f t="shared" si="20"/>
        <v>0</v>
      </c>
      <c r="Z42" s="68">
        <f t="shared" si="20"/>
        <v>0</v>
      </c>
      <c r="AA42" s="968" t="str">
        <f>A42</f>
        <v>de 7:00 à 8:00</v>
      </c>
      <c r="AB42" s="969"/>
      <c r="AC42" s="23">
        <f t="shared" si="6"/>
        <v>17</v>
      </c>
      <c r="AD42" s="268">
        <f t="shared" si="9"/>
        <v>0.41176470588235292</v>
      </c>
      <c r="AE42" s="268">
        <f t="shared" si="10"/>
        <v>0.17647058823529413</v>
      </c>
      <c r="AF42" s="268">
        <f t="shared" si="11"/>
        <v>1</v>
      </c>
      <c r="AG42" s="268">
        <f t="shared" si="7"/>
        <v>0.94117647058823528</v>
      </c>
      <c r="AH42" s="25">
        <f t="shared" si="12"/>
        <v>13</v>
      </c>
      <c r="AI42" s="25">
        <f>'ETR_D2 (ex-PN93)'!Y78</f>
        <v>33</v>
      </c>
      <c r="AJ42" s="28">
        <f t="shared" si="13"/>
        <v>20</v>
      </c>
      <c r="AK42" s="1066"/>
      <c r="AL42" s="1067"/>
    </row>
    <row r="43" spans="1:38" ht="12.75" customHeight="1" thickTop="1" thickBot="1">
      <c r="A43" s="125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5"/>
      <c r="T43" s="126"/>
      <c r="U43" s="126"/>
      <c r="V43" s="126"/>
      <c r="W43" s="126"/>
      <c r="X43" s="126"/>
      <c r="Y43" s="126"/>
      <c r="Z43" s="126"/>
      <c r="AA43" s="300"/>
      <c r="AB43" s="300"/>
      <c r="AC43" s="126"/>
      <c r="AD43" s="126"/>
      <c r="AE43" s="125"/>
      <c r="AF43" s="126"/>
      <c r="AG43" s="126"/>
      <c r="AH43" s="126"/>
      <c r="AI43" s="126"/>
      <c r="AJ43" s="126"/>
      <c r="AK43" s="300"/>
      <c r="AL43" s="301"/>
    </row>
    <row r="44" spans="1:38" ht="32.25" customHeight="1" thickTop="1">
      <c r="A44" s="131"/>
      <c r="B44" s="71"/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131"/>
      <c r="AB44" s="71"/>
      <c r="AC44" s="290"/>
      <c r="AD44" s="1070" t="s">
        <v>115</v>
      </c>
      <c r="AE44" s="1070" t="s">
        <v>116</v>
      </c>
      <c r="AF44" s="1070" t="s">
        <v>117</v>
      </c>
      <c r="AG44" s="1049" t="s">
        <v>19</v>
      </c>
      <c r="AH44" s="293"/>
      <c r="AI44" s="294"/>
      <c r="AJ44" s="294"/>
      <c r="AK44" s="294"/>
      <c r="AL44" s="294"/>
    </row>
    <row r="45" spans="1:38" ht="22.7" customHeight="1">
      <c r="A45" s="131"/>
      <c r="B45" s="71"/>
      <c r="C45" s="298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8"/>
      <c r="W45" s="298"/>
      <c r="X45" s="298"/>
      <c r="Y45" s="298"/>
      <c r="Z45" s="298"/>
      <c r="AA45" s="131"/>
      <c r="AB45" s="71"/>
      <c r="AC45" s="290"/>
      <c r="AD45" s="1071"/>
      <c r="AE45" s="1071"/>
      <c r="AF45" s="1071"/>
      <c r="AG45" s="1050"/>
      <c r="AH45" s="293"/>
      <c r="AI45" s="294"/>
      <c r="AJ45" s="294"/>
      <c r="AK45" s="294"/>
      <c r="AL45" s="294"/>
    </row>
    <row r="46" spans="1:38" ht="18.600000000000001" customHeight="1">
      <c r="A46" s="131"/>
      <c r="B46" s="71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  <c r="Z46" s="299"/>
      <c r="AA46" s="131"/>
      <c r="AB46" s="71"/>
      <c r="AC46" s="290"/>
      <c r="AD46" s="1071"/>
      <c r="AE46" s="1071"/>
      <c r="AF46" s="1071"/>
      <c r="AG46" s="1050"/>
      <c r="AH46" s="293"/>
      <c r="AI46" s="294"/>
      <c r="AJ46" s="294"/>
      <c r="AK46" s="294"/>
      <c r="AL46" s="294"/>
    </row>
    <row r="47" spans="1:38" ht="20.25">
      <c r="A47" s="291"/>
      <c r="B47" s="2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291"/>
      <c r="AB47" s="291"/>
      <c r="AC47" s="290"/>
      <c r="AD47" s="1072"/>
      <c r="AE47" s="1072"/>
      <c r="AF47" s="1072"/>
      <c r="AG47" s="1051"/>
      <c r="AH47" s="293"/>
      <c r="AI47" s="294"/>
      <c r="AJ47" s="294"/>
      <c r="AK47" s="294"/>
      <c r="AL47" s="294"/>
    </row>
    <row r="48" spans="1:38" ht="54.95" customHeight="1">
      <c r="A48" s="291"/>
      <c r="B48" s="291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291"/>
      <c r="AB48" s="291"/>
      <c r="AC48" s="292"/>
      <c r="AD48" s="272">
        <f>(C36+E36+G36+I36+K36+M36+O36+Q36+S36+U36+W36+Y36)</f>
        <v>4</v>
      </c>
      <c r="AE48" s="272">
        <f>(E36+F36+I36+J36+M36+N36+Q36+R36+U36+V36+Y36+Z36)</f>
        <v>1</v>
      </c>
      <c r="AF48" s="272">
        <f>(E36+I36+M36+Q36+U36+Y36)</f>
        <v>1</v>
      </c>
      <c r="AG48" s="272">
        <f>SUM(G36:J36,O36:Z36)</f>
        <v>10</v>
      </c>
      <c r="AH48" s="295"/>
      <c r="AI48" s="129"/>
      <c r="AJ48" s="129"/>
      <c r="AK48" s="296"/>
      <c r="AL48" s="296"/>
    </row>
    <row r="49" spans="1:38" ht="54.95" customHeight="1">
      <c r="A49" s="291"/>
      <c r="B49" s="291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291"/>
      <c r="AB49" s="291"/>
      <c r="AC49" s="292"/>
      <c r="AD49" s="273">
        <f t="shared" ref="AD49:AD54" si="21">(C37+E37+G37+I37+K37+M37+O37+Q37+S37+U37+W37+Y37)</f>
        <v>7</v>
      </c>
      <c r="AE49" s="273">
        <f t="shared" ref="AE49:AE54" si="22">(E37+F37+I37+J37+M37+N37+Q37+R37+U37+V37+Y37+Z37)</f>
        <v>3</v>
      </c>
      <c r="AF49" s="273">
        <f t="shared" ref="AF49:AF54" si="23">(E37+I37+M37+Q37+U37+Y37)</f>
        <v>3</v>
      </c>
      <c r="AG49" s="273">
        <f t="shared" ref="AG49:AG54" si="24">SUM(G37:J37,O37:Z37)</f>
        <v>16</v>
      </c>
      <c r="AH49" s="295"/>
      <c r="AI49" s="129"/>
      <c r="AJ49" s="129"/>
      <c r="AK49" s="296"/>
      <c r="AL49" s="296"/>
    </row>
    <row r="50" spans="1:38" ht="54.95" customHeight="1">
      <c r="A50" s="291"/>
      <c r="B50" s="291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291"/>
      <c r="AB50" s="291"/>
      <c r="AC50" s="292"/>
      <c r="AD50" s="273">
        <f t="shared" si="21"/>
        <v>7</v>
      </c>
      <c r="AE50" s="273">
        <f t="shared" si="22"/>
        <v>5</v>
      </c>
      <c r="AF50" s="273">
        <f t="shared" si="23"/>
        <v>3</v>
      </c>
      <c r="AG50" s="273">
        <f t="shared" si="24"/>
        <v>14</v>
      </c>
      <c r="AH50" s="295"/>
      <c r="AI50" s="129"/>
      <c r="AJ50" s="129"/>
      <c r="AK50" s="296"/>
      <c r="AL50" s="296"/>
    </row>
    <row r="51" spans="1:38" ht="54.95" customHeight="1">
      <c r="A51" s="291"/>
      <c r="B51" s="291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291"/>
      <c r="AB51" s="291"/>
      <c r="AC51" s="292"/>
      <c r="AD51" s="273">
        <f t="shared" si="21"/>
        <v>4</v>
      </c>
      <c r="AE51" s="273">
        <f t="shared" si="22"/>
        <v>3</v>
      </c>
      <c r="AF51" s="273">
        <f t="shared" si="23"/>
        <v>1</v>
      </c>
      <c r="AG51" s="273">
        <f t="shared" si="24"/>
        <v>8</v>
      </c>
      <c r="AH51" s="295"/>
      <c r="AI51" s="129"/>
      <c r="AJ51" s="129"/>
      <c r="AK51" s="296"/>
      <c r="AL51" s="296"/>
    </row>
    <row r="52" spans="1:38" ht="54.95" customHeight="1">
      <c r="A52" s="291"/>
      <c r="B52" s="291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291"/>
      <c r="AB52" s="291"/>
      <c r="AC52" s="292"/>
      <c r="AD52" s="274">
        <f t="shared" si="21"/>
        <v>0</v>
      </c>
      <c r="AE52" s="274">
        <f t="shared" si="22"/>
        <v>0</v>
      </c>
      <c r="AF52" s="274">
        <f t="shared" si="23"/>
        <v>0</v>
      </c>
      <c r="AG52" s="274">
        <f t="shared" si="24"/>
        <v>0</v>
      </c>
      <c r="AH52" s="295"/>
      <c r="AI52" s="129"/>
      <c r="AJ52" s="129"/>
      <c r="AK52" s="296"/>
      <c r="AL52" s="296"/>
    </row>
    <row r="53" spans="1:38" ht="54.95" customHeight="1">
      <c r="A53" s="291"/>
      <c r="B53" s="2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291"/>
      <c r="AB53" s="291"/>
      <c r="AC53" s="292"/>
      <c r="AD53" s="275">
        <f t="shared" si="21"/>
        <v>11</v>
      </c>
      <c r="AE53" s="275">
        <f t="shared" si="22"/>
        <v>6</v>
      </c>
      <c r="AF53" s="275">
        <f t="shared" si="23"/>
        <v>4</v>
      </c>
      <c r="AG53" s="275">
        <f t="shared" si="24"/>
        <v>24</v>
      </c>
      <c r="AH53" s="295"/>
      <c r="AI53" s="129"/>
      <c r="AJ53" s="129"/>
      <c r="AK53" s="296"/>
      <c r="AL53" s="296"/>
    </row>
    <row r="54" spans="1:38" ht="54.95" customHeight="1" thickBot="1">
      <c r="A54" s="291"/>
      <c r="B54" s="2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291"/>
      <c r="AB54" s="291"/>
      <c r="AC54" s="292"/>
      <c r="AD54" s="276">
        <f t="shared" si="21"/>
        <v>7</v>
      </c>
      <c r="AE54" s="276">
        <f t="shared" si="22"/>
        <v>3</v>
      </c>
      <c r="AF54" s="276">
        <f t="shared" si="23"/>
        <v>3</v>
      </c>
      <c r="AG54" s="276">
        <f t="shared" si="24"/>
        <v>16</v>
      </c>
      <c r="AH54" s="295"/>
      <c r="AI54" s="129"/>
      <c r="AJ54" s="129"/>
      <c r="AK54" s="296"/>
      <c r="AL54" s="296"/>
    </row>
    <row r="55" spans="1:38" s="26" customFormat="1" ht="25.5" customHeight="1" thickTop="1">
      <c r="A55" s="279"/>
      <c r="B55" s="269"/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80"/>
      <c r="S55" s="269"/>
      <c r="T55" s="269"/>
      <c r="U55" s="269"/>
      <c r="V55" s="269"/>
      <c r="W55" s="269"/>
      <c r="X55" s="269"/>
      <c r="Y55" s="269"/>
      <c r="Z55" s="280"/>
      <c r="AA55" s="280"/>
      <c r="AB55" s="280"/>
      <c r="AC55" s="280"/>
      <c r="AD55" s="280"/>
      <c r="AE55" s="280"/>
      <c r="AF55" s="280"/>
      <c r="AG55" s="280"/>
      <c r="AH55" s="280"/>
      <c r="AI55" s="280"/>
      <c r="AJ55" s="280"/>
      <c r="AK55" s="280"/>
      <c r="AL55" s="280"/>
    </row>
  </sheetData>
  <mergeCells count="77">
    <mergeCell ref="AE44:AE47"/>
    <mergeCell ref="AF44:AF47"/>
    <mergeCell ref="AG44:AG47"/>
    <mergeCell ref="AD44:AD47"/>
    <mergeCell ref="A38:B38"/>
    <mergeCell ref="A39:B39"/>
    <mergeCell ref="AA39:AB39"/>
    <mergeCell ref="AA42:AB42"/>
    <mergeCell ref="AA41:AB41"/>
    <mergeCell ref="I34:J34"/>
    <mergeCell ref="K34:L34"/>
    <mergeCell ref="C32:J32"/>
    <mergeCell ref="K32:R32"/>
    <mergeCell ref="E34:F34"/>
    <mergeCell ref="G34:H34"/>
    <mergeCell ref="C33:F33"/>
    <mergeCell ref="G33:J33"/>
    <mergeCell ref="O33:R33"/>
    <mergeCell ref="AA36:AB36"/>
    <mergeCell ref="AA37:AB37"/>
    <mergeCell ref="AA38:AB38"/>
    <mergeCell ref="AK39:AL39"/>
    <mergeCell ref="A40:B40"/>
    <mergeCell ref="AA40:AB40"/>
    <mergeCell ref="AK40:AL40"/>
    <mergeCell ref="Y10:Z10"/>
    <mergeCell ref="K33:N33"/>
    <mergeCell ref="A41:B41"/>
    <mergeCell ref="A42:B42"/>
    <mergeCell ref="AC32:AC35"/>
    <mergeCell ref="W34:X34"/>
    <mergeCell ref="Y34:Z34"/>
    <mergeCell ref="A35:B35"/>
    <mergeCell ref="A36:B36"/>
    <mergeCell ref="A37:B37"/>
    <mergeCell ref="M34:N34"/>
    <mergeCell ref="O34:P34"/>
    <mergeCell ref="Q34:R34"/>
    <mergeCell ref="S34:T34"/>
    <mergeCell ref="U34:V34"/>
    <mergeCell ref="C34:D34"/>
    <mergeCell ref="S10:T10"/>
    <mergeCell ref="U10:V10"/>
    <mergeCell ref="O10:P10"/>
    <mergeCell ref="Q10:R10"/>
    <mergeCell ref="W10:X10"/>
    <mergeCell ref="K10:L10"/>
    <mergeCell ref="M10:N10"/>
    <mergeCell ref="C10:D10"/>
    <mergeCell ref="E10:F10"/>
    <mergeCell ref="G10:H10"/>
    <mergeCell ref="I10:J10"/>
    <mergeCell ref="C8:J8"/>
    <mergeCell ref="S8:Z8"/>
    <mergeCell ref="C9:F9"/>
    <mergeCell ref="G9:J9"/>
    <mergeCell ref="S9:V9"/>
    <mergeCell ref="W9:Z9"/>
    <mergeCell ref="K8:R8"/>
    <mergeCell ref="K9:N9"/>
    <mergeCell ref="O9:R9"/>
    <mergeCell ref="AK42:AL42"/>
    <mergeCell ref="AJ32:AL35"/>
    <mergeCell ref="AK36:AL36"/>
    <mergeCell ref="AK37:AL37"/>
    <mergeCell ref="AK38:AL38"/>
    <mergeCell ref="AK41:AL41"/>
    <mergeCell ref="S33:V33"/>
    <mergeCell ref="W33:Z33"/>
    <mergeCell ref="AH32:AH35"/>
    <mergeCell ref="AI32:AI35"/>
    <mergeCell ref="S32:Z32"/>
    <mergeCell ref="AE32:AE35"/>
    <mergeCell ref="AF32:AF35"/>
    <mergeCell ref="AG32:AG35"/>
    <mergeCell ref="AD32:AD35"/>
    <mergeCell ref="AA35:AB35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2" manualBreakCount="2">
    <brk id="24" max="16383" man="1"/>
    <brk id="54" max="37" man="1"/>
  </rowBreaks>
  <colBreaks count="2" manualBreakCount="2">
    <brk id="26" min="24" max="53" man="1"/>
    <brk id="26" max="22" man="1"/>
  </colBreaks>
  <ignoredErrors>
    <ignoredError sqref="C36:Z38 E39:Z40 D3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Q64"/>
  <sheetViews>
    <sheetView view="pageBreakPreview" zoomScale="50" zoomScaleNormal="40" zoomScaleSheetLayoutView="50" workbookViewId="0">
      <selection activeCell="H13" sqref="H13"/>
    </sheetView>
  </sheetViews>
  <sheetFormatPr baseColWidth="10" defaultRowHeight="14.25"/>
  <cols>
    <col min="1" max="1" width="9.125" style="169" customWidth="1"/>
    <col min="2" max="2" width="13.75" style="169" customWidth="1"/>
    <col min="3" max="26" width="10.875" style="169" customWidth="1"/>
    <col min="27" max="27" width="9.125" style="169" customWidth="1"/>
    <col min="28" max="28" width="13.75" style="169" customWidth="1"/>
    <col min="29" max="36" width="21.125" style="169" customWidth="1"/>
    <col min="37" max="37" width="82.625" style="169" customWidth="1"/>
    <col min="38" max="38" width="21.125" style="169" customWidth="1"/>
    <col min="39" max="43" width="10.625" style="169" customWidth="1"/>
    <col min="44" max="16384" width="11" style="169"/>
  </cols>
  <sheetData>
    <row r="1" spans="1:36" ht="52.5" customHeight="1" thickBot="1">
      <c r="A1" s="500" t="s">
        <v>89</v>
      </c>
      <c r="B1" s="168" t="s">
        <v>80</v>
      </c>
      <c r="C1" s="501"/>
      <c r="D1" s="501"/>
      <c r="E1" s="501"/>
      <c r="F1" s="502"/>
      <c r="G1" s="502"/>
      <c r="H1" s="501"/>
      <c r="I1" s="501"/>
      <c r="J1" s="502"/>
      <c r="K1" s="502"/>
      <c r="L1" s="503"/>
      <c r="M1" s="504" t="s">
        <v>30</v>
      </c>
      <c r="N1" s="443" t="s">
        <v>141</v>
      </c>
      <c r="O1" s="501"/>
      <c r="P1" s="501"/>
      <c r="Q1" s="501"/>
      <c r="R1" s="501"/>
      <c r="S1" s="501"/>
      <c r="T1" s="501"/>
      <c r="U1" s="501"/>
      <c r="V1" s="505"/>
      <c r="W1" s="506"/>
      <c r="X1" s="506"/>
      <c r="Y1" s="506"/>
      <c r="Z1" s="507"/>
    </row>
    <row r="2" spans="1:36" ht="52.5" customHeight="1" thickBot="1">
      <c r="A2" s="508" t="s">
        <v>2</v>
      </c>
      <c r="B2" s="509"/>
      <c r="C2" s="509"/>
      <c r="D2" s="509"/>
      <c r="E2" s="509"/>
      <c r="F2" s="509"/>
      <c r="G2" s="168"/>
      <c r="H2" s="501"/>
      <c r="I2" s="501"/>
      <c r="J2" s="501"/>
      <c r="K2" s="501"/>
      <c r="L2" s="501"/>
      <c r="M2" s="501"/>
      <c r="N2" s="501"/>
      <c r="O2" s="501"/>
      <c r="P2" s="501"/>
      <c r="Q2" s="501"/>
      <c r="R2" s="501"/>
      <c r="S2" s="501"/>
      <c r="T2" s="501"/>
      <c r="U2" s="501"/>
      <c r="V2" s="505"/>
      <c r="W2" s="509"/>
      <c r="X2" s="509"/>
      <c r="Y2" s="509"/>
      <c r="Z2" s="509"/>
    </row>
    <row r="3" spans="1:36" ht="52.5" customHeight="1" thickBot="1">
      <c r="A3" s="508" t="s">
        <v>3</v>
      </c>
      <c r="B3" s="509"/>
      <c r="C3" s="168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5"/>
      <c r="W3" s="509"/>
      <c r="X3" s="509"/>
      <c r="Y3" s="509"/>
      <c r="Z3" s="510"/>
    </row>
    <row r="4" spans="1:36" ht="52.5" customHeight="1" thickBot="1">
      <c r="A4" s="508" t="s">
        <v>27</v>
      </c>
      <c r="B4" s="509"/>
      <c r="C4" s="168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  <c r="P4" s="501"/>
      <c r="Q4" s="501"/>
      <c r="R4" s="501"/>
      <c r="S4" s="501"/>
      <c r="T4" s="501"/>
      <c r="U4" s="501"/>
      <c r="V4" s="505"/>
      <c r="W4" s="509"/>
      <c r="X4" s="509"/>
      <c r="Y4" s="509"/>
      <c r="Z4" s="510"/>
    </row>
    <row r="5" spans="1:36" ht="25.5" customHeight="1">
      <c r="A5" s="508" t="s">
        <v>71</v>
      </c>
      <c r="B5" s="509"/>
      <c r="C5" s="509" t="s">
        <v>72</v>
      </c>
      <c r="D5" s="509"/>
      <c r="E5" s="509"/>
      <c r="F5" s="509"/>
      <c r="G5" s="509"/>
      <c r="H5" s="509"/>
      <c r="I5" s="509"/>
      <c r="J5" s="509"/>
      <c r="K5" s="509"/>
      <c r="L5" s="509"/>
      <c r="M5" s="509"/>
      <c r="N5" s="509"/>
      <c r="O5" s="509"/>
      <c r="P5" s="509"/>
      <c r="Q5" s="509"/>
      <c r="R5" s="510"/>
      <c r="S5" s="509"/>
      <c r="T5" s="509"/>
      <c r="U5" s="509"/>
      <c r="V5" s="509"/>
      <c r="W5" s="509"/>
      <c r="X5" s="509"/>
      <c r="Y5" s="509"/>
      <c r="Z5" s="510"/>
    </row>
    <row r="6" spans="1:36" ht="25.5" customHeight="1">
      <c r="A6" s="511"/>
      <c r="B6" s="509"/>
      <c r="C6" s="509" t="s">
        <v>91</v>
      </c>
      <c r="D6" s="509"/>
      <c r="E6" s="509"/>
      <c r="F6" s="509"/>
      <c r="G6" s="509"/>
      <c r="H6" s="509"/>
      <c r="I6" s="509"/>
      <c r="J6" s="509"/>
      <c r="K6" s="509"/>
      <c r="L6" s="509"/>
      <c r="M6" s="509"/>
      <c r="N6" s="509"/>
      <c r="O6" s="509"/>
      <c r="P6" s="509"/>
      <c r="Q6" s="509"/>
      <c r="R6" s="510"/>
      <c r="S6" s="509"/>
      <c r="T6" s="509"/>
      <c r="U6" s="509"/>
      <c r="V6" s="509"/>
      <c r="W6" s="509"/>
      <c r="X6" s="509"/>
      <c r="Y6" s="509"/>
      <c r="Z6" s="510"/>
    </row>
    <row r="7" spans="1:36" ht="25.5" customHeight="1" thickBot="1">
      <c r="A7" s="511"/>
      <c r="B7" s="509"/>
      <c r="C7" s="509"/>
      <c r="D7" s="509"/>
      <c r="E7" s="509"/>
      <c r="F7" s="509"/>
      <c r="G7" s="509"/>
      <c r="H7" s="509"/>
      <c r="I7" s="509"/>
      <c r="J7" s="509"/>
      <c r="K7" s="509"/>
      <c r="L7" s="509"/>
      <c r="M7" s="509"/>
      <c r="N7" s="509"/>
      <c r="O7" s="509"/>
      <c r="P7" s="509"/>
      <c r="Q7" s="509"/>
      <c r="R7" s="510"/>
      <c r="S7" s="509"/>
      <c r="T7" s="509"/>
      <c r="U7" s="509"/>
      <c r="V7" s="509"/>
      <c r="W7" s="509"/>
      <c r="X7" s="509"/>
      <c r="Y7" s="509"/>
      <c r="Z7" s="510"/>
    </row>
    <row r="8" spans="1:36" ht="32.25" customHeight="1" thickTop="1">
      <c r="A8" s="512"/>
      <c r="B8" s="513"/>
      <c r="C8" s="856" t="s">
        <v>74</v>
      </c>
      <c r="D8" s="857"/>
      <c r="E8" s="857"/>
      <c r="F8" s="857"/>
      <c r="G8" s="857"/>
      <c r="H8" s="857"/>
      <c r="I8" s="857"/>
      <c r="J8" s="857"/>
      <c r="K8" s="857" t="s">
        <v>39</v>
      </c>
      <c r="L8" s="857"/>
      <c r="M8" s="857"/>
      <c r="N8" s="857"/>
      <c r="O8" s="857"/>
      <c r="P8" s="857"/>
      <c r="Q8" s="857"/>
      <c r="R8" s="858"/>
      <c r="S8" s="857" t="s">
        <v>76</v>
      </c>
      <c r="T8" s="857"/>
      <c r="U8" s="857"/>
      <c r="V8" s="857"/>
      <c r="W8" s="857"/>
      <c r="X8" s="857"/>
      <c r="Y8" s="857"/>
      <c r="Z8" s="858"/>
      <c r="AA8" s="170"/>
      <c r="AB8" s="170"/>
      <c r="AD8" s="171"/>
      <c r="AE8" s="171"/>
      <c r="AF8" s="171"/>
      <c r="AG8" s="171"/>
      <c r="AH8" s="171"/>
      <c r="AI8" s="171"/>
      <c r="AJ8" s="171"/>
    </row>
    <row r="9" spans="1:36" ht="22.7" customHeight="1">
      <c r="A9" s="512"/>
      <c r="B9" s="513"/>
      <c r="C9" s="859" t="s">
        <v>37</v>
      </c>
      <c r="D9" s="860"/>
      <c r="E9" s="860"/>
      <c r="F9" s="860"/>
      <c r="G9" s="861" t="s">
        <v>75</v>
      </c>
      <c r="H9" s="861"/>
      <c r="I9" s="861"/>
      <c r="J9" s="861"/>
      <c r="K9" s="860" t="s">
        <v>75</v>
      </c>
      <c r="L9" s="860"/>
      <c r="M9" s="860"/>
      <c r="N9" s="860"/>
      <c r="O9" s="861" t="s">
        <v>77</v>
      </c>
      <c r="P9" s="861"/>
      <c r="Q9" s="861"/>
      <c r="R9" s="862"/>
      <c r="S9" s="860" t="s">
        <v>37</v>
      </c>
      <c r="T9" s="860"/>
      <c r="U9" s="860"/>
      <c r="V9" s="860"/>
      <c r="W9" s="861" t="s">
        <v>77</v>
      </c>
      <c r="X9" s="861"/>
      <c r="Y9" s="861"/>
      <c r="Z9" s="862"/>
      <c r="AA9" s="170"/>
      <c r="AB9" s="170"/>
    </row>
    <row r="10" spans="1:36" ht="18.600000000000001" customHeight="1" thickBot="1">
      <c r="A10" s="512"/>
      <c r="B10" s="513"/>
      <c r="C10" s="865" t="s">
        <v>4</v>
      </c>
      <c r="D10" s="866"/>
      <c r="E10" s="863" t="s">
        <v>5</v>
      </c>
      <c r="F10" s="867"/>
      <c r="G10" s="868" t="s">
        <v>4</v>
      </c>
      <c r="H10" s="866"/>
      <c r="I10" s="863" t="s">
        <v>5</v>
      </c>
      <c r="J10" s="867"/>
      <c r="K10" s="868" t="s">
        <v>4</v>
      </c>
      <c r="L10" s="866"/>
      <c r="M10" s="863" t="s">
        <v>5</v>
      </c>
      <c r="N10" s="867"/>
      <c r="O10" s="868" t="s">
        <v>4</v>
      </c>
      <c r="P10" s="866"/>
      <c r="Q10" s="863" t="s">
        <v>5</v>
      </c>
      <c r="R10" s="864"/>
      <c r="S10" s="868" t="s">
        <v>4</v>
      </c>
      <c r="T10" s="866"/>
      <c r="U10" s="863" t="s">
        <v>5</v>
      </c>
      <c r="V10" s="867"/>
      <c r="W10" s="868" t="s">
        <v>4</v>
      </c>
      <c r="X10" s="866"/>
      <c r="Y10" s="863" t="s">
        <v>5</v>
      </c>
      <c r="Z10" s="864"/>
      <c r="AA10" s="170"/>
      <c r="AB10" s="170"/>
    </row>
    <row r="11" spans="1:36" ht="21" thickTop="1">
      <c r="A11" s="514" t="s">
        <v>6</v>
      </c>
      <c r="B11" s="515" t="s">
        <v>7</v>
      </c>
      <c r="C11" s="516" t="s">
        <v>8</v>
      </c>
      <c r="D11" s="517" t="s">
        <v>9</v>
      </c>
      <c r="E11" s="518" t="s">
        <v>8</v>
      </c>
      <c r="F11" s="519" t="s">
        <v>9</v>
      </c>
      <c r="G11" s="520" t="s">
        <v>8</v>
      </c>
      <c r="H11" s="517" t="s">
        <v>9</v>
      </c>
      <c r="I11" s="518" t="s">
        <v>8</v>
      </c>
      <c r="J11" s="519" t="s">
        <v>9</v>
      </c>
      <c r="K11" s="520" t="s">
        <v>8</v>
      </c>
      <c r="L11" s="517" t="s">
        <v>9</v>
      </c>
      <c r="M11" s="518" t="s">
        <v>8</v>
      </c>
      <c r="N11" s="519" t="s">
        <v>9</v>
      </c>
      <c r="O11" s="520" t="s">
        <v>8</v>
      </c>
      <c r="P11" s="517" t="s">
        <v>9</v>
      </c>
      <c r="Q11" s="518" t="s">
        <v>8</v>
      </c>
      <c r="R11" s="521" t="s">
        <v>9</v>
      </c>
      <c r="S11" s="520" t="s">
        <v>8</v>
      </c>
      <c r="T11" s="517" t="s">
        <v>9</v>
      </c>
      <c r="U11" s="518" t="s">
        <v>8</v>
      </c>
      <c r="V11" s="519" t="s">
        <v>9</v>
      </c>
      <c r="W11" s="520" t="s">
        <v>8</v>
      </c>
      <c r="X11" s="517" t="s">
        <v>9</v>
      </c>
      <c r="Y11" s="518" t="s">
        <v>8</v>
      </c>
      <c r="Z11" s="521" t="s">
        <v>9</v>
      </c>
      <c r="AA11" s="170"/>
      <c r="AB11" s="170"/>
      <c r="AC11" s="172"/>
    </row>
    <row r="12" spans="1:36" ht="54.95" customHeight="1">
      <c r="A12" s="522">
        <v>6</v>
      </c>
      <c r="B12" s="523" t="s">
        <v>25</v>
      </c>
      <c r="C12" s="173"/>
      <c r="D12" s="174"/>
      <c r="E12" s="175"/>
      <c r="F12" s="176"/>
      <c r="G12" s="177"/>
      <c r="H12" s="174"/>
      <c r="I12" s="175"/>
      <c r="J12" s="176"/>
      <c r="K12" s="177"/>
      <c r="L12" s="174"/>
      <c r="M12" s="175"/>
      <c r="N12" s="176"/>
      <c r="O12" s="177"/>
      <c r="P12" s="174"/>
      <c r="Q12" s="175"/>
      <c r="R12" s="178"/>
      <c r="S12" s="177"/>
      <c r="T12" s="174"/>
      <c r="U12" s="175"/>
      <c r="V12" s="176"/>
      <c r="W12" s="177"/>
      <c r="X12" s="174"/>
      <c r="Y12" s="175"/>
      <c r="Z12" s="178"/>
      <c r="AA12" s="170"/>
      <c r="AB12" s="170"/>
      <c r="AC12" s="179"/>
      <c r="AD12" s="179"/>
      <c r="AE12" s="179"/>
      <c r="AF12" s="179"/>
      <c r="AG12" s="179"/>
      <c r="AH12" s="179"/>
      <c r="AI12" s="179"/>
      <c r="AJ12" s="179"/>
    </row>
    <row r="13" spans="1:36" ht="54.95" customHeight="1">
      <c r="A13" s="522"/>
      <c r="B13" s="523" t="s">
        <v>26</v>
      </c>
      <c r="C13" s="173"/>
      <c r="D13" s="174"/>
      <c r="E13" s="175"/>
      <c r="F13" s="176"/>
      <c r="G13" s="177"/>
      <c r="H13" s="174"/>
      <c r="I13" s="175"/>
      <c r="J13" s="176"/>
      <c r="K13" s="177"/>
      <c r="L13" s="174"/>
      <c r="M13" s="175"/>
      <c r="N13" s="176"/>
      <c r="O13" s="177"/>
      <c r="P13" s="174"/>
      <c r="Q13" s="175"/>
      <c r="R13" s="178"/>
      <c r="S13" s="177"/>
      <c r="T13" s="174"/>
      <c r="U13" s="175"/>
      <c r="V13" s="176"/>
      <c r="W13" s="177"/>
      <c r="X13" s="174"/>
      <c r="Y13" s="175"/>
      <c r="Z13" s="178"/>
      <c r="AA13" s="170"/>
      <c r="AB13" s="170"/>
      <c r="AC13" s="179"/>
      <c r="AD13" s="179"/>
      <c r="AE13" s="179"/>
      <c r="AF13" s="179"/>
      <c r="AG13" s="179"/>
      <c r="AH13" s="179"/>
      <c r="AI13" s="179"/>
      <c r="AJ13" s="179"/>
    </row>
    <row r="14" spans="1:36" ht="54.95" customHeight="1">
      <c r="A14" s="522">
        <v>7</v>
      </c>
      <c r="B14" s="523" t="s">
        <v>23</v>
      </c>
      <c r="C14" s="173"/>
      <c r="D14" s="174"/>
      <c r="E14" s="175"/>
      <c r="F14" s="176"/>
      <c r="G14" s="177"/>
      <c r="H14" s="174"/>
      <c r="I14" s="175"/>
      <c r="J14" s="176"/>
      <c r="K14" s="177"/>
      <c r="L14" s="174"/>
      <c r="M14" s="175"/>
      <c r="N14" s="176"/>
      <c r="O14" s="177"/>
      <c r="P14" s="174"/>
      <c r="Q14" s="175"/>
      <c r="R14" s="178"/>
      <c r="S14" s="177"/>
      <c r="T14" s="174"/>
      <c r="U14" s="175"/>
      <c r="V14" s="176"/>
      <c r="W14" s="177"/>
      <c r="X14" s="174"/>
      <c r="Y14" s="175"/>
      <c r="Z14" s="178"/>
      <c r="AA14" s="170"/>
      <c r="AB14" s="170"/>
      <c r="AC14" s="179"/>
      <c r="AD14" s="179"/>
      <c r="AE14" s="179"/>
      <c r="AF14" s="179"/>
      <c r="AG14" s="179"/>
      <c r="AH14" s="179"/>
      <c r="AI14" s="179"/>
      <c r="AJ14" s="179"/>
    </row>
    <row r="15" spans="1:36" ht="54.95" customHeight="1">
      <c r="A15" s="522"/>
      <c r="B15" s="523" t="s">
        <v>24</v>
      </c>
      <c r="C15" s="173"/>
      <c r="D15" s="174"/>
      <c r="E15" s="175"/>
      <c r="F15" s="176"/>
      <c r="G15" s="177"/>
      <c r="H15" s="174"/>
      <c r="I15" s="175"/>
      <c r="J15" s="176"/>
      <c r="K15" s="177"/>
      <c r="L15" s="174"/>
      <c r="M15" s="175"/>
      <c r="N15" s="176"/>
      <c r="O15" s="177"/>
      <c r="P15" s="174"/>
      <c r="Q15" s="175"/>
      <c r="R15" s="178"/>
      <c r="S15" s="177"/>
      <c r="T15" s="174"/>
      <c r="U15" s="175"/>
      <c r="V15" s="176"/>
      <c r="W15" s="177"/>
      <c r="X15" s="174"/>
      <c r="Y15" s="175"/>
      <c r="Z15" s="178"/>
      <c r="AA15" s="170"/>
      <c r="AB15" s="170"/>
      <c r="AC15" s="179"/>
      <c r="AD15" s="179"/>
      <c r="AE15" s="179"/>
      <c r="AF15" s="179"/>
      <c r="AG15" s="179"/>
      <c r="AH15" s="179"/>
      <c r="AI15" s="179"/>
      <c r="AJ15" s="179"/>
    </row>
    <row r="16" spans="1:36" ht="54.95" customHeight="1">
      <c r="A16" s="522"/>
      <c r="B16" s="523" t="s">
        <v>25</v>
      </c>
      <c r="C16" s="173"/>
      <c r="D16" s="174"/>
      <c r="E16" s="175"/>
      <c r="F16" s="176"/>
      <c r="G16" s="177"/>
      <c r="H16" s="174"/>
      <c r="I16" s="175"/>
      <c r="J16" s="176"/>
      <c r="K16" s="177"/>
      <c r="L16" s="174"/>
      <c r="M16" s="175"/>
      <c r="N16" s="176"/>
      <c r="O16" s="177"/>
      <c r="P16" s="174"/>
      <c r="Q16" s="175"/>
      <c r="R16" s="178"/>
      <c r="S16" s="177"/>
      <c r="T16" s="174"/>
      <c r="U16" s="175"/>
      <c r="V16" s="176"/>
      <c r="W16" s="177"/>
      <c r="X16" s="174"/>
      <c r="Y16" s="175"/>
      <c r="Z16" s="178"/>
      <c r="AA16" s="170"/>
      <c r="AB16" s="170"/>
      <c r="AC16" s="179"/>
      <c r="AD16" s="179"/>
      <c r="AE16" s="179"/>
      <c r="AF16" s="179"/>
      <c r="AG16" s="179"/>
      <c r="AH16" s="179"/>
      <c r="AI16" s="179"/>
      <c r="AJ16" s="179"/>
    </row>
    <row r="17" spans="1:38" ht="54.95" customHeight="1">
      <c r="A17" s="522"/>
      <c r="B17" s="523" t="s">
        <v>26</v>
      </c>
      <c r="C17" s="173"/>
      <c r="D17" s="174"/>
      <c r="E17" s="175"/>
      <c r="F17" s="176"/>
      <c r="G17" s="177"/>
      <c r="H17" s="174"/>
      <c r="I17" s="175"/>
      <c r="J17" s="176"/>
      <c r="K17" s="177"/>
      <c r="L17" s="174"/>
      <c r="M17" s="175"/>
      <c r="N17" s="176"/>
      <c r="O17" s="177"/>
      <c r="P17" s="174"/>
      <c r="Q17" s="175"/>
      <c r="R17" s="178"/>
      <c r="S17" s="177"/>
      <c r="T17" s="174"/>
      <c r="U17" s="175"/>
      <c r="V17" s="176"/>
      <c r="W17" s="177"/>
      <c r="X17" s="174"/>
      <c r="Y17" s="175"/>
      <c r="Z17" s="178"/>
      <c r="AA17" s="170"/>
      <c r="AB17" s="170"/>
      <c r="AC17" s="179"/>
      <c r="AD17" s="179"/>
      <c r="AE17" s="179"/>
      <c r="AF17" s="179"/>
      <c r="AG17" s="179"/>
      <c r="AH17" s="179"/>
      <c r="AI17" s="179"/>
      <c r="AJ17" s="179"/>
    </row>
    <row r="18" spans="1:38" ht="54.95" customHeight="1">
      <c r="A18" s="522">
        <v>8</v>
      </c>
      <c r="B18" s="523" t="s">
        <v>23</v>
      </c>
      <c r="C18" s="173"/>
      <c r="D18" s="174"/>
      <c r="E18" s="175"/>
      <c r="F18" s="176"/>
      <c r="G18" s="177"/>
      <c r="H18" s="174"/>
      <c r="I18" s="175"/>
      <c r="J18" s="176"/>
      <c r="K18" s="177"/>
      <c r="L18" s="174"/>
      <c r="M18" s="175"/>
      <c r="N18" s="176"/>
      <c r="O18" s="177"/>
      <c r="P18" s="174"/>
      <c r="Q18" s="175"/>
      <c r="R18" s="178"/>
      <c r="S18" s="177"/>
      <c r="T18" s="174"/>
      <c r="U18" s="175"/>
      <c r="V18" s="176"/>
      <c r="W18" s="177"/>
      <c r="X18" s="174"/>
      <c r="Y18" s="175"/>
      <c r="Z18" s="178"/>
      <c r="AA18" s="170"/>
      <c r="AB18" s="170"/>
      <c r="AC18" s="179"/>
      <c r="AD18" s="179"/>
      <c r="AE18" s="179"/>
      <c r="AF18" s="179"/>
      <c r="AG18" s="179"/>
      <c r="AH18" s="179"/>
      <c r="AI18" s="179"/>
      <c r="AJ18" s="179"/>
    </row>
    <row r="19" spans="1:38" ht="54.95" customHeight="1">
      <c r="A19" s="522"/>
      <c r="B19" s="523" t="s">
        <v>24</v>
      </c>
      <c r="C19" s="173"/>
      <c r="D19" s="174"/>
      <c r="E19" s="175"/>
      <c r="F19" s="176"/>
      <c r="G19" s="177"/>
      <c r="H19" s="174"/>
      <c r="I19" s="175"/>
      <c r="J19" s="176"/>
      <c r="K19" s="177"/>
      <c r="L19" s="174"/>
      <c r="M19" s="175"/>
      <c r="N19" s="176"/>
      <c r="O19" s="177"/>
      <c r="P19" s="174"/>
      <c r="Q19" s="175"/>
      <c r="R19" s="178"/>
      <c r="S19" s="177"/>
      <c r="T19" s="174"/>
      <c r="U19" s="175"/>
      <c r="V19" s="176"/>
      <c r="W19" s="177"/>
      <c r="X19" s="174"/>
      <c r="Y19" s="175"/>
      <c r="Z19" s="178"/>
      <c r="AA19" s="170"/>
      <c r="AB19" s="170"/>
      <c r="AC19" s="179"/>
      <c r="AD19" s="179"/>
      <c r="AE19" s="179"/>
      <c r="AF19" s="179"/>
      <c r="AG19" s="179"/>
      <c r="AH19" s="179"/>
      <c r="AI19" s="179"/>
      <c r="AJ19" s="179"/>
    </row>
    <row r="20" spans="1:38" ht="54.95" customHeight="1">
      <c r="A20" s="522"/>
      <c r="B20" s="523" t="s">
        <v>25</v>
      </c>
      <c r="C20" s="173"/>
      <c r="D20" s="174"/>
      <c r="E20" s="175"/>
      <c r="F20" s="176"/>
      <c r="G20" s="177"/>
      <c r="H20" s="174"/>
      <c r="I20" s="175"/>
      <c r="J20" s="176"/>
      <c r="K20" s="177"/>
      <c r="L20" s="174"/>
      <c r="M20" s="175"/>
      <c r="N20" s="176"/>
      <c r="O20" s="177"/>
      <c r="P20" s="174"/>
      <c r="Q20" s="175"/>
      <c r="R20" s="178"/>
      <c r="S20" s="177"/>
      <c r="T20" s="174"/>
      <c r="U20" s="175"/>
      <c r="V20" s="176"/>
      <c r="W20" s="177"/>
      <c r="X20" s="174"/>
      <c r="Y20" s="175"/>
      <c r="Z20" s="178"/>
      <c r="AA20" s="170"/>
      <c r="AB20" s="170"/>
      <c r="AC20" s="179"/>
      <c r="AD20" s="179"/>
      <c r="AE20" s="179"/>
      <c r="AF20" s="179"/>
      <c r="AG20" s="179"/>
      <c r="AH20" s="179"/>
      <c r="AI20" s="179"/>
      <c r="AJ20" s="179"/>
    </row>
    <row r="21" spans="1:38" ht="54.95" customHeight="1">
      <c r="A21" s="522"/>
      <c r="B21" s="523" t="s">
        <v>26</v>
      </c>
      <c r="C21" s="173"/>
      <c r="D21" s="174"/>
      <c r="E21" s="175"/>
      <c r="F21" s="176"/>
      <c r="G21" s="177"/>
      <c r="H21" s="174"/>
      <c r="I21" s="175"/>
      <c r="J21" s="176"/>
      <c r="K21" s="177"/>
      <c r="L21" s="174"/>
      <c r="M21" s="175"/>
      <c r="N21" s="176"/>
      <c r="O21" s="177"/>
      <c r="P21" s="174"/>
      <c r="Q21" s="175"/>
      <c r="R21" s="178"/>
      <c r="S21" s="177"/>
      <c r="T21" s="174"/>
      <c r="U21" s="175"/>
      <c r="V21" s="176"/>
      <c r="W21" s="177"/>
      <c r="X21" s="174"/>
      <c r="Y21" s="175"/>
      <c r="Z21" s="178"/>
      <c r="AA21" s="170"/>
      <c r="AB21" s="170"/>
      <c r="AC21" s="179"/>
      <c r="AD21" s="179"/>
      <c r="AE21" s="179"/>
      <c r="AF21" s="179"/>
      <c r="AG21" s="179"/>
      <c r="AH21" s="179"/>
      <c r="AI21" s="179"/>
      <c r="AJ21" s="179"/>
    </row>
    <row r="22" spans="1:38" ht="54.95" customHeight="1">
      <c r="A22" s="522">
        <v>9</v>
      </c>
      <c r="B22" s="523" t="s">
        <v>23</v>
      </c>
      <c r="C22" s="173"/>
      <c r="D22" s="174"/>
      <c r="E22" s="175"/>
      <c r="F22" s="176"/>
      <c r="G22" s="177"/>
      <c r="H22" s="174"/>
      <c r="I22" s="175"/>
      <c r="J22" s="176"/>
      <c r="K22" s="177"/>
      <c r="L22" s="174"/>
      <c r="M22" s="175"/>
      <c r="N22" s="176"/>
      <c r="O22" s="177"/>
      <c r="P22" s="174"/>
      <c r="Q22" s="175"/>
      <c r="R22" s="178"/>
      <c r="S22" s="177"/>
      <c r="T22" s="174"/>
      <c r="U22" s="175"/>
      <c r="V22" s="176"/>
      <c r="W22" s="177"/>
      <c r="X22" s="174"/>
      <c r="Y22" s="175"/>
      <c r="Z22" s="178"/>
      <c r="AA22" s="170"/>
      <c r="AB22" s="170"/>
      <c r="AC22" s="179"/>
      <c r="AD22" s="179"/>
      <c r="AE22" s="179"/>
      <c r="AF22" s="179"/>
      <c r="AG22" s="179"/>
      <c r="AH22" s="179"/>
      <c r="AI22" s="179"/>
      <c r="AJ22" s="179"/>
    </row>
    <row r="23" spans="1:38" ht="54.95" customHeight="1" thickBot="1">
      <c r="A23" s="524"/>
      <c r="B23" s="525" t="s">
        <v>24</v>
      </c>
      <c r="C23" s="180"/>
      <c r="D23" s="181"/>
      <c r="E23" s="182"/>
      <c r="F23" s="183"/>
      <c r="G23" s="184"/>
      <c r="H23" s="181"/>
      <c r="I23" s="182"/>
      <c r="J23" s="183"/>
      <c r="K23" s="184"/>
      <c r="L23" s="181"/>
      <c r="M23" s="182"/>
      <c r="N23" s="183"/>
      <c r="O23" s="184"/>
      <c r="P23" s="181"/>
      <c r="Q23" s="182"/>
      <c r="R23" s="185"/>
      <c r="S23" s="184"/>
      <c r="T23" s="181"/>
      <c r="U23" s="182"/>
      <c r="V23" s="183"/>
      <c r="W23" s="184"/>
      <c r="X23" s="181"/>
      <c r="Y23" s="182"/>
      <c r="Z23" s="185"/>
      <c r="AA23" s="170"/>
      <c r="AB23" s="170"/>
      <c r="AC23" s="186"/>
      <c r="AD23" s="186"/>
      <c r="AE23" s="186"/>
      <c r="AF23" s="186"/>
      <c r="AG23" s="186"/>
      <c r="AH23" s="186"/>
      <c r="AI23" s="186"/>
      <c r="AJ23" s="186"/>
      <c r="AK23" s="187"/>
      <c r="AL23" s="187"/>
    </row>
    <row r="24" spans="1:38" ht="54.95" customHeight="1" thickTop="1" thickBot="1">
      <c r="A24" s="188"/>
      <c r="B24" s="188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86"/>
      <c r="AD24" s="186"/>
      <c r="AE24" s="186"/>
      <c r="AF24" s="186"/>
      <c r="AG24" s="186"/>
      <c r="AH24" s="186"/>
      <c r="AI24" s="186"/>
      <c r="AJ24" s="186"/>
      <c r="AK24" s="187"/>
      <c r="AL24" s="187"/>
    </row>
    <row r="25" spans="1:38" ht="52.5" customHeight="1" thickBot="1">
      <c r="A25" s="728" t="s">
        <v>0</v>
      </c>
      <c r="B25" s="729" t="str">
        <f>B1</f>
        <v>SCIENTRIER_Carrefour vers la Tour de Bellecombe</v>
      </c>
      <c r="C25" s="730"/>
      <c r="D25" s="730"/>
      <c r="E25" s="730"/>
      <c r="F25" s="731"/>
      <c r="G25" s="731"/>
      <c r="H25" s="730"/>
      <c r="I25" s="730"/>
      <c r="J25" s="731"/>
      <c r="K25" s="731"/>
      <c r="L25" s="732"/>
      <c r="M25" s="529" t="s">
        <v>30</v>
      </c>
      <c r="N25" s="733" t="str">
        <f>N1</f>
        <v>mardi 31 mai 2022</v>
      </c>
      <c r="O25" s="730"/>
      <c r="P25" s="730"/>
      <c r="Q25" s="730"/>
      <c r="R25" s="730"/>
      <c r="S25" s="730"/>
      <c r="T25" s="730"/>
      <c r="U25" s="730"/>
      <c r="V25" s="734"/>
      <c r="W25" s="531"/>
      <c r="X25" s="531"/>
      <c r="Y25" s="531"/>
      <c r="Z25" s="735"/>
      <c r="AA25" s="728" t="s">
        <v>0</v>
      </c>
      <c r="AB25" s="729" t="str">
        <f>B25</f>
        <v>SCIENTRIER_Carrefour vers la Tour de Bellecombe</v>
      </c>
      <c r="AC25" s="730"/>
      <c r="AD25" s="730"/>
      <c r="AE25" s="730"/>
      <c r="AF25" s="732"/>
      <c r="AG25" s="529" t="s">
        <v>1</v>
      </c>
      <c r="AH25" s="729" t="str">
        <f>N25</f>
        <v>mardi 31 mai 2022</v>
      </c>
      <c r="AI25" s="730"/>
      <c r="AJ25" s="730"/>
      <c r="AK25" s="734"/>
      <c r="AL25" s="736"/>
    </row>
    <row r="26" spans="1:38" ht="52.5" customHeight="1" thickBot="1">
      <c r="A26" s="728" t="s">
        <v>2</v>
      </c>
      <c r="B26" s="737"/>
      <c r="C26" s="509"/>
      <c r="D26" s="509"/>
      <c r="E26" s="509"/>
      <c r="F26" s="509"/>
      <c r="G26" s="729">
        <f>G2</f>
        <v>0</v>
      </c>
      <c r="H26" s="730"/>
      <c r="I26" s="730"/>
      <c r="J26" s="730"/>
      <c r="K26" s="730"/>
      <c r="L26" s="730"/>
      <c r="M26" s="730"/>
      <c r="N26" s="730"/>
      <c r="O26" s="730"/>
      <c r="P26" s="730"/>
      <c r="Q26" s="730"/>
      <c r="R26" s="730"/>
      <c r="S26" s="730"/>
      <c r="T26" s="730"/>
      <c r="U26" s="730"/>
      <c r="V26" s="734"/>
      <c r="W26" s="531"/>
      <c r="X26" s="531"/>
      <c r="Y26" s="531"/>
      <c r="Z26" s="531"/>
      <c r="AA26" s="728" t="s">
        <v>2</v>
      </c>
      <c r="AB26" s="737"/>
      <c r="AC26" s="509"/>
      <c r="AD26" s="509"/>
      <c r="AE26" s="729">
        <f>G26</f>
        <v>0</v>
      </c>
      <c r="AF26" s="730"/>
      <c r="AG26" s="730"/>
      <c r="AH26" s="730"/>
      <c r="AI26" s="730"/>
      <c r="AJ26" s="730"/>
      <c r="AK26" s="734"/>
      <c r="AL26" s="736"/>
    </row>
    <row r="27" spans="1:38" ht="52.5" customHeight="1" thickBot="1">
      <c r="A27" s="728" t="s">
        <v>3</v>
      </c>
      <c r="B27" s="531"/>
      <c r="C27" s="729">
        <f>C3</f>
        <v>0</v>
      </c>
      <c r="D27" s="730"/>
      <c r="E27" s="730"/>
      <c r="F27" s="730"/>
      <c r="G27" s="730"/>
      <c r="H27" s="730"/>
      <c r="I27" s="730"/>
      <c r="J27" s="730"/>
      <c r="K27" s="730"/>
      <c r="L27" s="730"/>
      <c r="M27" s="730"/>
      <c r="N27" s="730"/>
      <c r="O27" s="730"/>
      <c r="P27" s="730"/>
      <c r="Q27" s="730"/>
      <c r="R27" s="730"/>
      <c r="S27" s="730"/>
      <c r="T27" s="730"/>
      <c r="U27" s="730"/>
      <c r="V27" s="734"/>
      <c r="W27" s="531"/>
      <c r="X27" s="531"/>
      <c r="Y27" s="531"/>
      <c r="Z27" s="735"/>
      <c r="AA27" s="728" t="s">
        <v>3</v>
      </c>
      <c r="AB27" s="531"/>
      <c r="AC27" s="729">
        <f>C27</f>
        <v>0</v>
      </c>
      <c r="AD27" s="730"/>
      <c r="AE27" s="730"/>
      <c r="AF27" s="730"/>
      <c r="AG27" s="730"/>
      <c r="AH27" s="730"/>
      <c r="AI27" s="730"/>
      <c r="AJ27" s="730"/>
      <c r="AK27" s="734"/>
      <c r="AL27" s="736"/>
    </row>
    <row r="28" spans="1:38" ht="52.5" customHeight="1" thickBot="1">
      <c r="A28" s="500" t="s">
        <v>27</v>
      </c>
      <c r="B28" s="506"/>
      <c r="C28" s="729">
        <f>C4</f>
        <v>0</v>
      </c>
      <c r="D28" s="730"/>
      <c r="E28" s="730"/>
      <c r="F28" s="730"/>
      <c r="G28" s="730"/>
      <c r="H28" s="730"/>
      <c r="I28" s="730"/>
      <c r="J28" s="730"/>
      <c r="K28" s="730"/>
      <c r="L28" s="730"/>
      <c r="M28" s="730"/>
      <c r="N28" s="730"/>
      <c r="O28" s="730"/>
      <c r="P28" s="730"/>
      <c r="Q28" s="730"/>
      <c r="R28" s="730"/>
      <c r="S28" s="730"/>
      <c r="T28" s="730"/>
      <c r="U28" s="730"/>
      <c r="V28" s="734"/>
      <c r="W28" s="506"/>
      <c r="X28" s="506"/>
      <c r="Y28" s="506"/>
      <c r="Z28" s="507"/>
      <c r="AA28" s="500" t="s">
        <v>27</v>
      </c>
      <c r="AB28" s="738"/>
      <c r="AC28" s="729">
        <f>C28</f>
        <v>0</v>
      </c>
      <c r="AD28" s="730"/>
      <c r="AE28" s="730"/>
      <c r="AF28" s="730"/>
      <c r="AG28" s="730"/>
      <c r="AH28" s="730"/>
      <c r="AI28" s="730"/>
      <c r="AJ28" s="730"/>
      <c r="AK28" s="734"/>
      <c r="AL28" s="739"/>
    </row>
    <row r="29" spans="1:38" ht="25.5" customHeight="1">
      <c r="A29" s="511"/>
      <c r="B29" s="509"/>
      <c r="C29" s="509"/>
      <c r="D29" s="509"/>
      <c r="E29" s="509"/>
      <c r="F29" s="509"/>
      <c r="G29" s="509"/>
      <c r="H29" s="509"/>
      <c r="I29" s="509"/>
      <c r="J29" s="509"/>
      <c r="K29" s="509"/>
      <c r="L29" s="509"/>
      <c r="M29" s="509"/>
      <c r="N29" s="509"/>
      <c r="O29" s="509"/>
      <c r="P29" s="509"/>
      <c r="Q29" s="509"/>
      <c r="R29" s="510"/>
      <c r="S29" s="509"/>
      <c r="T29" s="509"/>
      <c r="U29" s="509"/>
      <c r="V29" s="509"/>
      <c r="W29" s="509"/>
      <c r="X29" s="509"/>
      <c r="Y29" s="509"/>
      <c r="Z29" s="510"/>
      <c r="AA29" s="511"/>
      <c r="AB29" s="509"/>
      <c r="AC29" s="509"/>
      <c r="AD29" s="509"/>
      <c r="AE29" s="509"/>
      <c r="AF29" s="509"/>
      <c r="AG29" s="509"/>
      <c r="AH29" s="509"/>
      <c r="AI29" s="509"/>
      <c r="AJ29" s="509"/>
      <c r="AK29" s="509"/>
      <c r="AL29" s="740"/>
    </row>
    <row r="30" spans="1:38" ht="25.5" customHeight="1">
      <c r="A30" s="511"/>
      <c r="B30" s="509"/>
      <c r="C30" s="509"/>
      <c r="D30" s="509"/>
      <c r="E30" s="509"/>
      <c r="F30" s="509"/>
      <c r="G30" s="509"/>
      <c r="H30" s="509"/>
      <c r="I30" s="509"/>
      <c r="J30" s="509"/>
      <c r="K30" s="509"/>
      <c r="L30" s="509"/>
      <c r="M30" s="509"/>
      <c r="N30" s="509"/>
      <c r="O30" s="509"/>
      <c r="P30" s="509"/>
      <c r="Q30" s="509"/>
      <c r="R30" s="510"/>
      <c r="S30" s="509"/>
      <c r="T30" s="509"/>
      <c r="U30" s="509"/>
      <c r="V30" s="509"/>
      <c r="W30" s="509"/>
      <c r="X30" s="509"/>
      <c r="Y30" s="509"/>
      <c r="Z30" s="510"/>
      <c r="AA30" s="511"/>
      <c r="AB30" s="509"/>
      <c r="AC30" s="509"/>
      <c r="AD30" s="509"/>
      <c r="AE30" s="509"/>
      <c r="AF30" s="509"/>
      <c r="AG30" s="509"/>
      <c r="AH30" s="509"/>
      <c r="AI30" s="509"/>
      <c r="AJ30" s="509"/>
      <c r="AK30" s="510"/>
      <c r="AL30" s="741"/>
    </row>
    <row r="31" spans="1:38" ht="25.5" customHeight="1" thickBot="1">
      <c r="A31" s="511"/>
      <c r="B31" s="509"/>
      <c r="C31" s="509"/>
      <c r="D31" s="509"/>
      <c r="E31" s="509"/>
      <c r="F31" s="509"/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509"/>
      <c r="R31" s="510"/>
      <c r="S31" s="509"/>
      <c r="T31" s="509"/>
      <c r="U31" s="509"/>
      <c r="V31" s="509"/>
      <c r="W31" s="509"/>
      <c r="X31" s="509"/>
      <c r="Y31" s="509"/>
      <c r="Z31" s="510"/>
      <c r="AA31" s="510"/>
      <c r="AB31" s="510"/>
      <c r="AC31" s="510"/>
      <c r="AD31" s="510"/>
      <c r="AE31" s="510"/>
      <c r="AF31" s="510"/>
      <c r="AG31" s="510"/>
      <c r="AH31" s="510"/>
      <c r="AI31" s="510"/>
      <c r="AJ31" s="510"/>
      <c r="AK31" s="510"/>
      <c r="AL31" s="742"/>
    </row>
    <row r="32" spans="1:38" ht="32.25" customHeight="1" thickTop="1">
      <c r="A32" s="508"/>
      <c r="B32" s="509"/>
      <c r="C32" s="856" t="str">
        <f>C8</f>
        <v>Depuis 'La Roche'</v>
      </c>
      <c r="D32" s="857"/>
      <c r="E32" s="857"/>
      <c r="F32" s="857"/>
      <c r="G32" s="857"/>
      <c r="H32" s="857"/>
      <c r="I32" s="857"/>
      <c r="J32" s="857"/>
      <c r="K32" s="857" t="str">
        <f>K8</f>
        <v>Depuis 'Reignier'</v>
      </c>
      <c r="L32" s="857"/>
      <c r="M32" s="857"/>
      <c r="N32" s="857"/>
      <c r="O32" s="857"/>
      <c r="P32" s="857"/>
      <c r="Q32" s="857"/>
      <c r="R32" s="858"/>
      <c r="S32" s="858" t="str">
        <f>S8</f>
        <v>Depuis 'Findrol'</v>
      </c>
      <c r="T32" s="1089"/>
      <c r="U32" s="1089"/>
      <c r="V32" s="1089"/>
      <c r="W32" s="1089"/>
      <c r="X32" s="1089"/>
      <c r="Y32" s="1089"/>
      <c r="Z32" s="1089"/>
      <c r="AA32" s="508"/>
      <c r="AB32" s="509"/>
      <c r="AC32" s="873" t="s">
        <v>12</v>
      </c>
      <c r="AD32" s="875" t="s">
        <v>14</v>
      </c>
      <c r="AE32" s="875" t="s">
        <v>15</v>
      </c>
      <c r="AF32" s="875" t="s">
        <v>18</v>
      </c>
      <c r="AG32" s="875" t="s">
        <v>123</v>
      </c>
      <c r="AH32" s="875" t="s">
        <v>124</v>
      </c>
      <c r="AI32" s="875" t="s">
        <v>79</v>
      </c>
      <c r="AJ32" s="881" t="s">
        <v>31</v>
      </c>
      <c r="AK32" s="882"/>
      <c r="AL32" s="883"/>
    </row>
    <row r="33" spans="1:39" ht="22.7" customHeight="1">
      <c r="A33" s="508"/>
      <c r="B33" s="509"/>
      <c r="C33" s="859" t="str">
        <f>C9</f>
        <v>vers 'Reignier'</v>
      </c>
      <c r="D33" s="860"/>
      <c r="E33" s="860"/>
      <c r="F33" s="860"/>
      <c r="G33" s="859" t="str">
        <f t="shared" ref="G33" si="0">G9</f>
        <v>vers 'Findrol'</v>
      </c>
      <c r="H33" s="860"/>
      <c r="I33" s="860"/>
      <c r="J33" s="860"/>
      <c r="K33" s="859" t="str">
        <f t="shared" ref="K33" si="1">K9</f>
        <v>vers 'Findrol'</v>
      </c>
      <c r="L33" s="860"/>
      <c r="M33" s="860"/>
      <c r="N33" s="860"/>
      <c r="O33" s="859" t="str">
        <f t="shared" ref="O33" si="2">O9</f>
        <v>vers 'La Roche'</v>
      </c>
      <c r="P33" s="860"/>
      <c r="Q33" s="860"/>
      <c r="R33" s="860"/>
      <c r="S33" s="1053" t="str">
        <f t="shared" ref="S33" si="3">S9</f>
        <v>vers 'Reignier'</v>
      </c>
      <c r="T33" s="1053"/>
      <c r="U33" s="1053"/>
      <c r="V33" s="1053"/>
      <c r="W33" s="1053" t="str">
        <f t="shared" ref="W33" si="4">W9</f>
        <v>vers 'La Roche'</v>
      </c>
      <c r="X33" s="1053"/>
      <c r="Y33" s="1053"/>
      <c r="Z33" s="1053"/>
      <c r="AA33" s="508"/>
      <c r="AB33" s="509"/>
      <c r="AC33" s="874"/>
      <c r="AD33" s="876"/>
      <c r="AE33" s="876"/>
      <c r="AF33" s="876"/>
      <c r="AG33" s="876"/>
      <c r="AH33" s="876"/>
      <c r="AI33" s="876"/>
      <c r="AJ33" s="884"/>
      <c r="AK33" s="885"/>
      <c r="AL33" s="886"/>
    </row>
    <row r="34" spans="1:39" ht="18.600000000000001" customHeight="1" thickBot="1">
      <c r="A34" s="639"/>
      <c r="B34" s="509"/>
      <c r="C34" s="865" t="s">
        <v>4</v>
      </c>
      <c r="D34" s="866"/>
      <c r="E34" s="863" t="s">
        <v>5</v>
      </c>
      <c r="F34" s="867"/>
      <c r="G34" s="868" t="s">
        <v>4</v>
      </c>
      <c r="H34" s="866"/>
      <c r="I34" s="863" t="s">
        <v>5</v>
      </c>
      <c r="J34" s="867"/>
      <c r="K34" s="868" t="s">
        <v>4</v>
      </c>
      <c r="L34" s="866"/>
      <c r="M34" s="863" t="s">
        <v>5</v>
      </c>
      <c r="N34" s="867"/>
      <c r="O34" s="868" t="s">
        <v>4</v>
      </c>
      <c r="P34" s="866"/>
      <c r="Q34" s="863" t="s">
        <v>5</v>
      </c>
      <c r="R34" s="864"/>
      <c r="S34" s="891" t="s">
        <v>4</v>
      </c>
      <c r="T34" s="943"/>
      <c r="U34" s="943" t="s">
        <v>5</v>
      </c>
      <c r="V34" s="943"/>
      <c r="W34" s="943" t="s">
        <v>4</v>
      </c>
      <c r="X34" s="943"/>
      <c r="Y34" s="943" t="s">
        <v>5</v>
      </c>
      <c r="Z34" s="943"/>
      <c r="AA34" s="639"/>
      <c r="AB34" s="509"/>
      <c r="AC34" s="874"/>
      <c r="AD34" s="876"/>
      <c r="AE34" s="876"/>
      <c r="AF34" s="876"/>
      <c r="AG34" s="876"/>
      <c r="AH34" s="876"/>
      <c r="AI34" s="876"/>
      <c r="AJ34" s="884"/>
      <c r="AK34" s="885"/>
      <c r="AL34" s="886"/>
    </row>
    <row r="35" spans="1:39" ht="21" thickTop="1">
      <c r="A35" s="892" t="s">
        <v>13</v>
      </c>
      <c r="B35" s="893"/>
      <c r="C35" s="516" t="s">
        <v>8</v>
      </c>
      <c r="D35" s="517" t="s">
        <v>9</v>
      </c>
      <c r="E35" s="518" t="s">
        <v>8</v>
      </c>
      <c r="F35" s="519" t="s">
        <v>9</v>
      </c>
      <c r="G35" s="520" t="s">
        <v>8</v>
      </c>
      <c r="H35" s="517" t="s">
        <v>9</v>
      </c>
      <c r="I35" s="518" t="s">
        <v>8</v>
      </c>
      <c r="J35" s="519" t="s">
        <v>9</v>
      </c>
      <c r="K35" s="520" t="s">
        <v>8</v>
      </c>
      <c r="L35" s="517" t="s">
        <v>9</v>
      </c>
      <c r="M35" s="518" t="s">
        <v>8</v>
      </c>
      <c r="N35" s="519" t="s">
        <v>9</v>
      </c>
      <c r="O35" s="520" t="s">
        <v>8</v>
      </c>
      <c r="P35" s="517" t="s">
        <v>9</v>
      </c>
      <c r="Q35" s="518" t="s">
        <v>8</v>
      </c>
      <c r="R35" s="521" t="s">
        <v>9</v>
      </c>
      <c r="S35" s="743" t="s">
        <v>8</v>
      </c>
      <c r="T35" s="744" t="s">
        <v>9</v>
      </c>
      <c r="U35" s="744" t="s">
        <v>8</v>
      </c>
      <c r="V35" s="744" t="s">
        <v>9</v>
      </c>
      <c r="W35" s="744" t="s">
        <v>8</v>
      </c>
      <c r="X35" s="744" t="s">
        <v>9</v>
      </c>
      <c r="Y35" s="744" t="s">
        <v>8</v>
      </c>
      <c r="Z35" s="744" t="s">
        <v>9</v>
      </c>
      <c r="AA35" s="1088" t="s">
        <v>13</v>
      </c>
      <c r="AB35" s="1088"/>
      <c r="AC35" s="874"/>
      <c r="AD35" s="877"/>
      <c r="AE35" s="877"/>
      <c r="AF35" s="877"/>
      <c r="AG35" s="877"/>
      <c r="AH35" s="877"/>
      <c r="AI35" s="877"/>
      <c r="AJ35" s="887"/>
      <c r="AK35" s="888"/>
      <c r="AL35" s="889"/>
    </row>
    <row r="36" spans="1:39" ht="54.95" customHeight="1">
      <c r="A36" s="906" t="s">
        <v>28</v>
      </c>
      <c r="B36" s="907"/>
      <c r="C36" s="533">
        <f>SUM(C12:C15)</f>
        <v>0</v>
      </c>
      <c r="D36" s="534">
        <f t="shared" ref="D36:Z36" si="5">SUM(D12:D15)</f>
        <v>0</v>
      </c>
      <c r="E36" s="535">
        <f t="shared" si="5"/>
        <v>0</v>
      </c>
      <c r="F36" s="536">
        <f t="shared" si="5"/>
        <v>0</v>
      </c>
      <c r="G36" s="537">
        <f t="shared" si="5"/>
        <v>0</v>
      </c>
      <c r="H36" s="534">
        <f t="shared" si="5"/>
        <v>0</v>
      </c>
      <c r="I36" s="535">
        <f t="shared" si="5"/>
        <v>0</v>
      </c>
      <c r="J36" s="536">
        <f t="shared" si="5"/>
        <v>0</v>
      </c>
      <c r="K36" s="537">
        <f t="shared" si="5"/>
        <v>0</v>
      </c>
      <c r="L36" s="534">
        <f t="shared" si="5"/>
        <v>0</v>
      </c>
      <c r="M36" s="535">
        <f t="shared" si="5"/>
        <v>0</v>
      </c>
      <c r="N36" s="536">
        <f t="shared" si="5"/>
        <v>0</v>
      </c>
      <c r="O36" s="537">
        <f t="shared" si="5"/>
        <v>0</v>
      </c>
      <c r="P36" s="534">
        <f t="shared" si="5"/>
        <v>0</v>
      </c>
      <c r="Q36" s="535">
        <f t="shared" si="5"/>
        <v>0</v>
      </c>
      <c r="R36" s="538">
        <f t="shared" si="5"/>
        <v>0</v>
      </c>
      <c r="S36" s="745">
        <f t="shared" si="5"/>
        <v>0</v>
      </c>
      <c r="T36" s="746">
        <f t="shared" si="5"/>
        <v>0</v>
      </c>
      <c r="U36" s="746">
        <f t="shared" si="5"/>
        <v>0</v>
      </c>
      <c r="V36" s="746">
        <f t="shared" si="5"/>
        <v>0</v>
      </c>
      <c r="W36" s="746">
        <f t="shared" si="5"/>
        <v>0</v>
      </c>
      <c r="X36" s="746">
        <f t="shared" si="5"/>
        <v>0</v>
      </c>
      <c r="Y36" s="746">
        <f t="shared" si="5"/>
        <v>0</v>
      </c>
      <c r="Z36" s="746">
        <f t="shared" si="5"/>
        <v>0</v>
      </c>
      <c r="AA36" s="1087" t="s">
        <v>28</v>
      </c>
      <c r="AB36" s="1087"/>
      <c r="AC36" s="645">
        <f t="shared" ref="AC36:AC42" si="6">SUM(C36:Z36)</f>
        <v>0</v>
      </c>
      <c r="AD36" s="540">
        <f>IF(AC36=0,0,AD48/AC36)</f>
        <v>0</v>
      </c>
      <c r="AE36" s="540">
        <f>IF(AC36=0,0,AE48/AC36)</f>
        <v>0</v>
      </c>
      <c r="AF36" s="540">
        <f>IF(AE48=0,0,AF48/AE48)</f>
        <v>0</v>
      </c>
      <c r="AG36" s="540">
        <f t="shared" ref="AG36:AG42" si="7">IF(AC36=0,0,AG48/AC36)</f>
        <v>0</v>
      </c>
      <c r="AH36" s="540">
        <f>IF(AC36=0,0,AH48/AC36)</f>
        <v>0</v>
      </c>
      <c r="AI36" s="540">
        <f>IF(AC36=0,0,AI48/AC36)</f>
        <v>0</v>
      </c>
      <c r="AJ36" s="646"/>
      <c r="AK36" s="1085"/>
      <c r="AL36" s="1086"/>
    </row>
    <row r="37" spans="1:39" ht="54.95" customHeight="1">
      <c r="A37" s="899" t="s">
        <v>11</v>
      </c>
      <c r="B37" s="900"/>
      <c r="C37" s="541">
        <f>SUM(C14:C17)</f>
        <v>0</v>
      </c>
      <c r="D37" s="542">
        <f t="shared" ref="D37:Z37" si="8">SUM(D14:D17)</f>
        <v>0</v>
      </c>
      <c r="E37" s="543">
        <f t="shared" si="8"/>
        <v>0</v>
      </c>
      <c r="F37" s="544">
        <f t="shared" si="8"/>
        <v>0</v>
      </c>
      <c r="G37" s="545">
        <f t="shared" si="8"/>
        <v>0</v>
      </c>
      <c r="H37" s="542">
        <f t="shared" si="8"/>
        <v>0</v>
      </c>
      <c r="I37" s="543">
        <f t="shared" si="8"/>
        <v>0</v>
      </c>
      <c r="J37" s="544">
        <f t="shared" si="8"/>
        <v>0</v>
      </c>
      <c r="K37" s="545">
        <f t="shared" si="8"/>
        <v>0</v>
      </c>
      <c r="L37" s="542">
        <f t="shared" si="8"/>
        <v>0</v>
      </c>
      <c r="M37" s="543">
        <f t="shared" si="8"/>
        <v>0</v>
      </c>
      <c r="N37" s="544">
        <f t="shared" si="8"/>
        <v>0</v>
      </c>
      <c r="O37" s="545">
        <f t="shared" si="8"/>
        <v>0</v>
      </c>
      <c r="P37" s="542">
        <f t="shared" si="8"/>
        <v>0</v>
      </c>
      <c r="Q37" s="543">
        <f t="shared" si="8"/>
        <v>0</v>
      </c>
      <c r="R37" s="546">
        <f t="shared" si="8"/>
        <v>0</v>
      </c>
      <c r="S37" s="747">
        <f t="shared" si="8"/>
        <v>0</v>
      </c>
      <c r="T37" s="748">
        <f t="shared" si="8"/>
        <v>0</v>
      </c>
      <c r="U37" s="748">
        <f t="shared" si="8"/>
        <v>0</v>
      </c>
      <c r="V37" s="748">
        <f t="shared" si="8"/>
        <v>0</v>
      </c>
      <c r="W37" s="748">
        <f t="shared" si="8"/>
        <v>0</v>
      </c>
      <c r="X37" s="748">
        <f t="shared" si="8"/>
        <v>0</v>
      </c>
      <c r="Y37" s="748">
        <f t="shared" si="8"/>
        <v>0</v>
      </c>
      <c r="Z37" s="748">
        <f t="shared" si="8"/>
        <v>0</v>
      </c>
      <c r="AA37" s="1079" t="s">
        <v>11</v>
      </c>
      <c r="AB37" s="1079"/>
      <c r="AC37" s="653">
        <f t="shared" si="6"/>
        <v>0</v>
      </c>
      <c r="AD37" s="548">
        <f t="shared" ref="AD37:AD42" si="9">IF(AC37=0,0,AD49/AC37)</f>
        <v>0</v>
      </c>
      <c r="AE37" s="548">
        <f t="shared" ref="AE37:AE42" si="10">IF(AC37=0,0,AE49/AC37)</f>
        <v>0</v>
      </c>
      <c r="AF37" s="548">
        <f t="shared" ref="AF37:AF42" si="11">IF(AE49=0,0,AF49/AE49)</f>
        <v>0</v>
      </c>
      <c r="AG37" s="548">
        <f t="shared" si="7"/>
        <v>0</v>
      </c>
      <c r="AH37" s="548">
        <f t="shared" ref="AH37:AH42" si="12">IF(AC37=0,0,AH49/AC37)</f>
        <v>0</v>
      </c>
      <c r="AI37" s="548">
        <f t="shared" ref="AI37:AI42" si="13">IF(AC37=0,0,AI49/AC37)</f>
        <v>0</v>
      </c>
      <c r="AJ37" s="654"/>
      <c r="AK37" s="1080"/>
      <c r="AL37" s="1081"/>
    </row>
    <row r="38" spans="1:39" ht="54.95" customHeight="1">
      <c r="A38" s="899" t="s">
        <v>17</v>
      </c>
      <c r="B38" s="900"/>
      <c r="C38" s="541">
        <f>SUM(C16:C19)</f>
        <v>0</v>
      </c>
      <c r="D38" s="542">
        <f t="shared" ref="D38:Z38" si="14">SUM(D16:D19)</f>
        <v>0</v>
      </c>
      <c r="E38" s="543">
        <f t="shared" si="14"/>
        <v>0</v>
      </c>
      <c r="F38" s="544">
        <f t="shared" si="14"/>
        <v>0</v>
      </c>
      <c r="G38" s="545">
        <f t="shared" si="14"/>
        <v>0</v>
      </c>
      <c r="H38" s="542">
        <f t="shared" si="14"/>
        <v>0</v>
      </c>
      <c r="I38" s="543">
        <f t="shared" si="14"/>
        <v>0</v>
      </c>
      <c r="J38" s="544">
        <f t="shared" si="14"/>
        <v>0</v>
      </c>
      <c r="K38" s="545">
        <f t="shared" si="14"/>
        <v>0</v>
      </c>
      <c r="L38" s="542">
        <f t="shared" si="14"/>
        <v>0</v>
      </c>
      <c r="M38" s="543">
        <f t="shared" si="14"/>
        <v>0</v>
      </c>
      <c r="N38" s="544">
        <f t="shared" si="14"/>
        <v>0</v>
      </c>
      <c r="O38" s="545">
        <f t="shared" si="14"/>
        <v>0</v>
      </c>
      <c r="P38" s="542">
        <f t="shared" si="14"/>
        <v>0</v>
      </c>
      <c r="Q38" s="543">
        <f t="shared" si="14"/>
        <v>0</v>
      </c>
      <c r="R38" s="546">
        <f t="shared" si="14"/>
        <v>0</v>
      </c>
      <c r="S38" s="747">
        <f t="shared" si="14"/>
        <v>0</v>
      </c>
      <c r="T38" s="748">
        <f t="shared" si="14"/>
        <v>0</v>
      </c>
      <c r="U38" s="748">
        <f t="shared" si="14"/>
        <v>0</v>
      </c>
      <c r="V38" s="748">
        <f t="shared" si="14"/>
        <v>0</v>
      </c>
      <c r="W38" s="748">
        <f t="shared" si="14"/>
        <v>0</v>
      </c>
      <c r="X38" s="748">
        <f t="shared" si="14"/>
        <v>0</v>
      </c>
      <c r="Y38" s="748">
        <f t="shared" si="14"/>
        <v>0</v>
      </c>
      <c r="Z38" s="748">
        <f t="shared" si="14"/>
        <v>0</v>
      </c>
      <c r="AA38" s="1079" t="s">
        <v>17</v>
      </c>
      <c r="AB38" s="1079"/>
      <c r="AC38" s="653">
        <f t="shared" si="6"/>
        <v>0</v>
      </c>
      <c r="AD38" s="548">
        <f t="shared" si="9"/>
        <v>0</v>
      </c>
      <c r="AE38" s="548">
        <f t="shared" si="10"/>
        <v>0</v>
      </c>
      <c r="AF38" s="548">
        <f t="shared" si="11"/>
        <v>0</v>
      </c>
      <c r="AG38" s="548">
        <f t="shared" si="7"/>
        <v>0</v>
      </c>
      <c r="AH38" s="548">
        <f t="shared" si="12"/>
        <v>0</v>
      </c>
      <c r="AI38" s="548">
        <f t="shared" si="13"/>
        <v>0</v>
      </c>
      <c r="AJ38" s="654"/>
      <c r="AK38" s="1080"/>
      <c r="AL38" s="1081"/>
    </row>
    <row r="39" spans="1:39" ht="54.95" customHeight="1">
      <c r="A39" s="899" t="s">
        <v>10</v>
      </c>
      <c r="B39" s="900"/>
      <c r="C39" s="541">
        <f>SUM(C18:C21)</f>
        <v>0</v>
      </c>
      <c r="D39" s="542">
        <f t="shared" ref="D39:Z39" si="15">SUM(D18:D21)</f>
        <v>0</v>
      </c>
      <c r="E39" s="543">
        <f t="shared" si="15"/>
        <v>0</v>
      </c>
      <c r="F39" s="544">
        <f t="shared" si="15"/>
        <v>0</v>
      </c>
      <c r="G39" s="545">
        <f t="shared" si="15"/>
        <v>0</v>
      </c>
      <c r="H39" s="542">
        <f t="shared" si="15"/>
        <v>0</v>
      </c>
      <c r="I39" s="543">
        <f t="shared" si="15"/>
        <v>0</v>
      </c>
      <c r="J39" s="544">
        <f t="shared" si="15"/>
        <v>0</v>
      </c>
      <c r="K39" s="545">
        <f t="shared" si="15"/>
        <v>0</v>
      </c>
      <c r="L39" s="542">
        <f t="shared" si="15"/>
        <v>0</v>
      </c>
      <c r="M39" s="543">
        <f t="shared" si="15"/>
        <v>0</v>
      </c>
      <c r="N39" s="544">
        <f t="shared" si="15"/>
        <v>0</v>
      </c>
      <c r="O39" s="545">
        <f t="shared" si="15"/>
        <v>0</v>
      </c>
      <c r="P39" s="542">
        <f t="shared" si="15"/>
        <v>0</v>
      </c>
      <c r="Q39" s="543">
        <f t="shared" si="15"/>
        <v>0</v>
      </c>
      <c r="R39" s="546">
        <f t="shared" si="15"/>
        <v>0</v>
      </c>
      <c r="S39" s="747">
        <f t="shared" si="15"/>
        <v>0</v>
      </c>
      <c r="T39" s="748">
        <f t="shared" si="15"/>
        <v>0</v>
      </c>
      <c r="U39" s="748">
        <f t="shared" si="15"/>
        <v>0</v>
      </c>
      <c r="V39" s="748">
        <f t="shared" si="15"/>
        <v>0</v>
      </c>
      <c r="W39" s="748">
        <f t="shared" si="15"/>
        <v>0</v>
      </c>
      <c r="X39" s="748">
        <f t="shared" si="15"/>
        <v>0</v>
      </c>
      <c r="Y39" s="748">
        <f t="shared" si="15"/>
        <v>0</v>
      </c>
      <c r="Z39" s="748">
        <f t="shared" si="15"/>
        <v>0</v>
      </c>
      <c r="AA39" s="1079" t="s">
        <v>10</v>
      </c>
      <c r="AB39" s="1079"/>
      <c r="AC39" s="653">
        <f t="shared" si="6"/>
        <v>0</v>
      </c>
      <c r="AD39" s="548">
        <f t="shared" si="9"/>
        <v>0</v>
      </c>
      <c r="AE39" s="548">
        <f t="shared" si="10"/>
        <v>0</v>
      </c>
      <c r="AF39" s="548">
        <f t="shared" si="11"/>
        <v>0</v>
      </c>
      <c r="AG39" s="548">
        <f t="shared" si="7"/>
        <v>0</v>
      </c>
      <c r="AH39" s="548">
        <f t="shared" si="12"/>
        <v>0</v>
      </c>
      <c r="AI39" s="548">
        <f t="shared" si="13"/>
        <v>0</v>
      </c>
      <c r="AJ39" s="654"/>
      <c r="AK39" s="1080"/>
      <c r="AL39" s="1081"/>
    </row>
    <row r="40" spans="1:39" ht="54.95" customHeight="1">
      <c r="A40" s="910" t="s">
        <v>29</v>
      </c>
      <c r="B40" s="911"/>
      <c r="C40" s="549">
        <f>SUM(C20:C23)</f>
        <v>0</v>
      </c>
      <c r="D40" s="550">
        <f t="shared" ref="D40:Z40" si="16">SUM(D20:D23)</f>
        <v>0</v>
      </c>
      <c r="E40" s="551">
        <f t="shared" si="16"/>
        <v>0</v>
      </c>
      <c r="F40" s="552">
        <f t="shared" si="16"/>
        <v>0</v>
      </c>
      <c r="G40" s="553">
        <f t="shared" si="16"/>
        <v>0</v>
      </c>
      <c r="H40" s="550">
        <f t="shared" si="16"/>
        <v>0</v>
      </c>
      <c r="I40" s="551">
        <f t="shared" si="16"/>
        <v>0</v>
      </c>
      <c r="J40" s="552">
        <f t="shared" si="16"/>
        <v>0</v>
      </c>
      <c r="K40" s="553">
        <f t="shared" si="16"/>
        <v>0</v>
      </c>
      <c r="L40" s="550">
        <f t="shared" si="16"/>
        <v>0</v>
      </c>
      <c r="M40" s="551">
        <f t="shared" si="16"/>
        <v>0</v>
      </c>
      <c r="N40" s="552">
        <f t="shared" si="16"/>
        <v>0</v>
      </c>
      <c r="O40" s="553">
        <f t="shared" si="16"/>
        <v>0</v>
      </c>
      <c r="P40" s="550">
        <f t="shared" si="16"/>
        <v>0</v>
      </c>
      <c r="Q40" s="551">
        <f t="shared" si="16"/>
        <v>0</v>
      </c>
      <c r="R40" s="554">
        <f t="shared" si="16"/>
        <v>0</v>
      </c>
      <c r="S40" s="749">
        <f t="shared" si="16"/>
        <v>0</v>
      </c>
      <c r="T40" s="750">
        <f t="shared" si="16"/>
        <v>0</v>
      </c>
      <c r="U40" s="750">
        <f t="shared" si="16"/>
        <v>0</v>
      </c>
      <c r="V40" s="750">
        <f t="shared" si="16"/>
        <v>0</v>
      </c>
      <c r="W40" s="750">
        <f t="shared" si="16"/>
        <v>0</v>
      </c>
      <c r="X40" s="750">
        <f t="shared" si="16"/>
        <v>0</v>
      </c>
      <c r="Y40" s="750">
        <f t="shared" si="16"/>
        <v>0</v>
      </c>
      <c r="Z40" s="750">
        <f t="shared" si="16"/>
        <v>0</v>
      </c>
      <c r="AA40" s="1082" t="s">
        <v>29</v>
      </c>
      <c r="AB40" s="1082"/>
      <c r="AC40" s="751">
        <f t="shared" si="6"/>
        <v>0</v>
      </c>
      <c r="AD40" s="556">
        <f t="shared" si="9"/>
        <v>0</v>
      </c>
      <c r="AE40" s="556">
        <f t="shared" si="10"/>
        <v>0</v>
      </c>
      <c r="AF40" s="556">
        <f t="shared" si="11"/>
        <v>0</v>
      </c>
      <c r="AG40" s="556">
        <f t="shared" si="7"/>
        <v>0</v>
      </c>
      <c r="AH40" s="556">
        <f t="shared" si="12"/>
        <v>0</v>
      </c>
      <c r="AI40" s="556">
        <f t="shared" si="13"/>
        <v>0</v>
      </c>
      <c r="AJ40" s="752"/>
      <c r="AK40" s="1083"/>
      <c r="AL40" s="1084"/>
    </row>
    <row r="41" spans="1:39" ht="54.95" customHeight="1">
      <c r="A41" s="920" t="s">
        <v>12</v>
      </c>
      <c r="B41" s="921"/>
      <c r="C41" s="557">
        <f>SUM(C12:C23)</f>
        <v>0</v>
      </c>
      <c r="D41" s="558">
        <f t="shared" ref="D41:Z41" si="17">SUM(D12:D23)</f>
        <v>0</v>
      </c>
      <c r="E41" s="559">
        <f t="shared" si="17"/>
        <v>0</v>
      </c>
      <c r="F41" s="560">
        <f t="shared" si="17"/>
        <v>0</v>
      </c>
      <c r="G41" s="561">
        <f t="shared" si="17"/>
        <v>0</v>
      </c>
      <c r="H41" s="558">
        <f t="shared" si="17"/>
        <v>0</v>
      </c>
      <c r="I41" s="559">
        <f t="shared" si="17"/>
        <v>0</v>
      </c>
      <c r="J41" s="560">
        <f t="shared" si="17"/>
        <v>0</v>
      </c>
      <c r="K41" s="561">
        <f t="shared" si="17"/>
        <v>0</v>
      </c>
      <c r="L41" s="558">
        <f t="shared" si="17"/>
        <v>0</v>
      </c>
      <c r="M41" s="559">
        <f t="shared" si="17"/>
        <v>0</v>
      </c>
      <c r="N41" s="560">
        <f t="shared" si="17"/>
        <v>0</v>
      </c>
      <c r="O41" s="561">
        <f t="shared" si="17"/>
        <v>0</v>
      </c>
      <c r="P41" s="558">
        <f t="shared" si="17"/>
        <v>0</v>
      </c>
      <c r="Q41" s="559">
        <f t="shared" si="17"/>
        <v>0</v>
      </c>
      <c r="R41" s="562">
        <f t="shared" si="17"/>
        <v>0</v>
      </c>
      <c r="S41" s="753">
        <f t="shared" si="17"/>
        <v>0</v>
      </c>
      <c r="T41" s="754">
        <f t="shared" si="17"/>
        <v>0</v>
      </c>
      <c r="U41" s="754">
        <f t="shared" si="17"/>
        <v>0</v>
      </c>
      <c r="V41" s="754">
        <f t="shared" si="17"/>
        <v>0</v>
      </c>
      <c r="W41" s="754">
        <f t="shared" si="17"/>
        <v>0</v>
      </c>
      <c r="X41" s="754">
        <f t="shared" si="17"/>
        <v>0</v>
      </c>
      <c r="Y41" s="754">
        <f t="shared" si="17"/>
        <v>0</v>
      </c>
      <c r="Z41" s="754">
        <f t="shared" si="17"/>
        <v>0</v>
      </c>
      <c r="AA41" s="1073" t="s">
        <v>12</v>
      </c>
      <c r="AB41" s="1073"/>
      <c r="AC41" s="713">
        <f t="shared" si="6"/>
        <v>0</v>
      </c>
      <c r="AD41" s="564">
        <f t="shared" si="9"/>
        <v>0</v>
      </c>
      <c r="AE41" s="564">
        <f t="shared" si="10"/>
        <v>0</v>
      </c>
      <c r="AF41" s="564">
        <f t="shared" si="11"/>
        <v>0</v>
      </c>
      <c r="AG41" s="564">
        <f t="shared" si="7"/>
        <v>0</v>
      </c>
      <c r="AH41" s="564">
        <f t="shared" si="12"/>
        <v>0</v>
      </c>
      <c r="AI41" s="564">
        <f t="shared" si="13"/>
        <v>0</v>
      </c>
      <c r="AJ41" s="755"/>
      <c r="AK41" s="1074"/>
      <c r="AL41" s="1075"/>
    </row>
    <row r="42" spans="1:39" ht="54.95" customHeight="1" thickBot="1">
      <c r="A42" s="927" t="str">
        <f>IF($AC$36=MAX($AC$36:$AC$40),A36,IF($AC$37=MAX($AC$36:$AC$40),A37,IF($AC$38=MAX($AC$36:$AC$40),A38,IF($AC$39=MAX($AC$36:$AC$40),A39,A40))))</f>
        <v>de 6:30 à 7:30</v>
      </c>
      <c r="B42" s="928"/>
      <c r="C42" s="565">
        <f>IF($AC$36=MAX($AC$36:$AC$40),C36,IF($AC$37=MAX($AC$36:$AC$40),C37,IF($AC$38=MAX($AC$36:$AC$40),C38,IF($AC$39=MAX($AC$36:$AC$40),C39,C40))))</f>
        <v>0</v>
      </c>
      <c r="D42" s="566">
        <f t="shared" ref="D42:Z42" si="18">IF($AC$36=MAX($AC$36:$AC$40),D36,IF($AC$37=MAX($AC$36:$AC$40),D37,IF($AC$38=MAX($AC$36:$AC$40),D38,IF($AC$39=MAX($AC$36:$AC$40),D39,D40))))</f>
        <v>0</v>
      </c>
      <c r="E42" s="567">
        <f t="shared" si="18"/>
        <v>0</v>
      </c>
      <c r="F42" s="568">
        <f t="shared" si="18"/>
        <v>0</v>
      </c>
      <c r="G42" s="569">
        <f t="shared" si="18"/>
        <v>0</v>
      </c>
      <c r="H42" s="566">
        <f t="shared" si="18"/>
        <v>0</v>
      </c>
      <c r="I42" s="567">
        <f t="shared" si="18"/>
        <v>0</v>
      </c>
      <c r="J42" s="568">
        <f t="shared" si="18"/>
        <v>0</v>
      </c>
      <c r="K42" s="569">
        <f t="shared" si="18"/>
        <v>0</v>
      </c>
      <c r="L42" s="566">
        <f t="shared" si="18"/>
        <v>0</v>
      </c>
      <c r="M42" s="567">
        <f t="shared" si="18"/>
        <v>0</v>
      </c>
      <c r="N42" s="568">
        <f t="shared" si="18"/>
        <v>0</v>
      </c>
      <c r="O42" s="569">
        <f t="shared" si="18"/>
        <v>0</v>
      </c>
      <c r="P42" s="566">
        <f t="shared" si="18"/>
        <v>0</v>
      </c>
      <c r="Q42" s="567">
        <f t="shared" si="18"/>
        <v>0</v>
      </c>
      <c r="R42" s="570">
        <f t="shared" si="18"/>
        <v>0</v>
      </c>
      <c r="S42" s="756">
        <f t="shared" si="18"/>
        <v>0</v>
      </c>
      <c r="T42" s="757">
        <f t="shared" si="18"/>
        <v>0</v>
      </c>
      <c r="U42" s="757">
        <f t="shared" si="18"/>
        <v>0</v>
      </c>
      <c r="V42" s="757">
        <f t="shared" si="18"/>
        <v>0</v>
      </c>
      <c r="W42" s="757">
        <f t="shared" si="18"/>
        <v>0</v>
      </c>
      <c r="X42" s="757">
        <f t="shared" si="18"/>
        <v>0</v>
      </c>
      <c r="Y42" s="757">
        <f t="shared" si="18"/>
        <v>0</v>
      </c>
      <c r="Z42" s="757">
        <f t="shared" si="18"/>
        <v>0</v>
      </c>
      <c r="AA42" s="1076" t="str">
        <f>A42</f>
        <v>de 6:30 à 7:30</v>
      </c>
      <c r="AB42" s="1076"/>
      <c r="AC42" s="758">
        <f t="shared" si="6"/>
        <v>0</v>
      </c>
      <c r="AD42" s="572">
        <f t="shared" si="9"/>
        <v>0</v>
      </c>
      <c r="AE42" s="572">
        <f t="shared" si="10"/>
        <v>0</v>
      </c>
      <c r="AF42" s="572">
        <f t="shared" si="11"/>
        <v>0</v>
      </c>
      <c r="AG42" s="572">
        <f t="shared" si="7"/>
        <v>0</v>
      </c>
      <c r="AH42" s="572">
        <f t="shared" si="12"/>
        <v>0</v>
      </c>
      <c r="AI42" s="572">
        <f t="shared" si="13"/>
        <v>0</v>
      </c>
      <c r="AJ42" s="759"/>
      <c r="AK42" s="1077"/>
      <c r="AL42" s="1078"/>
    </row>
    <row r="43" spans="1:39" ht="12.75" customHeight="1" thickTop="1" thickBot="1">
      <c r="A43" s="573"/>
      <c r="B43" s="574"/>
      <c r="C43" s="574"/>
      <c r="D43" s="574"/>
      <c r="E43" s="574"/>
      <c r="F43" s="574"/>
      <c r="G43" s="574"/>
      <c r="H43" s="574"/>
      <c r="I43" s="574"/>
      <c r="J43" s="574"/>
      <c r="K43" s="574"/>
      <c r="L43" s="574"/>
      <c r="M43" s="574"/>
      <c r="N43" s="574"/>
      <c r="O43" s="574"/>
      <c r="P43" s="574"/>
      <c r="Q43" s="574"/>
      <c r="R43" s="574"/>
      <c r="S43" s="573"/>
      <c r="T43" s="574"/>
      <c r="U43" s="574"/>
      <c r="V43" s="574"/>
      <c r="W43" s="574"/>
      <c r="X43" s="574"/>
      <c r="Y43" s="574"/>
      <c r="Z43" s="574"/>
      <c r="AA43" s="575"/>
      <c r="AB43" s="575"/>
      <c r="AC43" s="574"/>
      <c r="AD43" s="574"/>
      <c r="AE43" s="573"/>
      <c r="AF43" s="574"/>
      <c r="AG43" s="574"/>
      <c r="AH43" s="574"/>
      <c r="AI43" s="574"/>
      <c r="AJ43" s="576"/>
      <c r="AK43" s="575"/>
      <c r="AL43" s="577"/>
      <c r="AM43" s="577"/>
    </row>
    <row r="44" spans="1:39" ht="32.25" customHeight="1" thickTop="1">
      <c r="A44" s="578"/>
      <c r="B44" s="576"/>
      <c r="C44" s="579"/>
      <c r="D44" s="579"/>
      <c r="E44" s="579"/>
      <c r="F44" s="579"/>
      <c r="G44" s="579"/>
      <c r="H44" s="579"/>
      <c r="I44" s="579"/>
      <c r="J44" s="579"/>
      <c r="K44" s="579"/>
      <c r="L44" s="579"/>
      <c r="M44" s="579"/>
      <c r="N44" s="579"/>
      <c r="O44" s="579"/>
      <c r="P44" s="579"/>
      <c r="Q44" s="579"/>
      <c r="R44" s="579"/>
      <c r="S44" s="579"/>
      <c r="T44" s="579"/>
      <c r="U44" s="579"/>
      <c r="V44" s="579"/>
      <c r="W44" s="579"/>
      <c r="X44" s="579"/>
      <c r="Y44" s="579"/>
      <c r="Z44" s="579"/>
      <c r="AA44" s="578"/>
      <c r="AB44" s="576"/>
      <c r="AC44" s="580"/>
      <c r="AD44" s="917" t="s">
        <v>115</v>
      </c>
      <c r="AE44" s="917" t="s">
        <v>116</v>
      </c>
      <c r="AF44" s="917" t="s">
        <v>117</v>
      </c>
      <c r="AG44" s="917" t="s">
        <v>122</v>
      </c>
      <c r="AH44" s="917" t="s">
        <v>78</v>
      </c>
      <c r="AI44" s="917" t="s">
        <v>20</v>
      </c>
      <c r="AJ44" s="581"/>
      <c r="AK44" s="582"/>
      <c r="AL44" s="582"/>
      <c r="AM44" s="577"/>
    </row>
    <row r="45" spans="1:39" ht="22.7" customHeight="1">
      <c r="A45" s="578"/>
      <c r="B45" s="576"/>
      <c r="C45" s="583"/>
      <c r="D45" s="583"/>
      <c r="E45" s="583"/>
      <c r="F45" s="583"/>
      <c r="G45" s="583"/>
      <c r="H45" s="583"/>
      <c r="I45" s="583"/>
      <c r="J45" s="583"/>
      <c r="K45" s="583"/>
      <c r="L45" s="583"/>
      <c r="M45" s="583"/>
      <c r="N45" s="583"/>
      <c r="O45" s="583"/>
      <c r="P45" s="583"/>
      <c r="Q45" s="583"/>
      <c r="R45" s="583"/>
      <c r="S45" s="583"/>
      <c r="T45" s="583"/>
      <c r="U45" s="583"/>
      <c r="V45" s="583"/>
      <c r="W45" s="583"/>
      <c r="X45" s="583"/>
      <c r="Y45" s="583"/>
      <c r="Z45" s="583"/>
      <c r="AA45" s="578"/>
      <c r="AB45" s="576"/>
      <c r="AC45" s="580"/>
      <c r="AD45" s="918"/>
      <c r="AE45" s="918"/>
      <c r="AF45" s="918"/>
      <c r="AG45" s="918"/>
      <c r="AH45" s="918"/>
      <c r="AI45" s="918"/>
      <c r="AJ45" s="581"/>
      <c r="AK45" s="582"/>
      <c r="AL45" s="582"/>
      <c r="AM45" s="577"/>
    </row>
    <row r="46" spans="1:39" ht="18.600000000000001" customHeight="1">
      <c r="A46" s="578"/>
      <c r="B46" s="576"/>
      <c r="C46" s="584"/>
      <c r="D46" s="584"/>
      <c r="E46" s="584"/>
      <c r="F46" s="584"/>
      <c r="G46" s="584"/>
      <c r="H46" s="584"/>
      <c r="I46" s="584"/>
      <c r="J46" s="584"/>
      <c r="K46" s="584"/>
      <c r="L46" s="584"/>
      <c r="M46" s="584"/>
      <c r="N46" s="584"/>
      <c r="O46" s="584"/>
      <c r="P46" s="584"/>
      <c r="Q46" s="584"/>
      <c r="R46" s="584"/>
      <c r="S46" s="584"/>
      <c r="T46" s="584"/>
      <c r="U46" s="584"/>
      <c r="V46" s="584"/>
      <c r="W46" s="584"/>
      <c r="X46" s="584"/>
      <c r="Y46" s="584"/>
      <c r="Z46" s="584"/>
      <c r="AA46" s="578"/>
      <c r="AB46" s="576"/>
      <c r="AC46" s="580"/>
      <c r="AD46" s="918"/>
      <c r="AE46" s="918"/>
      <c r="AF46" s="918"/>
      <c r="AG46" s="918"/>
      <c r="AH46" s="918"/>
      <c r="AI46" s="918"/>
      <c r="AJ46" s="581"/>
      <c r="AK46" s="582"/>
      <c r="AL46" s="582"/>
      <c r="AM46" s="577"/>
    </row>
    <row r="47" spans="1:39" ht="20.25">
      <c r="A47" s="585"/>
      <c r="B47" s="585"/>
      <c r="C47" s="586"/>
      <c r="D47" s="586"/>
      <c r="E47" s="586"/>
      <c r="F47" s="586"/>
      <c r="G47" s="586"/>
      <c r="H47" s="586"/>
      <c r="I47" s="586"/>
      <c r="J47" s="586"/>
      <c r="K47" s="586"/>
      <c r="L47" s="586"/>
      <c r="M47" s="586"/>
      <c r="N47" s="586"/>
      <c r="O47" s="586"/>
      <c r="P47" s="586"/>
      <c r="Q47" s="586"/>
      <c r="R47" s="586"/>
      <c r="S47" s="586"/>
      <c r="T47" s="586"/>
      <c r="U47" s="586"/>
      <c r="V47" s="586"/>
      <c r="W47" s="586"/>
      <c r="X47" s="586"/>
      <c r="Y47" s="586"/>
      <c r="Z47" s="586"/>
      <c r="AA47" s="585"/>
      <c r="AB47" s="585"/>
      <c r="AC47" s="580"/>
      <c r="AD47" s="919"/>
      <c r="AE47" s="919"/>
      <c r="AF47" s="919"/>
      <c r="AG47" s="919"/>
      <c r="AH47" s="919"/>
      <c r="AI47" s="919"/>
      <c r="AJ47" s="581"/>
      <c r="AK47" s="582"/>
      <c r="AL47" s="582"/>
      <c r="AM47" s="577"/>
    </row>
    <row r="48" spans="1:39" ht="54.95" customHeight="1">
      <c r="A48" s="585"/>
      <c r="B48" s="585"/>
      <c r="C48" s="587"/>
      <c r="D48" s="587"/>
      <c r="E48" s="587"/>
      <c r="F48" s="587"/>
      <c r="G48" s="587"/>
      <c r="H48" s="587"/>
      <c r="I48" s="587"/>
      <c r="J48" s="587"/>
      <c r="K48" s="587"/>
      <c r="L48" s="587"/>
      <c r="M48" s="587"/>
      <c r="N48" s="587"/>
      <c r="O48" s="587"/>
      <c r="P48" s="587"/>
      <c r="Q48" s="587"/>
      <c r="R48" s="587"/>
      <c r="S48" s="587"/>
      <c r="T48" s="587"/>
      <c r="U48" s="587"/>
      <c r="V48" s="587"/>
      <c r="W48" s="587"/>
      <c r="X48" s="587"/>
      <c r="Y48" s="587"/>
      <c r="Z48" s="587"/>
      <c r="AA48" s="585"/>
      <c r="AB48" s="585"/>
      <c r="AC48" s="588"/>
      <c r="AD48" s="589">
        <f>(C36+E36+G36+I36+K36+M36+O36+Q36+S36+U36+W36+Y36)</f>
        <v>0</v>
      </c>
      <c r="AE48" s="589">
        <f>(E36+F36+I36+J36+M36+N36+Q36+R36+U36+V36+Y36+Z36)</f>
        <v>0</v>
      </c>
      <c r="AF48" s="589">
        <f>(E36+I36+M36+Q36+U36+Y36)</f>
        <v>0</v>
      </c>
      <c r="AG48" s="589">
        <f>SUM(G36:N36)</f>
        <v>0</v>
      </c>
      <c r="AH48" s="589">
        <f>SUM(K36:R36)</f>
        <v>0</v>
      </c>
      <c r="AI48" s="589">
        <f>SUM(C36:J36)</f>
        <v>0</v>
      </c>
      <c r="AJ48" s="590"/>
      <c r="AK48" s="591"/>
      <c r="AL48" s="591"/>
      <c r="AM48" s="577"/>
    </row>
    <row r="49" spans="1:43" ht="54.95" customHeight="1">
      <c r="A49" s="585"/>
      <c r="B49" s="585"/>
      <c r="C49" s="587"/>
      <c r="D49" s="587"/>
      <c r="E49" s="587"/>
      <c r="F49" s="587"/>
      <c r="G49" s="587"/>
      <c r="H49" s="587"/>
      <c r="I49" s="587"/>
      <c r="J49" s="587"/>
      <c r="K49" s="587"/>
      <c r="L49" s="587"/>
      <c r="M49" s="587"/>
      <c r="N49" s="587"/>
      <c r="O49" s="587"/>
      <c r="P49" s="587"/>
      <c r="Q49" s="587"/>
      <c r="R49" s="587"/>
      <c r="S49" s="587"/>
      <c r="T49" s="587"/>
      <c r="U49" s="587"/>
      <c r="V49" s="587"/>
      <c r="W49" s="587"/>
      <c r="X49" s="587"/>
      <c r="Y49" s="587"/>
      <c r="Z49" s="587"/>
      <c r="AA49" s="585"/>
      <c r="AB49" s="585"/>
      <c r="AC49" s="588"/>
      <c r="AD49" s="592">
        <f t="shared" ref="AD49:AD54" si="19">(C37+E37+G37+I37+K37+M37+O37+Q37+S37+U37+W37+Y37)</f>
        <v>0</v>
      </c>
      <c r="AE49" s="592">
        <f t="shared" ref="AE49:AE54" si="20">(E37+F37+I37+J37+M37+N37+Q37+R37+U37+V37+Y37+Z37)</f>
        <v>0</v>
      </c>
      <c r="AF49" s="592">
        <f t="shared" ref="AF49:AF54" si="21">(E37+I37+M37+Q37+U37+Y37)</f>
        <v>0</v>
      </c>
      <c r="AG49" s="592">
        <f t="shared" ref="AG49:AG54" si="22">SUM(G37:N37)</f>
        <v>0</v>
      </c>
      <c r="AH49" s="592">
        <f t="shared" ref="AH49:AH54" si="23">SUM(K37:R37)</f>
        <v>0</v>
      </c>
      <c r="AI49" s="592">
        <f t="shared" ref="AI49:AI54" si="24">SUM(C37:J37)</f>
        <v>0</v>
      </c>
      <c r="AJ49" s="590"/>
      <c r="AK49" s="591"/>
      <c r="AL49" s="591"/>
      <c r="AM49" s="577"/>
    </row>
    <row r="50" spans="1:43" ht="54.95" customHeight="1">
      <c r="A50" s="585"/>
      <c r="B50" s="585"/>
      <c r="C50" s="587"/>
      <c r="D50" s="587"/>
      <c r="E50" s="587"/>
      <c r="F50" s="587"/>
      <c r="G50" s="587"/>
      <c r="H50" s="587"/>
      <c r="I50" s="587"/>
      <c r="J50" s="587"/>
      <c r="K50" s="587"/>
      <c r="L50" s="587"/>
      <c r="M50" s="587"/>
      <c r="N50" s="587"/>
      <c r="O50" s="587"/>
      <c r="P50" s="587"/>
      <c r="Q50" s="587"/>
      <c r="R50" s="587"/>
      <c r="S50" s="587"/>
      <c r="T50" s="587"/>
      <c r="U50" s="587"/>
      <c r="V50" s="587"/>
      <c r="W50" s="587"/>
      <c r="X50" s="587"/>
      <c r="Y50" s="587"/>
      <c r="Z50" s="587"/>
      <c r="AA50" s="585"/>
      <c r="AB50" s="585"/>
      <c r="AC50" s="588"/>
      <c r="AD50" s="592">
        <f t="shared" si="19"/>
        <v>0</v>
      </c>
      <c r="AE50" s="592">
        <f t="shared" si="20"/>
        <v>0</v>
      </c>
      <c r="AF50" s="592">
        <f t="shared" si="21"/>
        <v>0</v>
      </c>
      <c r="AG50" s="592">
        <f t="shared" si="22"/>
        <v>0</v>
      </c>
      <c r="AH50" s="592">
        <f t="shared" si="23"/>
        <v>0</v>
      </c>
      <c r="AI50" s="592">
        <f t="shared" si="24"/>
        <v>0</v>
      </c>
      <c r="AJ50" s="590"/>
      <c r="AK50" s="591"/>
      <c r="AL50" s="591"/>
      <c r="AM50" s="577"/>
    </row>
    <row r="51" spans="1:43" ht="54.95" customHeight="1">
      <c r="A51" s="585"/>
      <c r="B51" s="585"/>
      <c r="C51" s="587"/>
      <c r="D51" s="587"/>
      <c r="E51" s="587"/>
      <c r="F51" s="587"/>
      <c r="G51" s="587"/>
      <c r="H51" s="587"/>
      <c r="I51" s="587"/>
      <c r="J51" s="587"/>
      <c r="K51" s="587"/>
      <c r="L51" s="587"/>
      <c r="M51" s="587"/>
      <c r="N51" s="587"/>
      <c r="O51" s="587"/>
      <c r="P51" s="587"/>
      <c r="Q51" s="587"/>
      <c r="R51" s="587"/>
      <c r="S51" s="587"/>
      <c r="T51" s="587"/>
      <c r="U51" s="587"/>
      <c r="V51" s="587"/>
      <c r="W51" s="587"/>
      <c r="X51" s="587"/>
      <c r="Y51" s="587"/>
      <c r="Z51" s="587"/>
      <c r="AA51" s="585"/>
      <c r="AB51" s="585"/>
      <c r="AC51" s="588"/>
      <c r="AD51" s="592">
        <f t="shared" si="19"/>
        <v>0</v>
      </c>
      <c r="AE51" s="592">
        <f t="shared" si="20"/>
        <v>0</v>
      </c>
      <c r="AF51" s="592">
        <f t="shared" si="21"/>
        <v>0</v>
      </c>
      <c r="AG51" s="592">
        <f t="shared" si="22"/>
        <v>0</v>
      </c>
      <c r="AH51" s="592">
        <f t="shared" si="23"/>
        <v>0</v>
      </c>
      <c r="AI51" s="592">
        <f t="shared" si="24"/>
        <v>0</v>
      </c>
      <c r="AJ51" s="590"/>
      <c r="AK51" s="591"/>
      <c r="AL51" s="591"/>
      <c r="AM51" s="577"/>
    </row>
    <row r="52" spans="1:43" ht="54.95" customHeight="1">
      <c r="A52" s="585"/>
      <c r="B52" s="585"/>
      <c r="C52" s="587"/>
      <c r="D52" s="587"/>
      <c r="E52" s="587"/>
      <c r="F52" s="587"/>
      <c r="G52" s="587"/>
      <c r="H52" s="587"/>
      <c r="I52" s="587"/>
      <c r="J52" s="587"/>
      <c r="K52" s="587"/>
      <c r="L52" s="587"/>
      <c r="M52" s="587"/>
      <c r="N52" s="587"/>
      <c r="O52" s="587"/>
      <c r="P52" s="587"/>
      <c r="Q52" s="587"/>
      <c r="R52" s="587"/>
      <c r="S52" s="587"/>
      <c r="T52" s="587"/>
      <c r="U52" s="587"/>
      <c r="V52" s="587"/>
      <c r="W52" s="587"/>
      <c r="X52" s="587"/>
      <c r="Y52" s="587"/>
      <c r="Z52" s="587"/>
      <c r="AA52" s="585"/>
      <c r="AB52" s="585"/>
      <c r="AC52" s="588"/>
      <c r="AD52" s="593">
        <f t="shared" si="19"/>
        <v>0</v>
      </c>
      <c r="AE52" s="593">
        <f t="shared" si="20"/>
        <v>0</v>
      </c>
      <c r="AF52" s="593">
        <f t="shared" si="21"/>
        <v>0</v>
      </c>
      <c r="AG52" s="593">
        <f t="shared" si="22"/>
        <v>0</v>
      </c>
      <c r="AH52" s="593">
        <f t="shared" si="23"/>
        <v>0</v>
      </c>
      <c r="AI52" s="593">
        <f t="shared" si="24"/>
        <v>0</v>
      </c>
      <c r="AJ52" s="590"/>
      <c r="AK52" s="591"/>
      <c r="AL52" s="591"/>
      <c r="AM52" s="577"/>
    </row>
    <row r="53" spans="1:43" ht="54.95" customHeight="1">
      <c r="A53" s="585"/>
      <c r="B53" s="585"/>
      <c r="C53" s="587"/>
      <c r="D53" s="587"/>
      <c r="E53" s="587"/>
      <c r="F53" s="587"/>
      <c r="G53" s="587"/>
      <c r="H53" s="587"/>
      <c r="I53" s="587"/>
      <c r="J53" s="587"/>
      <c r="K53" s="587"/>
      <c r="L53" s="587"/>
      <c r="M53" s="587"/>
      <c r="N53" s="587"/>
      <c r="O53" s="587"/>
      <c r="P53" s="587"/>
      <c r="Q53" s="587"/>
      <c r="R53" s="587"/>
      <c r="S53" s="587"/>
      <c r="T53" s="587"/>
      <c r="U53" s="587"/>
      <c r="V53" s="587"/>
      <c r="W53" s="587"/>
      <c r="X53" s="587"/>
      <c r="Y53" s="587"/>
      <c r="Z53" s="587"/>
      <c r="AA53" s="585"/>
      <c r="AB53" s="585"/>
      <c r="AC53" s="588"/>
      <c r="AD53" s="594">
        <f t="shared" si="19"/>
        <v>0</v>
      </c>
      <c r="AE53" s="594">
        <f t="shared" si="20"/>
        <v>0</v>
      </c>
      <c r="AF53" s="594">
        <f t="shared" si="21"/>
        <v>0</v>
      </c>
      <c r="AG53" s="594">
        <f t="shared" si="22"/>
        <v>0</v>
      </c>
      <c r="AH53" s="594">
        <f t="shared" si="23"/>
        <v>0</v>
      </c>
      <c r="AI53" s="594">
        <f t="shared" si="24"/>
        <v>0</v>
      </c>
      <c r="AJ53" s="590"/>
      <c r="AK53" s="591"/>
      <c r="AL53" s="591"/>
      <c r="AM53" s="577"/>
    </row>
    <row r="54" spans="1:43" ht="54.95" customHeight="1" thickBot="1">
      <c r="A54" s="585"/>
      <c r="B54" s="585"/>
      <c r="C54" s="587"/>
      <c r="D54" s="587"/>
      <c r="E54" s="587"/>
      <c r="F54" s="587"/>
      <c r="G54" s="587"/>
      <c r="H54" s="587"/>
      <c r="I54" s="587"/>
      <c r="J54" s="587"/>
      <c r="K54" s="587"/>
      <c r="L54" s="587"/>
      <c r="M54" s="587"/>
      <c r="N54" s="587"/>
      <c r="O54" s="587"/>
      <c r="P54" s="587"/>
      <c r="Q54" s="587"/>
      <c r="R54" s="587"/>
      <c r="S54" s="587"/>
      <c r="T54" s="587"/>
      <c r="U54" s="587"/>
      <c r="V54" s="587"/>
      <c r="W54" s="587"/>
      <c r="X54" s="587"/>
      <c r="Y54" s="587"/>
      <c r="Z54" s="587"/>
      <c r="AA54" s="585"/>
      <c r="AB54" s="585"/>
      <c r="AC54" s="588"/>
      <c r="AD54" s="595">
        <f t="shared" si="19"/>
        <v>0</v>
      </c>
      <c r="AE54" s="595">
        <f t="shared" si="20"/>
        <v>0</v>
      </c>
      <c r="AF54" s="595">
        <f t="shared" si="21"/>
        <v>0</v>
      </c>
      <c r="AG54" s="595">
        <f t="shared" si="22"/>
        <v>0</v>
      </c>
      <c r="AH54" s="595">
        <f t="shared" si="23"/>
        <v>0</v>
      </c>
      <c r="AI54" s="595">
        <f t="shared" si="24"/>
        <v>0</v>
      </c>
      <c r="AJ54" s="590"/>
      <c r="AK54" s="591"/>
      <c r="AL54" s="591"/>
      <c r="AM54" s="577"/>
    </row>
    <row r="55" spans="1:43" ht="21" thickTop="1">
      <c r="A55" s="288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8"/>
      <c r="T55" s="289"/>
      <c r="U55" s="289"/>
      <c r="V55" s="289"/>
      <c r="W55" s="289"/>
      <c r="X55" s="289"/>
      <c r="Y55" s="289"/>
      <c r="Z55" s="289"/>
      <c r="AA55" s="189"/>
      <c r="AB55" s="189"/>
      <c r="AC55" s="289"/>
      <c r="AD55" s="289"/>
      <c r="AE55" s="288"/>
      <c r="AF55" s="289"/>
      <c r="AG55" s="289"/>
      <c r="AH55" s="289"/>
      <c r="AI55" s="289"/>
      <c r="AJ55" s="289"/>
      <c r="AK55" s="189"/>
    </row>
    <row r="56" spans="1:43" ht="20.25">
      <c r="A56" s="190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90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90"/>
      <c r="AF56" s="189"/>
      <c r="AG56" s="189"/>
      <c r="AH56" s="189"/>
      <c r="AI56" s="189"/>
      <c r="AJ56" s="189"/>
      <c r="AK56" s="189"/>
    </row>
    <row r="57" spans="1:43" ht="20.25">
      <c r="A57" s="190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90"/>
      <c r="AD57" s="189"/>
      <c r="AE57" s="189"/>
      <c r="AF57" s="189"/>
      <c r="AG57" s="189"/>
      <c r="AH57" s="189"/>
      <c r="AI57" s="189"/>
      <c r="AJ57" s="189"/>
      <c r="AK57" s="189"/>
      <c r="AL57" s="190"/>
      <c r="AM57" s="189"/>
      <c r="AN57" s="189"/>
      <c r="AO57" s="189"/>
      <c r="AP57" s="189"/>
      <c r="AQ57" s="189"/>
    </row>
    <row r="58" spans="1:43" ht="20.25">
      <c r="A58" s="190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90"/>
      <c r="AD58" s="189"/>
      <c r="AE58" s="189"/>
      <c r="AF58" s="189"/>
      <c r="AG58" s="189"/>
      <c r="AH58" s="189"/>
      <c r="AI58" s="189"/>
      <c r="AJ58" s="189"/>
      <c r="AK58" s="189"/>
      <c r="AL58" s="190"/>
      <c r="AM58" s="189"/>
      <c r="AN58" s="189"/>
      <c r="AO58" s="189"/>
      <c r="AP58" s="189"/>
      <c r="AQ58" s="189"/>
    </row>
    <row r="59" spans="1:43" ht="20.25">
      <c r="A59" s="190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90"/>
      <c r="AD59" s="189"/>
      <c r="AE59" s="189"/>
      <c r="AF59" s="189"/>
      <c r="AG59" s="189"/>
      <c r="AH59" s="189"/>
      <c r="AI59" s="189"/>
      <c r="AJ59" s="189"/>
      <c r="AK59" s="189"/>
      <c r="AL59" s="190"/>
      <c r="AM59" s="189"/>
      <c r="AN59" s="189"/>
      <c r="AO59" s="189"/>
      <c r="AP59" s="189"/>
      <c r="AQ59" s="189"/>
    </row>
    <row r="60" spans="1:43" ht="20.25">
      <c r="A60" s="190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90"/>
      <c r="AD60" s="189"/>
      <c r="AE60" s="189"/>
      <c r="AF60" s="189"/>
      <c r="AG60" s="189"/>
      <c r="AH60" s="189"/>
      <c r="AI60" s="189"/>
      <c r="AJ60" s="189"/>
      <c r="AK60" s="189"/>
      <c r="AL60" s="190"/>
      <c r="AM60" s="189"/>
      <c r="AN60" s="189"/>
      <c r="AO60" s="189"/>
      <c r="AP60" s="189"/>
      <c r="AQ60" s="189"/>
    </row>
    <row r="61" spans="1:43" ht="20.25">
      <c r="A61" s="190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90"/>
      <c r="AD61" s="189"/>
      <c r="AE61" s="189"/>
      <c r="AF61" s="189"/>
      <c r="AG61" s="189"/>
      <c r="AH61" s="189"/>
      <c r="AI61" s="189"/>
      <c r="AJ61" s="189"/>
      <c r="AK61" s="189"/>
      <c r="AL61" s="190"/>
      <c r="AM61" s="189"/>
      <c r="AN61" s="189"/>
      <c r="AO61" s="189"/>
      <c r="AP61" s="189"/>
      <c r="AQ61" s="189"/>
    </row>
    <row r="62" spans="1:43" ht="20.25">
      <c r="A62" s="190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90"/>
      <c r="AD62" s="189"/>
      <c r="AE62" s="189"/>
      <c r="AF62" s="189"/>
      <c r="AG62" s="189"/>
      <c r="AH62" s="189"/>
      <c r="AI62" s="189"/>
      <c r="AJ62" s="189"/>
      <c r="AK62" s="189"/>
      <c r="AL62" s="190"/>
      <c r="AM62" s="189"/>
      <c r="AN62" s="189"/>
      <c r="AO62" s="189"/>
      <c r="AP62" s="189"/>
      <c r="AQ62" s="189"/>
    </row>
    <row r="63" spans="1:43" ht="20.25">
      <c r="F63" s="189"/>
      <c r="G63" s="189"/>
      <c r="H63" s="189"/>
      <c r="I63" s="189"/>
      <c r="J63" s="189"/>
      <c r="K63" s="189"/>
      <c r="L63" s="189"/>
      <c r="M63" s="189"/>
      <c r="S63" s="189"/>
      <c r="T63" s="189"/>
      <c r="U63" s="189"/>
    </row>
    <row r="64" spans="1:43" ht="20.25">
      <c r="F64" s="189"/>
      <c r="G64" s="189"/>
      <c r="H64" s="189"/>
      <c r="I64" s="189"/>
      <c r="J64" s="189"/>
      <c r="K64" s="189"/>
      <c r="L64" s="189"/>
      <c r="M64" s="189"/>
      <c r="S64" s="189"/>
      <c r="T64" s="189"/>
      <c r="U64" s="189"/>
    </row>
  </sheetData>
  <mergeCells count="79">
    <mergeCell ref="AI44:AI47"/>
    <mergeCell ref="AD44:AD47"/>
    <mergeCell ref="AE44:AE47"/>
    <mergeCell ref="AF44:AF47"/>
    <mergeCell ref="AG44:AG47"/>
    <mergeCell ref="AH44:AH47"/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E32:AE35"/>
    <mergeCell ref="W33:Z33"/>
    <mergeCell ref="C34:D34"/>
    <mergeCell ref="E34:F34"/>
    <mergeCell ref="G34:H34"/>
    <mergeCell ref="C32:J32"/>
    <mergeCell ref="K32:R32"/>
    <mergeCell ref="S32:Z32"/>
    <mergeCell ref="AC32:AC35"/>
    <mergeCell ref="AD32:AD35"/>
    <mergeCell ref="C33:F33"/>
    <mergeCell ref="G33:J33"/>
    <mergeCell ref="K33:N33"/>
    <mergeCell ref="O33:R33"/>
    <mergeCell ref="S33:V33"/>
    <mergeCell ref="U34:V34"/>
    <mergeCell ref="AF32:AF35"/>
    <mergeCell ref="AG32:AG35"/>
    <mergeCell ref="AH32:AH35"/>
    <mergeCell ref="AI32:AI35"/>
    <mergeCell ref="AJ32:AL35"/>
    <mergeCell ref="W34:X34"/>
    <mergeCell ref="Y34:Z34"/>
    <mergeCell ref="A35:B35"/>
    <mergeCell ref="AA35:AB35"/>
    <mergeCell ref="I34:J34"/>
    <mergeCell ref="K34:L34"/>
    <mergeCell ref="M34:N34"/>
    <mergeCell ref="O34:P34"/>
    <mergeCell ref="Q34:R34"/>
    <mergeCell ref="S34:T34"/>
    <mergeCell ref="AK36:AL36"/>
    <mergeCell ref="A37:B37"/>
    <mergeCell ref="AA37:AB37"/>
    <mergeCell ref="AK37:AL37"/>
    <mergeCell ref="A38:B38"/>
    <mergeCell ref="AA38:AB38"/>
    <mergeCell ref="AK38:AL38"/>
    <mergeCell ref="A36:B36"/>
    <mergeCell ref="AA36:AB36"/>
    <mergeCell ref="A39:B39"/>
    <mergeCell ref="AA39:AB39"/>
    <mergeCell ref="AK39:AL39"/>
    <mergeCell ref="A40:B40"/>
    <mergeCell ref="AA40:AB40"/>
    <mergeCell ref="AK40:AL40"/>
    <mergeCell ref="A41:B41"/>
    <mergeCell ref="AA41:AB41"/>
    <mergeCell ref="AK41:AL41"/>
    <mergeCell ref="A42:B42"/>
    <mergeCell ref="AA42:AB42"/>
    <mergeCell ref="AK42:AL42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Q64"/>
  <sheetViews>
    <sheetView view="pageBreakPreview" zoomScale="50" zoomScaleNormal="40" zoomScaleSheetLayoutView="50" workbookViewId="0">
      <selection activeCell="H13" sqref="H13"/>
    </sheetView>
  </sheetViews>
  <sheetFormatPr baseColWidth="10" defaultRowHeight="14.25"/>
  <cols>
    <col min="1" max="1" width="9.125" style="383" customWidth="1"/>
    <col min="2" max="2" width="13.75" style="383" customWidth="1"/>
    <col min="3" max="26" width="10.875" style="383" customWidth="1"/>
    <col min="27" max="27" width="9.125" style="383" customWidth="1"/>
    <col min="28" max="28" width="13.75" style="383" customWidth="1"/>
    <col min="29" max="36" width="21.125" style="383" customWidth="1"/>
    <col min="37" max="37" width="82.625" style="383" customWidth="1"/>
    <col min="38" max="38" width="21.125" style="383" customWidth="1"/>
    <col min="39" max="43" width="10.625" style="383" customWidth="1"/>
    <col min="44" max="16384" width="11" style="383"/>
  </cols>
  <sheetData>
    <row r="1" spans="1:36" ht="52.5" customHeight="1" thickBot="1">
      <c r="A1" s="374" t="s">
        <v>89</v>
      </c>
      <c r="B1" s="168" t="s">
        <v>70</v>
      </c>
      <c r="C1" s="376"/>
      <c r="D1" s="376"/>
      <c r="E1" s="376"/>
      <c r="F1" s="377"/>
      <c r="G1" s="377"/>
      <c r="H1" s="376"/>
      <c r="I1" s="376"/>
      <c r="J1" s="377"/>
      <c r="K1" s="377"/>
      <c r="L1" s="378"/>
      <c r="M1" s="331" t="s">
        <v>30</v>
      </c>
      <c r="N1" s="443" t="s">
        <v>141</v>
      </c>
      <c r="O1" s="376"/>
      <c r="P1" s="376"/>
      <c r="Q1" s="376"/>
      <c r="R1" s="376"/>
      <c r="S1" s="376"/>
      <c r="T1" s="376"/>
      <c r="U1" s="376"/>
      <c r="V1" s="380"/>
      <c r="W1" s="381"/>
      <c r="X1" s="381"/>
      <c r="Y1" s="381"/>
      <c r="Z1" s="382"/>
    </row>
    <row r="2" spans="1:36" ht="52.5" customHeight="1" thickBot="1">
      <c r="A2" s="318" t="s">
        <v>2</v>
      </c>
      <c r="B2" s="319"/>
      <c r="C2" s="319"/>
      <c r="D2" s="319"/>
      <c r="E2" s="319"/>
      <c r="F2" s="319"/>
      <c r="G2" s="168"/>
      <c r="H2" s="376"/>
      <c r="I2" s="376"/>
      <c r="J2" s="376"/>
      <c r="K2" s="376"/>
      <c r="L2" s="376"/>
      <c r="M2" s="376"/>
      <c r="N2" s="376"/>
      <c r="O2" s="376"/>
      <c r="P2" s="376"/>
      <c r="Q2" s="376"/>
      <c r="R2" s="376"/>
      <c r="S2" s="376"/>
      <c r="T2" s="376"/>
      <c r="U2" s="376"/>
      <c r="V2" s="380"/>
      <c r="W2" s="319"/>
      <c r="X2" s="319"/>
      <c r="Y2" s="319"/>
      <c r="Z2" s="319"/>
    </row>
    <row r="3" spans="1:36" ht="52.5" customHeight="1" thickBot="1">
      <c r="A3" s="318" t="s">
        <v>3</v>
      </c>
      <c r="B3" s="319"/>
      <c r="C3" s="168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  <c r="R3" s="376"/>
      <c r="S3" s="376"/>
      <c r="T3" s="376"/>
      <c r="U3" s="376"/>
      <c r="V3" s="380"/>
      <c r="W3" s="319"/>
      <c r="X3" s="319"/>
      <c r="Y3" s="319"/>
      <c r="Z3" s="336"/>
    </row>
    <row r="4" spans="1:36" ht="52.5" customHeight="1" thickBot="1">
      <c r="A4" s="318" t="s">
        <v>27</v>
      </c>
      <c r="B4" s="319"/>
      <c r="C4" s="168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U4" s="376"/>
      <c r="V4" s="380"/>
      <c r="W4" s="319"/>
      <c r="X4" s="319"/>
      <c r="Y4" s="319"/>
      <c r="Z4" s="336"/>
    </row>
    <row r="5" spans="1:36" ht="25.5" customHeight="1">
      <c r="A5" s="318" t="s">
        <v>71</v>
      </c>
      <c r="B5" s="319"/>
      <c r="C5" s="319" t="s">
        <v>72</v>
      </c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36"/>
      <c r="S5" s="319"/>
      <c r="T5" s="319"/>
      <c r="U5" s="319"/>
      <c r="V5" s="319"/>
      <c r="W5" s="319"/>
      <c r="X5" s="319"/>
      <c r="Y5" s="319"/>
      <c r="Z5" s="336"/>
    </row>
    <row r="6" spans="1:36" ht="25.5" customHeight="1">
      <c r="A6" s="337"/>
      <c r="B6" s="319"/>
      <c r="C6" s="319" t="s">
        <v>91</v>
      </c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36"/>
      <c r="S6" s="319"/>
      <c r="T6" s="319"/>
      <c r="U6" s="319"/>
      <c r="V6" s="319"/>
      <c r="W6" s="319"/>
      <c r="X6" s="319"/>
      <c r="Y6" s="319"/>
      <c r="Z6" s="336"/>
    </row>
    <row r="7" spans="1:36" ht="25.5" customHeight="1" thickBot="1">
      <c r="A7" s="337"/>
      <c r="B7" s="319"/>
      <c r="C7" s="319" t="s">
        <v>73</v>
      </c>
      <c r="D7" s="319"/>
      <c r="E7" s="319"/>
      <c r="F7" s="319"/>
      <c r="G7" s="319"/>
      <c r="H7" s="319"/>
      <c r="I7" s="319"/>
      <c r="J7" s="319"/>
      <c r="K7" s="319"/>
      <c r="L7" s="319"/>
      <c r="M7" s="319"/>
      <c r="N7" s="319"/>
      <c r="O7" s="319"/>
      <c r="P7" s="319"/>
      <c r="Q7" s="319"/>
      <c r="R7" s="336"/>
      <c r="S7" s="319"/>
      <c r="T7" s="319"/>
      <c r="U7" s="319"/>
      <c r="V7" s="319"/>
      <c r="W7" s="319"/>
      <c r="X7" s="319"/>
      <c r="Y7" s="319"/>
      <c r="Z7" s="336"/>
    </row>
    <row r="8" spans="1:36" ht="32.25" customHeight="1" thickTop="1">
      <c r="A8" s="384"/>
      <c r="B8" s="385"/>
      <c r="C8" s="1098"/>
      <c r="D8" s="1099"/>
      <c r="E8" s="1099"/>
      <c r="F8" s="1099"/>
      <c r="G8" s="1099"/>
      <c r="H8" s="1099"/>
      <c r="I8" s="1099"/>
      <c r="J8" s="1099"/>
      <c r="K8" s="1099"/>
      <c r="L8" s="1099"/>
      <c r="M8" s="1099"/>
      <c r="N8" s="1099"/>
      <c r="O8" s="1099"/>
      <c r="P8" s="1099"/>
      <c r="Q8" s="1099"/>
      <c r="R8" s="1099"/>
      <c r="S8" s="1099"/>
      <c r="T8" s="1099"/>
      <c r="U8" s="1099"/>
      <c r="V8" s="1099"/>
      <c r="W8" s="1099"/>
      <c r="X8" s="1099"/>
      <c r="Y8" s="1099"/>
      <c r="Z8" s="1100"/>
      <c r="AA8" s="386"/>
      <c r="AB8" s="386"/>
      <c r="AD8" s="387"/>
      <c r="AE8" s="387"/>
      <c r="AF8" s="387"/>
      <c r="AG8" s="387"/>
      <c r="AH8" s="387"/>
      <c r="AI8" s="387"/>
      <c r="AJ8" s="387"/>
    </row>
    <row r="9" spans="1:36" ht="22.7" customHeight="1">
      <c r="A9" s="384"/>
      <c r="B9" s="385"/>
      <c r="C9" s="823" t="s">
        <v>64</v>
      </c>
      <c r="D9" s="824"/>
      <c r="E9" s="824"/>
      <c r="F9" s="824"/>
      <c r="G9" s="823" t="s">
        <v>65</v>
      </c>
      <c r="H9" s="824"/>
      <c r="I9" s="824"/>
      <c r="J9" s="824"/>
      <c r="K9" s="823" t="s">
        <v>66</v>
      </c>
      <c r="L9" s="824"/>
      <c r="M9" s="824"/>
      <c r="N9" s="824"/>
      <c r="O9" s="823" t="s">
        <v>67</v>
      </c>
      <c r="P9" s="824"/>
      <c r="Q9" s="824"/>
      <c r="R9" s="824"/>
      <c r="S9" s="823" t="s">
        <v>68</v>
      </c>
      <c r="T9" s="824"/>
      <c r="U9" s="824"/>
      <c r="V9" s="824"/>
      <c r="W9" s="823" t="s">
        <v>69</v>
      </c>
      <c r="X9" s="824"/>
      <c r="Y9" s="824"/>
      <c r="Z9" s="825"/>
      <c r="AA9" s="386"/>
      <c r="AB9" s="386"/>
    </row>
    <row r="10" spans="1:36" ht="18.600000000000001" customHeight="1" thickBot="1">
      <c r="A10" s="384"/>
      <c r="B10" s="385"/>
      <c r="C10" s="1014" t="s">
        <v>4</v>
      </c>
      <c r="D10" s="1003"/>
      <c r="E10" s="820" t="s">
        <v>5</v>
      </c>
      <c r="F10" s="822"/>
      <c r="G10" s="1002" t="s">
        <v>4</v>
      </c>
      <c r="H10" s="1003"/>
      <c r="I10" s="820" t="s">
        <v>5</v>
      </c>
      <c r="J10" s="822"/>
      <c r="K10" s="1002" t="s">
        <v>4</v>
      </c>
      <c r="L10" s="1003"/>
      <c r="M10" s="820" t="s">
        <v>5</v>
      </c>
      <c r="N10" s="822"/>
      <c r="O10" s="1002" t="s">
        <v>4</v>
      </c>
      <c r="P10" s="1003"/>
      <c r="Q10" s="820" t="s">
        <v>5</v>
      </c>
      <c r="R10" s="821"/>
      <c r="S10" s="1002" t="s">
        <v>4</v>
      </c>
      <c r="T10" s="1003"/>
      <c r="U10" s="820" t="s">
        <v>5</v>
      </c>
      <c r="V10" s="822"/>
      <c r="W10" s="1002" t="s">
        <v>4</v>
      </c>
      <c r="X10" s="1003"/>
      <c r="Y10" s="820" t="s">
        <v>5</v>
      </c>
      <c r="Z10" s="821"/>
      <c r="AA10" s="386"/>
      <c r="AB10" s="386"/>
    </row>
    <row r="11" spans="1:36" ht="21" thickTop="1">
      <c r="A11" s="388" t="s">
        <v>6</v>
      </c>
      <c r="B11" s="389" t="s">
        <v>7</v>
      </c>
      <c r="C11" s="338" t="s">
        <v>8</v>
      </c>
      <c r="D11" s="339" t="s">
        <v>9</v>
      </c>
      <c r="E11" s="340" t="s">
        <v>8</v>
      </c>
      <c r="F11" s="341" t="s">
        <v>9</v>
      </c>
      <c r="G11" s="342" t="s">
        <v>8</v>
      </c>
      <c r="H11" s="339" t="s">
        <v>9</v>
      </c>
      <c r="I11" s="340" t="s">
        <v>8</v>
      </c>
      <c r="J11" s="341" t="s">
        <v>9</v>
      </c>
      <c r="K11" s="342" t="s">
        <v>8</v>
      </c>
      <c r="L11" s="339" t="s">
        <v>9</v>
      </c>
      <c r="M11" s="340" t="s">
        <v>8</v>
      </c>
      <c r="N11" s="341" t="s">
        <v>9</v>
      </c>
      <c r="O11" s="342" t="s">
        <v>8</v>
      </c>
      <c r="P11" s="339" t="s">
        <v>9</v>
      </c>
      <c r="Q11" s="340" t="s">
        <v>8</v>
      </c>
      <c r="R11" s="343" t="s">
        <v>9</v>
      </c>
      <c r="S11" s="342" t="s">
        <v>8</v>
      </c>
      <c r="T11" s="339" t="s">
        <v>9</v>
      </c>
      <c r="U11" s="340" t="s">
        <v>8</v>
      </c>
      <c r="V11" s="341" t="s">
        <v>9</v>
      </c>
      <c r="W11" s="342" t="s">
        <v>8</v>
      </c>
      <c r="X11" s="339" t="s">
        <v>9</v>
      </c>
      <c r="Y11" s="340" t="s">
        <v>8</v>
      </c>
      <c r="Z11" s="343" t="s">
        <v>9</v>
      </c>
      <c r="AA11" s="386"/>
      <c r="AB11" s="386"/>
      <c r="AC11" s="390"/>
    </row>
    <row r="12" spans="1:36" ht="54.95" customHeight="1">
      <c r="A12" s="391">
        <v>6</v>
      </c>
      <c r="B12" s="392" t="s">
        <v>25</v>
      </c>
      <c r="C12" s="173"/>
      <c r="D12" s="174"/>
      <c r="E12" s="175"/>
      <c r="F12" s="176"/>
      <c r="G12" s="177"/>
      <c r="H12" s="174"/>
      <c r="I12" s="175"/>
      <c r="J12" s="176"/>
      <c r="K12" s="177"/>
      <c r="L12" s="174"/>
      <c r="M12" s="175"/>
      <c r="N12" s="176"/>
      <c r="O12" s="177"/>
      <c r="P12" s="174"/>
      <c r="Q12" s="175"/>
      <c r="R12" s="178"/>
      <c r="S12" s="177"/>
      <c r="T12" s="174"/>
      <c r="U12" s="175"/>
      <c r="V12" s="176"/>
      <c r="W12" s="177"/>
      <c r="X12" s="174"/>
      <c r="Y12" s="175"/>
      <c r="Z12" s="178"/>
      <c r="AA12" s="386"/>
      <c r="AB12" s="386"/>
      <c r="AC12" s="393"/>
      <c r="AD12" s="393"/>
      <c r="AE12" s="393"/>
      <c r="AF12" s="393"/>
      <c r="AG12" s="393"/>
      <c r="AH12" s="393"/>
      <c r="AI12" s="393"/>
      <c r="AJ12" s="393"/>
    </row>
    <row r="13" spans="1:36" ht="54.95" customHeight="1">
      <c r="A13" s="391"/>
      <c r="B13" s="392" t="s">
        <v>26</v>
      </c>
      <c r="C13" s="173"/>
      <c r="D13" s="174"/>
      <c r="E13" s="175"/>
      <c r="F13" s="176"/>
      <c r="G13" s="177"/>
      <c r="H13" s="174"/>
      <c r="I13" s="175"/>
      <c r="J13" s="176"/>
      <c r="K13" s="177"/>
      <c r="L13" s="174"/>
      <c r="M13" s="175"/>
      <c r="N13" s="176"/>
      <c r="O13" s="177"/>
      <c r="P13" s="174"/>
      <c r="Q13" s="175"/>
      <c r="R13" s="178"/>
      <c r="S13" s="177"/>
      <c r="T13" s="174"/>
      <c r="U13" s="175"/>
      <c r="V13" s="176"/>
      <c r="W13" s="177"/>
      <c r="X13" s="174"/>
      <c r="Y13" s="175"/>
      <c r="Z13" s="178"/>
      <c r="AA13" s="386"/>
      <c r="AB13" s="386"/>
      <c r="AC13" s="393"/>
      <c r="AD13" s="393"/>
      <c r="AE13" s="393"/>
      <c r="AF13" s="393"/>
      <c r="AG13" s="393"/>
      <c r="AH13" s="393"/>
      <c r="AI13" s="393"/>
      <c r="AJ13" s="393"/>
    </row>
    <row r="14" spans="1:36" ht="54.95" customHeight="1">
      <c r="A14" s="391">
        <v>7</v>
      </c>
      <c r="B14" s="392" t="s">
        <v>23</v>
      </c>
      <c r="C14" s="173"/>
      <c r="D14" s="174"/>
      <c r="E14" s="175"/>
      <c r="F14" s="176"/>
      <c r="G14" s="177"/>
      <c r="H14" s="174"/>
      <c r="I14" s="175"/>
      <c r="J14" s="176"/>
      <c r="K14" s="177"/>
      <c r="L14" s="174"/>
      <c r="M14" s="175"/>
      <c r="N14" s="176"/>
      <c r="O14" s="177"/>
      <c r="P14" s="174"/>
      <c r="Q14" s="175"/>
      <c r="R14" s="178"/>
      <c r="S14" s="177"/>
      <c r="T14" s="174"/>
      <c r="U14" s="175"/>
      <c r="V14" s="176"/>
      <c r="W14" s="177"/>
      <c r="X14" s="174"/>
      <c r="Y14" s="175"/>
      <c r="Z14" s="178"/>
      <c r="AA14" s="386"/>
      <c r="AB14" s="386"/>
      <c r="AC14" s="393"/>
      <c r="AD14" s="393"/>
      <c r="AE14" s="393"/>
      <c r="AF14" s="393"/>
      <c r="AG14" s="393"/>
      <c r="AH14" s="393"/>
      <c r="AI14" s="393"/>
      <c r="AJ14" s="393"/>
    </row>
    <row r="15" spans="1:36" ht="54.95" customHeight="1">
      <c r="A15" s="391"/>
      <c r="B15" s="392" t="s">
        <v>24</v>
      </c>
      <c r="C15" s="173"/>
      <c r="D15" s="174"/>
      <c r="E15" s="175"/>
      <c r="F15" s="176"/>
      <c r="G15" s="177"/>
      <c r="H15" s="174"/>
      <c r="I15" s="175"/>
      <c r="J15" s="176"/>
      <c r="K15" s="177"/>
      <c r="L15" s="174"/>
      <c r="M15" s="175"/>
      <c r="N15" s="176"/>
      <c r="O15" s="177"/>
      <c r="P15" s="174"/>
      <c r="Q15" s="175"/>
      <c r="R15" s="178"/>
      <c r="S15" s="177"/>
      <c r="T15" s="174"/>
      <c r="U15" s="175"/>
      <c r="V15" s="176"/>
      <c r="W15" s="177"/>
      <c r="X15" s="174"/>
      <c r="Y15" s="175"/>
      <c r="Z15" s="178"/>
      <c r="AA15" s="386"/>
      <c r="AB15" s="386"/>
      <c r="AC15" s="393"/>
      <c r="AD15" s="393"/>
      <c r="AE15" s="393"/>
      <c r="AF15" s="393"/>
      <c r="AG15" s="393"/>
      <c r="AH15" s="393"/>
      <c r="AI15" s="393"/>
      <c r="AJ15" s="393"/>
    </row>
    <row r="16" spans="1:36" ht="54.95" hidden="1" customHeight="1">
      <c r="A16" s="391"/>
      <c r="B16" s="392" t="s">
        <v>25</v>
      </c>
      <c r="C16" s="173"/>
      <c r="D16" s="174"/>
      <c r="E16" s="175"/>
      <c r="F16" s="176"/>
      <c r="G16" s="177"/>
      <c r="H16" s="174"/>
      <c r="I16" s="175"/>
      <c r="J16" s="176"/>
      <c r="K16" s="177"/>
      <c r="L16" s="174"/>
      <c r="M16" s="175"/>
      <c r="N16" s="176"/>
      <c r="O16" s="177"/>
      <c r="P16" s="174"/>
      <c r="Q16" s="175"/>
      <c r="R16" s="178"/>
      <c r="S16" s="177"/>
      <c r="T16" s="174"/>
      <c r="U16" s="175"/>
      <c r="V16" s="176"/>
      <c r="W16" s="177"/>
      <c r="X16" s="174"/>
      <c r="Y16" s="175"/>
      <c r="Z16" s="178"/>
      <c r="AA16" s="386"/>
      <c r="AB16" s="386"/>
      <c r="AC16" s="393"/>
      <c r="AD16" s="393"/>
      <c r="AE16" s="393"/>
      <c r="AF16" s="393"/>
      <c r="AG16" s="393"/>
      <c r="AH16" s="393"/>
      <c r="AI16" s="393"/>
      <c r="AJ16" s="393"/>
    </row>
    <row r="17" spans="1:38" ht="54.95" customHeight="1">
      <c r="A17" s="391"/>
      <c r="B17" s="392" t="s">
        <v>26</v>
      </c>
      <c r="C17" s="173"/>
      <c r="D17" s="174"/>
      <c r="E17" s="175"/>
      <c r="F17" s="176"/>
      <c r="G17" s="177"/>
      <c r="H17" s="174"/>
      <c r="I17" s="175"/>
      <c r="J17" s="176"/>
      <c r="K17" s="177"/>
      <c r="L17" s="174"/>
      <c r="M17" s="175"/>
      <c r="N17" s="176"/>
      <c r="O17" s="177"/>
      <c r="P17" s="174"/>
      <c r="Q17" s="175"/>
      <c r="R17" s="178"/>
      <c r="S17" s="177"/>
      <c r="T17" s="174"/>
      <c r="U17" s="175"/>
      <c r="V17" s="176"/>
      <c r="W17" s="177"/>
      <c r="X17" s="174"/>
      <c r="Y17" s="175"/>
      <c r="Z17" s="178"/>
      <c r="AA17" s="386"/>
      <c r="AB17" s="386"/>
      <c r="AC17" s="393"/>
      <c r="AD17" s="393"/>
      <c r="AE17" s="393"/>
      <c r="AF17" s="393"/>
      <c r="AG17" s="393"/>
      <c r="AH17" s="393"/>
      <c r="AI17" s="393"/>
      <c r="AJ17" s="393"/>
    </row>
    <row r="18" spans="1:38" ht="54.95" customHeight="1">
      <c r="A18" s="391">
        <v>8</v>
      </c>
      <c r="B18" s="392" t="s">
        <v>23</v>
      </c>
      <c r="C18" s="173"/>
      <c r="D18" s="174"/>
      <c r="E18" s="175"/>
      <c r="F18" s="176"/>
      <c r="G18" s="177"/>
      <c r="H18" s="174"/>
      <c r="I18" s="175"/>
      <c r="J18" s="176"/>
      <c r="K18" s="177"/>
      <c r="L18" s="174"/>
      <c r="M18" s="175"/>
      <c r="N18" s="176"/>
      <c r="O18" s="177"/>
      <c r="P18" s="174"/>
      <c r="Q18" s="175"/>
      <c r="R18" s="178"/>
      <c r="S18" s="177"/>
      <c r="T18" s="174"/>
      <c r="U18" s="175"/>
      <c r="V18" s="176"/>
      <c r="W18" s="177"/>
      <c r="X18" s="174"/>
      <c r="Y18" s="175"/>
      <c r="Z18" s="178"/>
      <c r="AA18" s="386"/>
      <c r="AB18" s="386"/>
      <c r="AC18" s="393"/>
      <c r="AD18" s="393"/>
      <c r="AE18" s="393"/>
      <c r="AF18" s="393"/>
      <c r="AG18" s="393"/>
      <c r="AH18" s="393"/>
      <c r="AI18" s="393"/>
      <c r="AJ18" s="393"/>
    </row>
    <row r="19" spans="1:38" ht="54.95" customHeight="1">
      <c r="A19" s="391"/>
      <c r="B19" s="392" t="s">
        <v>24</v>
      </c>
      <c r="C19" s="173"/>
      <c r="D19" s="174"/>
      <c r="E19" s="175"/>
      <c r="F19" s="176"/>
      <c r="G19" s="177"/>
      <c r="H19" s="174"/>
      <c r="I19" s="175"/>
      <c r="J19" s="176"/>
      <c r="K19" s="177"/>
      <c r="L19" s="174"/>
      <c r="M19" s="175"/>
      <c r="N19" s="176"/>
      <c r="O19" s="177"/>
      <c r="P19" s="174"/>
      <c r="Q19" s="175"/>
      <c r="R19" s="178"/>
      <c r="S19" s="177"/>
      <c r="T19" s="174"/>
      <c r="U19" s="175"/>
      <c r="V19" s="176"/>
      <c r="W19" s="177"/>
      <c r="X19" s="174"/>
      <c r="Y19" s="175"/>
      <c r="Z19" s="178"/>
      <c r="AA19" s="386"/>
      <c r="AB19" s="386"/>
      <c r="AC19" s="393"/>
      <c r="AD19" s="393"/>
      <c r="AE19" s="393"/>
      <c r="AF19" s="393"/>
      <c r="AG19" s="393"/>
      <c r="AH19" s="393"/>
      <c r="AI19" s="393"/>
      <c r="AJ19" s="393"/>
    </row>
    <row r="20" spans="1:38" ht="54.95" customHeight="1">
      <c r="A20" s="391"/>
      <c r="B20" s="392" t="s">
        <v>25</v>
      </c>
      <c r="C20" s="173"/>
      <c r="D20" s="174"/>
      <c r="E20" s="175"/>
      <c r="F20" s="176"/>
      <c r="G20" s="177"/>
      <c r="H20" s="174"/>
      <c r="I20" s="175"/>
      <c r="J20" s="176"/>
      <c r="K20" s="177"/>
      <c r="L20" s="174"/>
      <c r="M20" s="175"/>
      <c r="N20" s="176"/>
      <c r="O20" s="177"/>
      <c r="P20" s="174"/>
      <c r="Q20" s="175"/>
      <c r="R20" s="178"/>
      <c r="S20" s="177"/>
      <c r="T20" s="174"/>
      <c r="U20" s="175"/>
      <c r="V20" s="176"/>
      <c r="W20" s="177"/>
      <c r="X20" s="174"/>
      <c r="Y20" s="175"/>
      <c r="Z20" s="178"/>
      <c r="AA20" s="386"/>
      <c r="AB20" s="386"/>
      <c r="AC20" s="393"/>
      <c r="AD20" s="393"/>
      <c r="AE20" s="393"/>
      <c r="AF20" s="393"/>
      <c r="AG20" s="393"/>
      <c r="AH20" s="393"/>
      <c r="AI20" s="393"/>
      <c r="AJ20" s="393"/>
    </row>
    <row r="21" spans="1:38" ht="54.95" customHeight="1">
      <c r="A21" s="391"/>
      <c r="B21" s="392" t="s">
        <v>26</v>
      </c>
      <c r="C21" s="173"/>
      <c r="D21" s="174"/>
      <c r="E21" s="175"/>
      <c r="F21" s="176"/>
      <c r="G21" s="177"/>
      <c r="H21" s="174"/>
      <c r="I21" s="175"/>
      <c r="J21" s="176"/>
      <c r="K21" s="177"/>
      <c r="L21" s="174"/>
      <c r="M21" s="175"/>
      <c r="N21" s="176"/>
      <c r="O21" s="177"/>
      <c r="P21" s="174"/>
      <c r="Q21" s="175"/>
      <c r="R21" s="178"/>
      <c r="S21" s="177"/>
      <c r="T21" s="174"/>
      <c r="U21" s="175"/>
      <c r="V21" s="176"/>
      <c r="W21" s="177"/>
      <c r="X21" s="174"/>
      <c r="Y21" s="175"/>
      <c r="Z21" s="178"/>
      <c r="AA21" s="386"/>
      <c r="AB21" s="386"/>
      <c r="AC21" s="393"/>
      <c r="AD21" s="393"/>
      <c r="AE21" s="393"/>
      <c r="AF21" s="393"/>
      <c r="AG21" s="393"/>
      <c r="AH21" s="393"/>
      <c r="AI21" s="393"/>
      <c r="AJ21" s="393"/>
    </row>
    <row r="22" spans="1:38" ht="54.95" customHeight="1">
      <c r="A22" s="391">
        <v>9</v>
      </c>
      <c r="B22" s="392" t="s">
        <v>23</v>
      </c>
      <c r="C22" s="173"/>
      <c r="D22" s="174"/>
      <c r="E22" s="175"/>
      <c r="F22" s="176"/>
      <c r="G22" s="177"/>
      <c r="H22" s="174"/>
      <c r="I22" s="175"/>
      <c r="J22" s="176"/>
      <c r="K22" s="177"/>
      <c r="L22" s="174"/>
      <c r="M22" s="175"/>
      <c r="N22" s="176"/>
      <c r="O22" s="177"/>
      <c r="P22" s="174"/>
      <c r="Q22" s="175"/>
      <c r="R22" s="178"/>
      <c r="S22" s="177"/>
      <c r="T22" s="174"/>
      <c r="U22" s="175"/>
      <c r="V22" s="176"/>
      <c r="W22" s="177"/>
      <c r="X22" s="174"/>
      <c r="Y22" s="175"/>
      <c r="Z22" s="178"/>
      <c r="AA22" s="386"/>
      <c r="AB22" s="386"/>
      <c r="AC22" s="393"/>
      <c r="AD22" s="393"/>
      <c r="AE22" s="393"/>
      <c r="AF22" s="393"/>
      <c r="AG22" s="393"/>
      <c r="AH22" s="393"/>
      <c r="AI22" s="393"/>
      <c r="AJ22" s="393"/>
    </row>
    <row r="23" spans="1:38" ht="54.95" customHeight="1" thickBot="1">
      <c r="A23" s="394"/>
      <c r="B23" s="395" t="s">
        <v>24</v>
      </c>
      <c r="C23" s="180"/>
      <c r="D23" s="181"/>
      <c r="E23" s="182"/>
      <c r="F23" s="183"/>
      <c r="G23" s="184"/>
      <c r="H23" s="181"/>
      <c r="I23" s="182"/>
      <c r="J23" s="183"/>
      <c r="K23" s="184"/>
      <c r="L23" s="181"/>
      <c r="M23" s="182"/>
      <c r="N23" s="183"/>
      <c r="O23" s="184"/>
      <c r="P23" s="181"/>
      <c r="Q23" s="182"/>
      <c r="R23" s="185"/>
      <c r="S23" s="184"/>
      <c r="T23" s="181"/>
      <c r="U23" s="182"/>
      <c r="V23" s="183"/>
      <c r="W23" s="184"/>
      <c r="X23" s="181"/>
      <c r="Y23" s="182"/>
      <c r="Z23" s="185"/>
      <c r="AA23" s="386"/>
      <c r="AB23" s="386"/>
      <c r="AC23" s="396"/>
      <c r="AD23" s="396"/>
      <c r="AE23" s="396"/>
      <c r="AF23" s="396"/>
      <c r="AG23" s="396"/>
      <c r="AH23" s="396"/>
      <c r="AI23" s="396"/>
      <c r="AJ23" s="396"/>
      <c r="AK23" s="397"/>
      <c r="AL23" s="397"/>
    </row>
    <row r="24" spans="1:38" ht="54.95" customHeight="1" thickTop="1" thickBot="1">
      <c r="A24" s="398"/>
      <c r="B24" s="398"/>
      <c r="C24" s="386"/>
      <c r="D24" s="386"/>
      <c r="E24" s="386"/>
      <c r="F24" s="386"/>
      <c r="G24" s="386"/>
      <c r="H24" s="386"/>
      <c r="I24" s="386"/>
      <c r="J24" s="386"/>
      <c r="K24" s="386"/>
      <c r="L24" s="386"/>
      <c r="M24" s="386"/>
      <c r="N24" s="386"/>
      <c r="O24" s="386"/>
      <c r="P24" s="386"/>
      <c r="Q24" s="386"/>
      <c r="R24" s="386"/>
      <c r="S24" s="386"/>
      <c r="T24" s="386"/>
      <c r="U24" s="386"/>
      <c r="V24" s="386"/>
      <c r="W24" s="386"/>
      <c r="X24" s="386"/>
      <c r="Y24" s="386"/>
      <c r="Z24" s="386"/>
      <c r="AA24" s="386"/>
      <c r="AB24" s="386"/>
      <c r="AC24" s="396"/>
      <c r="AD24" s="396"/>
      <c r="AE24" s="396"/>
      <c r="AF24" s="396"/>
      <c r="AG24" s="396"/>
      <c r="AH24" s="396"/>
      <c r="AI24" s="396"/>
      <c r="AJ24" s="396"/>
      <c r="AK24" s="397"/>
      <c r="AL24" s="397"/>
    </row>
    <row r="25" spans="1:38" ht="52.5" customHeight="1" thickBot="1">
      <c r="A25" s="326" t="s">
        <v>0</v>
      </c>
      <c r="B25" s="327" t="str">
        <f>B1</f>
        <v>AMANCY_Giratoire de la Coriandre</v>
      </c>
      <c r="C25" s="328"/>
      <c r="D25" s="328"/>
      <c r="E25" s="328"/>
      <c r="F25" s="329"/>
      <c r="G25" s="329"/>
      <c r="H25" s="328"/>
      <c r="I25" s="328"/>
      <c r="J25" s="329"/>
      <c r="K25" s="329"/>
      <c r="L25" s="330"/>
      <c r="M25" s="331" t="s">
        <v>30</v>
      </c>
      <c r="N25" s="332" t="str">
        <f>N1</f>
        <v>mardi 31 mai 2022</v>
      </c>
      <c r="O25" s="328"/>
      <c r="P25" s="328"/>
      <c r="Q25" s="328"/>
      <c r="R25" s="328"/>
      <c r="S25" s="328"/>
      <c r="T25" s="328"/>
      <c r="U25" s="328"/>
      <c r="V25" s="333"/>
      <c r="W25" s="334"/>
      <c r="X25" s="334"/>
      <c r="Y25" s="334"/>
      <c r="Z25" s="335"/>
      <c r="AA25" s="399" t="s">
        <v>0</v>
      </c>
      <c r="AB25" s="327" t="str">
        <f>B25</f>
        <v>AMANCY_Giratoire de la Coriandre</v>
      </c>
      <c r="AC25" s="328"/>
      <c r="AD25" s="328"/>
      <c r="AE25" s="328"/>
      <c r="AF25" s="330"/>
      <c r="AG25" s="400" t="s">
        <v>1</v>
      </c>
      <c r="AH25" s="327" t="str">
        <f>N25</f>
        <v>mardi 31 mai 2022</v>
      </c>
      <c r="AI25" s="328"/>
      <c r="AJ25" s="328"/>
      <c r="AK25" s="333"/>
      <c r="AL25" s="401"/>
    </row>
    <row r="26" spans="1:38" ht="52.5" customHeight="1" thickBot="1">
      <c r="A26" s="318" t="s">
        <v>2</v>
      </c>
      <c r="B26" s="319"/>
      <c r="C26" s="319"/>
      <c r="D26" s="319"/>
      <c r="E26" s="319"/>
      <c r="F26" s="319"/>
      <c r="G26" s="327">
        <f>G2</f>
        <v>0</v>
      </c>
      <c r="H26" s="328"/>
      <c r="I26" s="328"/>
      <c r="J26" s="328"/>
      <c r="K26" s="328"/>
      <c r="L26" s="328"/>
      <c r="M26" s="328"/>
      <c r="N26" s="328"/>
      <c r="O26" s="328"/>
      <c r="P26" s="328"/>
      <c r="Q26" s="328"/>
      <c r="R26" s="328"/>
      <c r="S26" s="328"/>
      <c r="T26" s="328"/>
      <c r="U26" s="328"/>
      <c r="V26" s="333"/>
      <c r="W26" s="319"/>
      <c r="X26" s="319"/>
      <c r="Y26" s="319"/>
      <c r="Z26" s="319"/>
      <c r="AA26" s="318" t="s">
        <v>2</v>
      </c>
      <c r="AB26" s="319"/>
      <c r="AC26" s="319"/>
      <c r="AD26" s="319"/>
      <c r="AE26" s="327">
        <f>G26</f>
        <v>0</v>
      </c>
      <c r="AF26" s="328"/>
      <c r="AG26" s="328"/>
      <c r="AH26" s="328"/>
      <c r="AI26" s="328"/>
      <c r="AJ26" s="328"/>
      <c r="AK26" s="333"/>
      <c r="AL26" s="402"/>
    </row>
    <row r="27" spans="1:38" ht="52.5" customHeight="1" thickBot="1">
      <c r="A27" s="318" t="s">
        <v>3</v>
      </c>
      <c r="B27" s="319"/>
      <c r="C27" s="327">
        <f>C3</f>
        <v>0</v>
      </c>
      <c r="D27" s="328"/>
      <c r="E27" s="328"/>
      <c r="F27" s="328"/>
      <c r="G27" s="328"/>
      <c r="H27" s="328"/>
      <c r="I27" s="328"/>
      <c r="J27" s="328"/>
      <c r="K27" s="328"/>
      <c r="L27" s="328"/>
      <c r="M27" s="328"/>
      <c r="N27" s="328"/>
      <c r="O27" s="328"/>
      <c r="P27" s="328"/>
      <c r="Q27" s="328"/>
      <c r="R27" s="328"/>
      <c r="S27" s="328"/>
      <c r="T27" s="328"/>
      <c r="U27" s="328"/>
      <c r="V27" s="333"/>
      <c r="W27" s="319"/>
      <c r="X27" s="319"/>
      <c r="Y27" s="319"/>
      <c r="Z27" s="336"/>
      <c r="AA27" s="318" t="s">
        <v>3</v>
      </c>
      <c r="AB27" s="319"/>
      <c r="AC27" s="327">
        <f>C27</f>
        <v>0</v>
      </c>
      <c r="AD27" s="328"/>
      <c r="AE27" s="328"/>
      <c r="AF27" s="328"/>
      <c r="AG27" s="328"/>
      <c r="AH27" s="328"/>
      <c r="AI27" s="328"/>
      <c r="AJ27" s="328"/>
      <c r="AK27" s="333"/>
      <c r="AL27" s="403"/>
    </row>
    <row r="28" spans="1:38" ht="52.5" customHeight="1" thickBot="1">
      <c r="A28" s="318" t="s">
        <v>27</v>
      </c>
      <c r="B28" s="319"/>
      <c r="C28" s="327">
        <f>C4</f>
        <v>0</v>
      </c>
      <c r="D28" s="328"/>
      <c r="E28" s="328"/>
      <c r="F28" s="328"/>
      <c r="G28" s="328"/>
      <c r="H28" s="328"/>
      <c r="I28" s="328"/>
      <c r="J28" s="328"/>
      <c r="K28" s="328"/>
      <c r="L28" s="328"/>
      <c r="M28" s="328"/>
      <c r="N28" s="328"/>
      <c r="O28" s="328"/>
      <c r="P28" s="328"/>
      <c r="Q28" s="328"/>
      <c r="R28" s="328"/>
      <c r="S28" s="328"/>
      <c r="T28" s="328"/>
      <c r="U28" s="328"/>
      <c r="V28" s="333"/>
      <c r="W28" s="319"/>
      <c r="X28" s="319"/>
      <c r="Y28" s="319"/>
      <c r="Z28" s="336"/>
      <c r="AA28" s="318" t="s">
        <v>27</v>
      </c>
      <c r="AB28" s="319"/>
      <c r="AC28" s="327">
        <f>C28</f>
        <v>0</v>
      </c>
      <c r="AD28" s="328"/>
      <c r="AE28" s="328"/>
      <c r="AF28" s="328"/>
      <c r="AG28" s="328"/>
      <c r="AH28" s="328"/>
      <c r="AI28" s="328"/>
      <c r="AJ28" s="328"/>
      <c r="AK28" s="333"/>
      <c r="AL28" s="403"/>
    </row>
    <row r="29" spans="1:38" ht="25.5" customHeight="1">
      <c r="A29" s="337"/>
      <c r="B29" s="319"/>
      <c r="C29" s="319"/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36"/>
      <c r="S29" s="319"/>
      <c r="T29" s="319"/>
      <c r="U29" s="319"/>
      <c r="V29" s="319"/>
      <c r="W29" s="319"/>
      <c r="X29" s="319"/>
      <c r="Y29" s="319"/>
      <c r="Z29" s="336"/>
      <c r="AA29" s="337"/>
      <c r="AB29" s="319"/>
      <c r="AC29" s="319"/>
      <c r="AD29" s="319"/>
      <c r="AE29" s="319"/>
      <c r="AF29" s="319"/>
      <c r="AG29" s="319"/>
      <c r="AH29" s="319"/>
      <c r="AI29" s="319"/>
      <c r="AJ29" s="319"/>
      <c r="AK29" s="319"/>
      <c r="AL29" s="402"/>
    </row>
    <row r="30" spans="1:38" ht="25.5" customHeight="1">
      <c r="A30" s="337"/>
      <c r="B30" s="319"/>
      <c r="C30" s="319"/>
      <c r="D30" s="319"/>
      <c r="E30" s="319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36"/>
      <c r="S30" s="319"/>
      <c r="T30" s="319"/>
      <c r="U30" s="319"/>
      <c r="V30" s="319"/>
      <c r="W30" s="319"/>
      <c r="X30" s="319"/>
      <c r="Y30" s="319"/>
      <c r="Z30" s="336"/>
      <c r="AA30" s="337"/>
      <c r="AB30" s="319"/>
      <c r="AC30" s="319"/>
      <c r="AD30" s="319"/>
      <c r="AE30" s="319"/>
      <c r="AF30" s="319"/>
      <c r="AG30" s="319"/>
      <c r="AH30" s="319"/>
      <c r="AI30" s="319"/>
      <c r="AJ30" s="319"/>
      <c r="AK30" s="336"/>
      <c r="AL30" s="404"/>
    </row>
    <row r="31" spans="1:38" ht="25.5" customHeight="1" thickBot="1">
      <c r="A31" s="337"/>
      <c r="B31" s="319"/>
      <c r="C31" s="319"/>
      <c r="D31" s="319"/>
      <c r="E31" s="319"/>
      <c r="F31" s="319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36"/>
      <c r="S31" s="319"/>
      <c r="T31" s="319"/>
      <c r="U31" s="319"/>
      <c r="V31" s="319"/>
      <c r="W31" s="319"/>
      <c r="X31" s="319"/>
      <c r="Y31" s="319"/>
      <c r="Z31" s="336"/>
      <c r="AA31" s="336"/>
      <c r="AB31" s="336"/>
      <c r="AC31" s="336"/>
      <c r="AD31" s="336"/>
      <c r="AE31" s="336"/>
      <c r="AF31" s="336"/>
      <c r="AG31" s="336"/>
      <c r="AH31" s="336"/>
      <c r="AI31" s="336"/>
      <c r="AJ31" s="336"/>
      <c r="AK31" s="336"/>
      <c r="AL31" s="404"/>
    </row>
    <row r="32" spans="1:38" ht="32.25" customHeight="1" thickTop="1">
      <c r="A32" s="318"/>
      <c r="B32" s="319"/>
      <c r="C32" s="1098"/>
      <c r="D32" s="1099"/>
      <c r="E32" s="1099"/>
      <c r="F32" s="1099"/>
      <c r="G32" s="1099"/>
      <c r="H32" s="1099"/>
      <c r="I32" s="1099"/>
      <c r="J32" s="1099"/>
      <c r="K32" s="1099"/>
      <c r="L32" s="1099"/>
      <c r="M32" s="1099"/>
      <c r="N32" s="1099"/>
      <c r="O32" s="1099"/>
      <c r="P32" s="1099"/>
      <c r="Q32" s="1099"/>
      <c r="R32" s="1099"/>
      <c r="S32" s="1099"/>
      <c r="T32" s="1099"/>
      <c r="U32" s="1099"/>
      <c r="V32" s="1099"/>
      <c r="W32" s="1099"/>
      <c r="X32" s="1099"/>
      <c r="Y32" s="1099"/>
      <c r="Z32" s="1100"/>
      <c r="AA32" s="318"/>
      <c r="AB32" s="319"/>
      <c r="AC32" s="1047" t="s">
        <v>12</v>
      </c>
      <c r="AD32" s="829" t="s">
        <v>14</v>
      </c>
      <c r="AE32" s="829" t="s">
        <v>15</v>
      </c>
      <c r="AF32" s="829" t="s">
        <v>18</v>
      </c>
      <c r="AG32" s="829"/>
      <c r="AH32" s="829"/>
      <c r="AI32" s="829"/>
      <c r="AJ32" s="832"/>
      <c r="AK32" s="833"/>
      <c r="AL32" s="834"/>
    </row>
    <row r="33" spans="1:39" ht="22.7" customHeight="1">
      <c r="A33" s="318"/>
      <c r="B33" s="319"/>
      <c r="C33" s="823" t="str">
        <f>C9</f>
        <v>D'Intermarché</v>
      </c>
      <c r="D33" s="824"/>
      <c r="E33" s="824"/>
      <c r="F33" s="824"/>
      <c r="G33" s="823" t="str">
        <f t="shared" ref="G33" si="0">G9</f>
        <v>de ZA</v>
      </c>
      <c r="H33" s="824"/>
      <c r="I33" s="824"/>
      <c r="J33" s="824"/>
      <c r="K33" s="823" t="str">
        <f t="shared" ref="K33" si="1">K9</f>
        <v>de Bigaille</v>
      </c>
      <c r="L33" s="824"/>
      <c r="M33" s="824"/>
      <c r="N33" s="824"/>
      <c r="O33" s="823" t="str">
        <f t="shared" ref="O33" si="2">O9</f>
        <v>d'Annecy</v>
      </c>
      <c r="P33" s="824"/>
      <c r="Q33" s="824"/>
      <c r="R33" s="824"/>
      <c r="S33" s="823" t="str">
        <f t="shared" ref="S33" si="3">S9</f>
        <v>de Véto</v>
      </c>
      <c r="T33" s="824"/>
      <c r="U33" s="824"/>
      <c r="V33" s="824"/>
      <c r="W33" s="823" t="str">
        <f t="shared" ref="W33" si="4">W9</f>
        <v>de Collège</v>
      </c>
      <c r="X33" s="824"/>
      <c r="Y33" s="824"/>
      <c r="Z33" s="825"/>
      <c r="AA33" s="318"/>
      <c r="AB33" s="319"/>
      <c r="AC33" s="1048"/>
      <c r="AD33" s="830"/>
      <c r="AE33" s="830"/>
      <c r="AF33" s="830"/>
      <c r="AG33" s="830"/>
      <c r="AH33" s="830"/>
      <c r="AI33" s="830"/>
      <c r="AJ33" s="835"/>
      <c r="AK33" s="836"/>
      <c r="AL33" s="837"/>
    </row>
    <row r="34" spans="1:39" ht="18.600000000000001" customHeight="1" thickBot="1">
      <c r="A34" s="320"/>
      <c r="B34" s="319"/>
      <c r="C34" s="1014" t="s">
        <v>4</v>
      </c>
      <c r="D34" s="1003"/>
      <c r="E34" s="820" t="s">
        <v>5</v>
      </c>
      <c r="F34" s="822"/>
      <c r="G34" s="1002" t="s">
        <v>4</v>
      </c>
      <c r="H34" s="1003"/>
      <c r="I34" s="820" t="s">
        <v>5</v>
      </c>
      <c r="J34" s="822"/>
      <c r="K34" s="1002" t="s">
        <v>4</v>
      </c>
      <c r="L34" s="1003"/>
      <c r="M34" s="820" t="s">
        <v>5</v>
      </c>
      <c r="N34" s="822"/>
      <c r="O34" s="1002" t="s">
        <v>4</v>
      </c>
      <c r="P34" s="1003"/>
      <c r="Q34" s="820" t="s">
        <v>5</v>
      </c>
      <c r="R34" s="821"/>
      <c r="S34" s="1002" t="s">
        <v>4</v>
      </c>
      <c r="T34" s="1003"/>
      <c r="U34" s="820" t="s">
        <v>5</v>
      </c>
      <c r="V34" s="822"/>
      <c r="W34" s="1002" t="s">
        <v>4</v>
      </c>
      <c r="X34" s="1003"/>
      <c r="Y34" s="1038" t="s">
        <v>5</v>
      </c>
      <c r="Z34" s="1039"/>
      <c r="AA34" s="320"/>
      <c r="AB34" s="319"/>
      <c r="AC34" s="1048"/>
      <c r="AD34" s="830"/>
      <c r="AE34" s="830"/>
      <c r="AF34" s="830"/>
      <c r="AG34" s="830"/>
      <c r="AH34" s="830"/>
      <c r="AI34" s="830"/>
      <c r="AJ34" s="835"/>
      <c r="AK34" s="836"/>
      <c r="AL34" s="837"/>
    </row>
    <row r="35" spans="1:39" ht="21" thickTop="1">
      <c r="A35" s="1040" t="s">
        <v>13</v>
      </c>
      <c r="B35" s="1041"/>
      <c r="C35" s="338" t="s">
        <v>8</v>
      </c>
      <c r="D35" s="339" t="s">
        <v>9</v>
      </c>
      <c r="E35" s="340" t="s">
        <v>8</v>
      </c>
      <c r="F35" s="341" t="s">
        <v>9</v>
      </c>
      <c r="G35" s="342" t="s">
        <v>8</v>
      </c>
      <c r="H35" s="339" t="s">
        <v>9</v>
      </c>
      <c r="I35" s="340" t="s">
        <v>8</v>
      </c>
      <c r="J35" s="341" t="s">
        <v>9</v>
      </c>
      <c r="K35" s="342" t="s">
        <v>8</v>
      </c>
      <c r="L35" s="339" t="s">
        <v>9</v>
      </c>
      <c r="M35" s="340" t="s">
        <v>8</v>
      </c>
      <c r="N35" s="341" t="s">
        <v>9</v>
      </c>
      <c r="O35" s="342" t="s">
        <v>8</v>
      </c>
      <c r="P35" s="339" t="s">
        <v>9</v>
      </c>
      <c r="Q35" s="340" t="s">
        <v>8</v>
      </c>
      <c r="R35" s="343" t="s">
        <v>9</v>
      </c>
      <c r="S35" s="342" t="s">
        <v>8</v>
      </c>
      <c r="T35" s="339" t="s">
        <v>9</v>
      </c>
      <c r="U35" s="340" t="s">
        <v>8</v>
      </c>
      <c r="V35" s="341" t="s">
        <v>9</v>
      </c>
      <c r="W35" s="342" t="s">
        <v>8</v>
      </c>
      <c r="X35" s="339" t="s">
        <v>9</v>
      </c>
      <c r="Y35" s="340" t="s">
        <v>8</v>
      </c>
      <c r="Z35" s="343" t="s">
        <v>9</v>
      </c>
      <c r="AA35" s="1042" t="s">
        <v>13</v>
      </c>
      <c r="AB35" s="1043"/>
      <c r="AC35" s="1048"/>
      <c r="AD35" s="831"/>
      <c r="AE35" s="831"/>
      <c r="AF35" s="831"/>
      <c r="AG35" s="831"/>
      <c r="AH35" s="831"/>
      <c r="AI35" s="831"/>
      <c r="AJ35" s="838"/>
      <c r="AK35" s="839"/>
      <c r="AL35" s="840"/>
    </row>
    <row r="36" spans="1:39" ht="54.95" customHeight="1">
      <c r="A36" s="1034" t="s">
        <v>28</v>
      </c>
      <c r="B36" s="1035"/>
      <c r="C36" s="344">
        <f>SUM(C12:C15)</f>
        <v>0</v>
      </c>
      <c r="D36" s="345">
        <f t="shared" ref="D36:Z36" si="5">SUM(D12:D15)</f>
        <v>0</v>
      </c>
      <c r="E36" s="346">
        <f t="shared" si="5"/>
        <v>0</v>
      </c>
      <c r="F36" s="347">
        <f t="shared" si="5"/>
        <v>0</v>
      </c>
      <c r="G36" s="348">
        <f t="shared" si="5"/>
        <v>0</v>
      </c>
      <c r="H36" s="345">
        <f t="shared" si="5"/>
        <v>0</v>
      </c>
      <c r="I36" s="346">
        <f t="shared" si="5"/>
        <v>0</v>
      </c>
      <c r="J36" s="347">
        <f t="shared" si="5"/>
        <v>0</v>
      </c>
      <c r="K36" s="348">
        <f t="shared" si="5"/>
        <v>0</v>
      </c>
      <c r="L36" s="345">
        <f t="shared" si="5"/>
        <v>0</v>
      </c>
      <c r="M36" s="346">
        <f t="shared" si="5"/>
        <v>0</v>
      </c>
      <c r="N36" s="347">
        <f t="shared" si="5"/>
        <v>0</v>
      </c>
      <c r="O36" s="348">
        <f t="shared" si="5"/>
        <v>0</v>
      </c>
      <c r="P36" s="345">
        <f t="shared" si="5"/>
        <v>0</v>
      </c>
      <c r="Q36" s="346">
        <f t="shared" si="5"/>
        <v>0</v>
      </c>
      <c r="R36" s="349">
        <f t="shared" si="5"/>
        <v>0</v>
      </c>
      <c r="S36" s="348">
        <f t="shared" si="5"/>
        <v>0</v>
      </c>
      <c r="T36" s="345">
        <f t="shared" si="5"/>
        <v>0</v>
      </c>
      <c r="U36" s="346">
        <f t="shared" si="5"/>
        <v>0</v>
      </c>
      <c r="V36" s="347">
        <f t="shared" si="5"/>
        <v>0</v>
      </c>
      <c r="W36" s="348">
        <f t="shared" si="5"/>
        <v>0</v>
      </c>
      <c r="X36" s="345">
        <f t="shared" si="5"/>
        <v>0</v>
      </c>
      <c r="Y36" s="346">
        <f t="shared" si="5"/>
        <v>0</v>
      </c>
      <c r="Z36" s="349">
        <f t="shared" si="5"/>
        <v>0</v>
      </c>
      <c r="AA36" s="1036" t="s">
        <v>28</v>
      </c>
      <c r="AB36" s="1037"/>
      <c r="AC36" s="321">
        <f>SUM(C36:Z36)</f>
        <v>0</v>
      </c>
      <c r="AD36" s="243">
        <f>IF(AC36=0,0,AD48/AC36)</f>
        <v>0</v>
      </c>
      <c r="AE36" s="243">
        <f>IF(AC36=0,0,AE48/AC36)</f>
        <v>0</v>
      </c>
      <c r="AF36" s="243">
        <f>IF(AE48=0,0,AF48/AE48)</f>
        <v>0</v>
      </c>
      <c r="AG36" s="405"/>
      <c r="AH36" s="406"/>
      <c r="AI36" s="406"/>
      <c r="AJ36" s="407"/>
      <c r="AK36" s="1090"/>
      <c r="AL36" s="1091"/>
    </row>
    <row r="37" spans="1:39" ht="54.95" customHeight="1">
      <c r="A37" s="1019" t="s">
        <v>11</v>
      </c>
      <c r="B37" s="1020"/>
      <c r="C37" s="350">
        <f>SUM(C14:C17)</f>
        <v>0</v>
      </c>
      <c r="D37" s="351">
        <f t="shared" ref="D37:Z37" si="6">SUM(D14:D17)</f>
        <v>0</v>
      </c>
      <c r="E37" s="352">
        <f t="shared" si="6"/>
        <v>0</v>
      </c>
      <c r="F37" s="353">
        <f t="shared" si="6"/>
        <v>0</v>
      </c>
      <c r="G37" s="354">
        <f t="shared" si="6"/>
        <v>0</v>
      </c>
      <c r="H37" s="351">
        <f t="shared" si="6"/>
        <v>0</v>
      </c>
      <c r="I37" s="352">
        <f t="shared" si="6"/>
        <v>0</v>
      </c>
      <c r="J37" s="353">
        <f t="shared" si="6"/>
        <v>0</v>
      </c>
      <c r="K37" s="354">
        <f t="shared" si="6"/>
        <v>0</v>
      </c>
      <c r="L37" s="351">
        <f t="shared" si="6"/>
        <v>0</v>
      </c>
      <c r="M37" s="352">
        <f t="shared" si="6"/>
        <v>0</v>
      </c>
      <c r="N37" s="353">
        <f t="shared" si="6"/>
        <v>0</v>
      </c>
      <c r="O37" s="354">
        <f t="shared" si="6"/>
        <v>0</v>
      </c>
      <c r="P37" s="351">
        <f t="shared" si="6"/>
        <v>0</v>
      </c>
      <c r="Q37" s="352">
        <f t="shared" si="6"/>
        <v>0</v>
      </c>
      <c r="R37" s="355">
        <f t="shared" si="6"/>
        <v>0</v>
      </c>
      <c r="S37" s="354">
        <f t="shared" si="6"/>
        <v>0</v>
      </c>
      <c r="T37" s="351">
        <f t="shared" si="6"/>
        <v>0</v>
      </c>
      <c r="U37" s="352">
        <f t="shared" si="6"/>
        <v>0</v>
      </c>
      <c r="V37" s="353">
        <f t="shared" si="6"/>
        <v>0</v>
      </c>
      <c r="W37" s="354">
        <f t="shared" si="6"/>
        <v>0</v>
      </c>
      <c r="X37" s="351">
        <f t="shared" si="6"/>
        <v>0</v>
      </c>
      <c r="Y37" s="352">
        <f t="shared" si="6"/>
        <v>0</v>
      </c>
      <c r="Z37" s="355">
        <f t="shared" si="6"/>
        <v>0</v>
      </c>
      <c r="AA37" s="1021" t="s">
        <v>11</v>
      </c>
      <c r="AB37" s="1022"/>
      <c r="AC37" s="322">
        <f>SUM(C37:Z37)</f>
        <v>0</v>
      </c>
      <c r="AD37" s="245">
        <f t="shared" ref="AD37:AD42" si="7">IF(AC37=0,0,AD49/AC37)</f>
        <v>0</v>
      </c>
      <c r="AE37" s="245">
        <f t="shared" ref="AE37:AE42" si="8">IF(AC37=0,0,AE49/AC37)</f>
        <v>0</v>
      </c>
      <c r="AF37" s="245">
        <f t="shared" ref="AF37:AF42" si="9">IF(AE49=0,0,AF49/AE49)</f>
        <v>0</v>
      </c>
      <c r="AG37" s="408"/>
      <c r="AH37" s="409"/>
      <c r="AI37" s="409"/>
      <c r="AJ37" s="410"/>
      <c r="AK37" s="1094"/>
      <c r="AL37" s="1095"/>
    </row>
    <row r="38" spans="1:39" ht="54.95" customHeight="1">
      <c r="A38" s="1019" t="s">
        <v>17</v>
      </c>
      <c r="B38" s="1020"/>
      <c r="C38" s="350">
        <f>SUM(C16:C19)</f>
        <v>0</v>
      </c>
      <c r="D38" s="351">
        <f t="shared" ref="D38:Z38" si="10">SUM(D16:D19)</f>
        <v>0</v>
      </c>
      <c r="E38" s="352">
        <f t="shared" si="10"/>
        <v>0</v>
      </c>
      <c r="F38" s="353">
        <f t="shared" si="10"/>
        <v>0</v>
      </c>
      <c r="G38" s="354">
        <f t="shared" si="10"/>
        <v>0</v>
      </c>
      <c r="H38" s="351">
        <f t="shared" si="10"/>
        <v>0</v>
      </c>
      <c r="I38" s="352">
        <f t="shared" si="10"/>
        <v>0</v>
      </c>
      <c r="J38" s="353">
        <f t="shared" si="10"/>
        <v>0</v>
      </c>
      <c r="K38" s="354">
        <f t="shared" si="10"/>
        <v>0</v>
      </c>
      <c r="L38" s="351">
        <f t="shared" si="10"/>
        <v>0</v>
      </c>
      <c r="M38" s="352">
        <f t="shared" si="10"/>
        <v>0</v>
      </c>
      <c r="N38" s="353">
        <f t="shared" si="10"/>
        <v>0</v>
      </c>
      <c r="O38" s="354">
        <f t="shared" si="10"/>
        <v>0</v>
      </c>
      <c r="P38" s="351">
        <f t="shared" si="10"/>
        <v>0</v>
      </c>
      <c r="Q38" s="352">
        <f t="shared" si="10"/>
        <v>0</v>
      </c>
      <c r="R38" s="355">
        <f t="shared" si="10"/>
        <v>0</v>
      </c>
      <c r="S38" s="354">
        <f t="shared" si="10"/>
        <v>0</v>
      </c>
      <c r="T38" s="351">
        <f t="shared" si="10"/>
        <v>0</v>
      </c>
      <c r="U38" s="352">
        <f t="shared" si="10"/>
        <v>0</v>
      </c>
      <c r="V38" s="353">
        <f t="shared" si="10"/>
        <v>0</v>
      </c>
      <c r="W38" s="354">
        <f t="shared" si="10"/>
        <v>0</v>
      </c>
      <c r="X38" s="351">
        <f t="shared" si="10"/>
        <v>0</v>
      </c>
      <c r="Y38" s="352">
        <f t="shared" si="10"/>
        <v>0</v>
      </c>
      <c r="Z38" s="355">
        <f t="shared" si="10"/>
        <v>0</v>
      </c>
      <c r="AA38" s="1021" t="s">
        <v>17</v>
      </c>
      <c r="AB38" s="1022"/>
      <c r="AC38" s="322">
        <f>SUM(C38:Z38)</f>
        <v>0</v>
      </c>
      <c r="AD38" s="245">
        <f t="shared" si="7"/>
        <v>0</v>
      </c>
      <c r="AE38" s="245">
        <f t="shared" si="8"/>
        <v>0</v>
      </c>
      <c r="AF38" s="245">
        <f t="shared" si="9"/>
        <v>0</v>
      </c>
      <c r="AG38" s="408"/>
      <c r="AH38" s="409"/>
      <c r="AI38" s="409"/>
      <c r="AJ38" s="410"/>
      <c r="AK38" s="1094"/>
      <c r="AL38" s="1095"/>
    </row>
    <row r="39" spans="1:39" ht="54.95" customHeight="1">
      <c r="A39" s="1019" t="s">
        <v>10</v>
      </c>
      <c r="B39" s="1020"/>
      <c r="C39" s="350">
        <f>SUM(C18:C21)</f>
        <v>0</v>
      </c>
      <c r="D39" s="351">
        <f t="shared" ref="D39:Z39" si="11">SUM(D18:D21)</f>
        <v>0</v>
      </c>
      <c r="E39" s="352">
        <f t="shared" si="11"/>
        <v>0</v>
      </c>
      <c r="F39" s="353">
        <f t="shared" si="11"/>
        <v>0</v>
      </c>
      <c r="G39" s="354">
        <f t="shared" si="11"/>
        <v>0</v>
      </c>
      <c r="H39" s="351">
        <f t="shared" si="11"/>
        <v>0</v>
      </c>
      <c r="I39" s="352">
        <f t="shared" si="11"/>
        <v>0</v>
      </c>
      <c r="J39" s="353">
        <f t="shared" si="11"/>
        <v>0</v>
      </c>
      <c r="K39" s="354">
        <f t="shared" si="11"/>
        <v>0</v>
      </c>
      <c r="L39" s="351">
        <f t="shared" si="11"/>
        <v>0</v>
      </c>
      <c r="M39" s="352">
        <f t="shared" si="11"/>
        <v>0</v>
      </c>
      <c r="N39" s="353">
        <f t="shared" si="11"/>
        <v>0</v>
      </c>
      <c r="O39" s="354">
        <f t="shared" si="11"/>
        <v>0</v>
      </c>
      <c r="P39" s="351">
        <f t="shared" si="11"/>
        <v>0</v>
      </c>
      <c r="Q39" s="352">
        <f t="shared" si="11"/>
        <v>0</v>
      </c>
      <c r="R39" s="355">
        <f t="shared" si="11"/>
        <v>0</v>
      </c>
      <c r="S39" s="354">
        <f t="shared" si="11"/>
        <v>0</v>
      </c>
      <c r="T39" s="351">
        <f t="shared" si="11"/>
        <v>0</v>
      </c>
      <c r="U39" s="352">
        <f t="shared" si="11"/>
        <v>0</v>
      </c>
      <c r="V39" s="353">
        <f t="shared" si="11"/>
        <v>0</v>
      </c>
      <c r="W39" s="354">
        <f t="shared" si="11"/>
        <v>0</v>
      </c>
      <c r="X39" s="351">
        <f t="shared" si="11"/>
        <v>0</v>
      </c>
      <c r="Y39" s="352">
        <f t="shared" si="11"/>
        <v>0</v>
      </c>
      <c r="Z39" s="355">
        <f t="shared" si="11"/>
        <v>0</v>
      </c>
      <c r="AA39" s="1021" t="s">
        <v>10</v>
      </c>
      <c r="AB39" s="1022"/>
      <c r="AC39" s="322">
        <f>SUM(C39:Z39)</f>
        <v>0</v>
      </c>
      <c r="AD39" s="245">
        <f t="shared" si="7"/>
        <v>0</v>
      </c>
      <c r="AE39" s="245">
        <f t="shared" si="8"/>
        <v>0</v>
      </c>
      <c r="AF39" s="245">
        <f t="shared" si="9"/>
        <v>0</v>
      </c>
      <c r="AG39" s="408"/>
      <c r="AH39" s="409"/>
      <c r="AI39" s="409"/>
      <c r="AJ39" s="410"/>
      <c r="AK39" s="1094"/>
      <c r="AL39" s="1095"/>
    </row>
    <row r="40" spans="1:39" ht="54.95" customHeight="1">
      <c r="A40" s="1023" t="s">
        <v>29</v>
      </c>
      <c r="B40" s="1024"/>
      <c r="C40" s="356">
        <f>SUM(C20:C23)</f>
        <v>0</v>
      </c>
      <c r="D40" s="357">
        <f t="shared" ref="D40:Z40" si="12">SUM(D20:D23)</f>
        <v>0</v>
      </c>
      <c r="E40" s="358">
        <f t="shared" si="12"/>
        <v>0</v>
      </c>
      <c r="F40" s="359">
        <f t="shared" si="12"/>
        <v>0</v>
      </c>
      <c r="G40" s="360">
        <f t="shared" si="12"/>
        <v>0</v>
      </c>
      <c r="H40" s="357">
        <f t="shared" si="12"/>
        <v>0</v>
      </c>
      <c r="I40" s="358">
        <f t="shared" si="12"/>
        <v>0</v>
      </c>
      <c r="J40" s="359">
        <f t="shared" si="12"/>
        <v>0</v>
      </c>
      <c r="K40" s="360">
        <f t="shared" si="12"/>
        <v>0</v>
      </c>
      <c r="L40" s="357">
        <f t="shared" si="12"/>
        <v>0</v>
      </c>
      <c r="M40" s="358">
        <f t="shared" si="12"/>
        <v>0</v>
      </c>
      <c r="N40" s="359">
        <f t="shared" si="12"/>
        <v>0</v>
      </c>
      <c r="O40" s="360">
        <f t="shared" si="12"/>
        <v>0</v>
      </c>
      <c r="P40" s="357">
        <f t="shared" si="12"/>
        <v>0</v>
      </c>
      <c r="Q40" s="358">
        <f t="shared" si="12"/>
        <v>0</v>
      </c>
      <c r="R40" s="361">
        <f t="shared" si="12"/>
        <v>0</v>
      </c>
      <c r="S40" s="360">
        <f t="shared" si="12"/>
        <v>0</v>
      </c>
      <c r="T40" s="357">
        <f t="shared" si="12"/>
        <v>0</v>
      </c>
      <c r="U40" s="358">
        <f t="shared" si="12"/>
        <v>0</v>
      </c>
      <c r="V40" s="359">
        <f t="shared" si="12"/>
        <v>0</v>
      </c>
      <c r="W40" s="360">
        <f t="shared" si="12"/>
        <v>0</v>
      </c>
      <c r="X40" s="357">
        <f t="shared" si="12"/>
        <v>0</v>
      </c>
      <c r="Y40" s="358">
        <f t="shared" si="12"/>
        <v>0</v>
      </c>
      <c r="Z40" s="361">
        <f t="shared" si="12"/>
        <v>0</v>
      </c>
      <c r="AA40" s="1025" t="s">
        <v>29</v>
      </c>
      <c r="AB40" s="1026"/>
      <c r="AC40" s="323">
        <f>SUM(C40:Z40)</f>
        <v>0</v>
      </c>
      <c r="AD40" s="247">
        <f t="shared" si="7"/>
        <v>0</v>
      </c>
      <c r="AE40" s="247">
        <f t="shared" si="8"/>
        <v>0</v>
      </c>
      <c r="AF40" s="247">
        <f t="shared" si="9"/>
        <v>0</v>
      </c>
      <c r="AG40" s="411"/>
      <c r="AH40" s="412"/>
      <c r="AI40" s="412"/>
      <c r="AJ40" s="413"/>
      <c r="AK40" s="1096"/>
      <c r="AL40" s="1097"/>
    </row>
    <row r="41" spans="1:39" ht="54.95" customHeight="1">
      <c r="A41" s="1027" t="s">
        <v>12</v>
      </c>
      <c r="B41" s="1028"/>
      <c r="C41" s="362">
        <f>SUM(C12:C23)</f>
        <v>0</v>
      </c>
      <c r="D41" s="363">
        <f t="shared" ref="D41:Z41" si="13">SUM(D12:D23)</f>
        <v>0</v>
      </c>
      <c r="E41" s="364">
        <f t="shared" si="13"/>
        <v>0</v>
      </c>
      <c r="F41" s="365">
        <f t="shared" si="13"/>
        <v>0</v>
      </c>
      <c r="G41" s="366">
        <f t="shared" si="13"/>
        <v>0</v>
      </c>
      <c r="H41" s="363">
        <f t="shared" si="13"/>
        <v>0</v>
      </c>
      <c r="I41" s="364">
        <f t="shared" si="13"/>
        <v>0</v>
      </c>
      <c r="J41" s="365">
        <f t="shared" si="13"/>
        <v>0</v>
      </c>
      <c r="K41" s="366">
        <f t="shared" si="13"/>
        <v>0</v>
      </c>
      <c r="L41" s="363">
        <f t="shared" si="13"/>
        <v>0</v>
      </c>
      <c r="M41" s="364">
        <f t="shared" si="13"/>
        <v>0</v>
      </c>
      <c r="N41" s="365">
        <f t="shared" si="13"/>
        <v>0</v>
      </c>
      <c r="O41" s="366">
        <f t="shared" si="13"/>
        <v>0</v>
      </c>
      <c r="P41" s="363">
        <f t="shared" si="13"/>
        <v>0</v>
      </c>
      <c r="Q41" s="364">
        <f t="shared" si="13"/>
        <v>0</v>
      </c>
      <c r="R41" s="367">
        <f t="shared" si="13"/>
        <v>0</v>
      </c>
      <c r="S41" s="366">
        <f t="shared" si="13"/>
        <v>0</v>
      </c>
      <c r="T41" s="363">
        <f t="shared" si="13"/>
        <v>0</v>
      </c>
      <c r="U41" s="364">
        <f t="shared" si="13"/>
        <v>0</v>
      </c>
      <c r="V41" s="365">
        <f t="shared" si="13"/>
        <v>0</v>
      </c>
      <c r="W41" s="366">
        <f t="shared" si="13"/>
        <v>0</v>
      </c>
      <c r="X41" s="363">
        <f t="shared" si="13"/>
        <v>0</v>
      </c>
      <c r="Y41" s="364">
        <f t="shared" si="13"/>
        <v>0</v>
      </c>
      <c r="Z41" s="367">
        <f t="shared" si="13"/>
        <v>0</v>
      </c>
      <c r="AA41" s="1029" t="s">
        <v>12</v>
      </c>
      <c r="AB41" s="1030"/>
      <c r="AC41" s="324">
        <f t="shared" ref="AC41:AC42" si="14">SUM(C41:Z41)</f>
        <v>0</v>
      </c>
      <c r="AD41" s="302">
        <f t="shared" si="7"/>
        <v>0</v>
      </c>
      <c r="AE41" s="302">
        <f t="shared" si="8"/>
        <v>0</v>
      </c>
      <c r="AF41" s="302">
        <f t="shared" si="9"/>
        <v>0</v>
      </c>
      <c r="AG41" s="249"/>
      <c r="AH41" s="250"/>
      <c r="AI41" s="250"/>
      <c r="AJ41" s="1101" t="s">
        <v>125</v>
      </c>
      <c r="AK41" s="1102"/>
      <c r="AL41" s="1103"/>
    </row>
    <row r="42" spans="1:39" ht="54.95" customHeight="1" thickBot="1">
      <c r="A42" s="1015" t="str">
        <f>IF($AC$36=MAX($AC$36:$AC$40),A36,IF($AC$37=MAX($AC$36:$AC$40),A37,IF($AC$38=MAX($AC$36:$AC$40),A38,IF($AC$39=MAX($AC$36:$AC$40),A39,A40))))</f>
        <v>de 6:30 à 7:30</v>
      </c>
      <c r="B42" s="1016"/>
      <c r="C42" s="368">
        <f>IF($AC$36=MAX($AC$36:$AC$40),C36,IF($AC$37=MAX($AC$36:$AC$40),C37,IF($AC$38=MAX($AC$36:$AC$40),C38,IF($AC$39=MAX($AC$36:$AC$40),C39,C40))))</f>
        <v>0</v>
      </c>
      <c r="D42" s="369">
        <f t="shared" ref="D42:Z42" si="15">IF($AC$36=MAX($AC$36:$AC$40),D36,IF($AC$37=MAX($AC$36:$AC$40),D37,IF($AC$38=MAX($AC$36:$AC$40),D38,IF($AC$39=MAX($AC$36:$AC$40),D39,D40))))</f>
        <v>0</v>
      </c>
      <c r="E42" s="370">
        <f t="shared" si="15"/>
        <v>0</v>
      </c>
      <c r="F42" s="371">
        <f t="shared" si="15"/>
        <v>0</v>
      </c>
      <c r="G42" s="372">
        <f t="shared" si="15"/>
        <v>0</v>
      </c>
      <c r="H42" s="369">
        <f t="shared" si="15"/>
        <v>0</v>
      </c>
      <c r="I42" s="370">
        <f t="shared" si="15"/>
        <v>0</v>
      </c>
      <c r="J42" s="371">
        <f t="shared" si="15"/>
        <v>0</v>
      </c>
      <c r="K42" s="372">
        <f t="shared" si="15"/>
        <v>0</v>
      </c>
      <c r="L42" s="369">
        <f t="shared" si="15"/>
        <v>0</v>
      </c>
      <c r="M42" s="370">
        <f t="shared" si="15"/>
        <v>0</v>
      </c>
      <c r="N42" s="371">
        <f t="shared" si="15"/>
        <v>0</v>
      </c>
      <c r="O42" s="372">
        <f t="shared" si="15"/>
        <v>0</v>
      </c>
      <c r="P42" s="369">
        <f t="shared" si="15"/>
        <v>0</v>
      </c>
      <c r="Q42" s="370">
        <f t="shared" si="15"/>
        <v>0</v>
      </c>
      <c r="R42" s="373">
        <f t="shared" si="15"/>
        <v>0</v>
      </c>
      <c r="S42" s="372">
        <f t="shared" si="15"/>
        <v>0</v>
      </c>
      <c r="T42" s="369">
        <f t="shared" si="15"/>
        <v>0</v>
      </c>
      <c r="U42" s="370">
        <f t="shared" si="15"/>
        <v>0</v>
      </c>
      <c r="V42" s="371">
        <f t="shared" si="15"/>
        <v>0</v>
      </c>
      <c r="W42" s="372">
        <f t="shared" si="15"/>
        <v>0</v>
      </c>
      <c r="X42" s="369">
        <f t="shared" si="15"/>
        <v>0</v>
      </c>
      <c r="Y42" s="370">
        <f t="shared" si="15"/>
        <v>0</v>
      </c>
      <c r="Z42" s="373">
        <f t="shared" si="15"/>
        <v>0</v>
      </c>
      <c r="AA42" s="1017" t="str">
        <f>A42</f>
        <v>de 6:30 à 7:30</v>
      </c>
      <c r="AB42" s="1018"/>
      <c r="AC42" s="325">
        <f t="shared" si="14"/>
        <v>0</v>
      </c>
      <c r="AD42" s="303">
        <f t="shared" si="7"/>
        <v>0</v>
      </c>
      <c r="AE42" s="303">
        <f t="shared" si="8"/>
        <v>0</v>
      </c>
      <c r="AF42" s="303">
        <f t="shared" si="9"/>
        <v>0</v>
      </c>
      <c r="AG42" s="251"/>
      <c r="AH42" s="252"/>
      <c r="AI42" s="252"/>
      <c r="AJ42" s="414"/>
      <c r="AK42" s="1092"/>
      <c r="AL42" s="1093"/>
    </row>
    <row r="43" spans="1:39" ht="12.75" customHeight="1" thickTop="1" thickBot="1">
      <c r="A43" s="415"/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6"/>
      <c r="Q43" s="416"/>
      <c r="R43" s="416"/>
      <c r="S43" s="415"/>
      <c r="T43" s="416"/>
      <c r="U43" s="416"/>
      <c r="V43" s="416"/>
      <c r="W43" s="416"/>
      <c r="X43" s="416"/>
      <c r="Y43" s="416"/>
      <c r="Z43" s="416"/>
      <c r="AA43" s="417"/>
      <c r="AB43" s="417"/>
      <c r="AC43" s="416"/>
      <c r="AD43" s="416"/>
      <c r="AE43" s="415"/>
      <c r="AF43" s="416"/>
      <c r="AG43" s="416"/>
      <c r="AH43" s="416"/>
      <c r="AI43" s="416"/>
      <c r="AJ43" s="418"/>
      <c r="AK43" s="417"/>
      <c r="AL43" s="419"/>
      <c r="AM43" s="419"/>
    </row>
    <row r="44" spans="1:39" ht="32.25" customHeight="1" thickTop="1">
      <c r="A44" s="420"/>
      <c r="B44" s="418"/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1"/>
      <c r="AA44" s="420"/>
      <c r="AB44" s="418"/>
      <c r="AC44" s="422"/>
      <c r="AD44" s="1049" t="s">
        <v>115</v>
      </c>
      <c r="AE44" s="1049" t="s">
        <v>116</v>
      </c>
      <c r="AF44" s="1049" t="s">
        <v>117</v>
      </c>
      <c r="AG44" s="1049"/>
      <c r="AH44" s="1049"/>
      <c r="AI44" s="1049"/>
      <c r="AJ44" s="423"/>
      <c r="AK44" s="424"/>
      <c r="AL44" s="424"/>
      <c r="AM44" s="419"/>
    </row>
    <row r="45" spans="1:39" ht="22.7" customHeight="1">
      <c r="A45" s="420"/>
      <c r="B45" s="418"/>
      <c r="C45" s="425"/>
      <c r="D45" s="425"/>
      <c r="E45" s="425"/>
      <c r="F45" s="425"/>
      <c r="G45" s="425"/>
      <c r="H45" s="425"/>
      <c r="I45" s="425"/>
      <c r="J45" s="425"/>
      <c r="K45" s="425"/>
      <c r="L45" s="425"/>
      <c r="M45" s="425"/>
      <c r="N45" s="425"/>
      <c r="O45" s="425"/>
      <c r="P45" s="425"/>
      <c r="Q45" s="425"/>
      <c r="R45" s="425"/>
      <c r="S45" s="425"/>
      <c r="T45" s="425"/>
      <c r="U45" s="425"/>
      <c r="V45" s="425"/>
      <c r="W45" s="425"/>
      <c r="X45" s="425"/>
      <c r="Y45" s="425"/>
      <c r="Z45" s="425"/>
      <c r="AA45" s="420"/>
      <c r="AB45" s="418"/>
      <c r="AC45" s="422"/>
      <c r="AD45" s="1050"/>
      <c r="AE45" s="1050"/>
      <c r="AF45" s="1050"/>
      <c r="AG45" s="1050"/>
      <c r="AH45" s="1050"/>
      <c r="AI45" s="1050"/>
      <c r="AJ45" s="423"/>
      <c r="AK45" s="424"/>
      <c r="AL45" s="424"/>
      <c r="AM45" s="419"/>
    </row>
    <row r="46" spans="1:39" ht="18.600000000000001" customHeight="1">
      <c r="A46" s="420"/>
      <c r="B46" s="418"/>
      <c r="C46" s="426"/>
      <c r="D46" s="426"/>
      <c r="E46" s="426"/>
      <c r="F46" s="426"/>
      <c r="G46" s="426"/>
      <c r="H46" s="426"/>
      <c r="I46" s="426"/>
      <c r="J46" s="426"/>
      <c r="K46" s="426"/>
      <c r="L46" s="426"/>
      <c r="M46" s="426"/>
      <c r="N46" s="426"/>
      <c r="O46" s="426"/>
      <c r="P46" s="426"/>
      <c r="Q46" s="426"/>
      <c r="R46" s="426"/>
      <c r="S46" s="426"/>
      <c r="T46" s="426"/>
      <c r="U46" s="426"/>
      <c r="V46" s="426"/>
      <c r="W46" s="426"/>
      <c r="X46" s="426"/>
      <c r="Y46" s="426"/>
      <c r="Z46" s="426"/>
      <c r="AA46" s="420"/>
      <c r="AB46" s="418"/>
      <c r="AC46" s="422"/>
      <c r="AD46" s="1050"/>
      <c r="AE46" s="1050"/>
      <c r="AF46" s="1050"/>
      <c r="AG46" s="1050"/>
      <c r="AH46" s="1050"/>
      <c r="AI46" s="1050"/>
      <c r="AJ46" s="423"/>
      <c r="AK46" s="424"/>
      <c r="AL46" s="424"/>
      <c r="AM46" s="419"/>
    </row>
    <row r="47" spans="1:39" ht="20.25">
      <c r="A47" s="427"/>
      <c r="B47" s="427"/>
      <c r="C47" s="428"/>
      <c r="D47" s="428"/>
      <c r="E47" s="428"/>
      <c r="F47" s="428"/>
      <c r="G47" s="428"/>
      <c r="H47" s="428"/>
      <c r="I47" s="428"/>
      <c r="J47" s="428"/>
      <c r="K47" s="428"/>
      <c r="L47" s="428"/>
      <c r="M47" s="428"/>
      <c r="N47" s="428"/>
      <c r="O47" s="428"/>
      <c r="P47" s="428"/>
      <c r="Q47" s="428"/>
      <c r="R47" s="428"/>
      <c r="S47" s="428"/>
      <c r="T47" s="428"/>
      <c r="U47" s="428"/>
      <c r="V47" s="428"/>
      <c r="W47" s="428"/>
      <c r="X47" s="428"/>
      <c r="Y47" s="428"/>
      <c r="Z47" s="428"/>
      <c r="AA47" s="427"/>
      <c r="AB47" s="427"/>
      <c r="AC47" s="422"/>
      <c r="AD47" s="1051"/>
      <c r="AE47" s="1051"/>
      <c r="AF47" s="1051"/>
      <c r="AG47" s="1051"/>
      <c r="AH47" s="1051"/>
      <c r="AI47" s="1051"/>
      <c r="AJ47" s="423"/>
      <c r="AK47" s="424"/>
      <c r="AL47" s="424"/>
      <c r="AM47" s="419"/>
    </row>
    <row r="48" spans="1:39" ht="54.95" customHeight="1">
      <c r="A48" s="427"/>
      <c r="B48" s="427"/>
      <c r="C48" s="429"/>
      <c r="D48" s="429"/>
      <c r="E48" s="429"/>
      <c r="F48" s="429"/>
      <c r="G48" s="429"/>
      <c r="H48" s="429"/>
      <c r="I48" s="429"/>
      <c r="J48" s="429"/>
      <c r="K48" s="429"/>
      <c r="L48" s="429"/>
      <c r="M48" s="429"/>
      <c r="N48" s="429"/>
      <c r="O48" s="429"/>
      <c r="P48" s="429"/>
      <c r="Q48" s="429"/>
      <c r="R48" s="429"/>
      <c r="S48" s="429"/>
      <c r="T48" s="429"/>
      <c r="U48" s="429"/>
      <c r="V48" s="429"/>
      <c r="W48" s="429"/>
      <c r="X48" s="429"/>
      <c r="Y48" s="429"/>
      <c r="Z48" s="429"/>
      <c r="AA48" s="427"/>
      <c r="AB48" s="427"/>
      <c r="AC48" s="430"/>
      <c r="AD48" s="304">
        <f>(C36+E36+G36+I36+K36+M36+O36+Q36+S36+U36+W36+Y36)</f>
        <v>0</v>
      </c>
      <c r="AE48" s="304">
        <f>(E36+F36+I36+J36+M36+N36+Q36+R36+U36+V36+Y36+Z36)</f>
        <v>0</v>
      </c>
      <c r="AF48" s="304">
        <f>(E36+I36+M36+Q36+U36+Y36)</f>
        <v>0</v>
      </c>
      <c r="AG48" s="304"/>
      <c r="AH48" s="304"/>
      <c r="AI48" s="304"/>
      <c r="AJ48" s="431"/>
      <c r="AK48" s="432"/>
      <c r="AL48" s="432"/>
      <c r="AM48" s="419"/>
    </row>
    <row r="49" spans="1:43" ht="54.95" customHeight="1">
      <c r="A49" s="427"/>
      <c r="B49" s="427"/>
      <c r="C49" s="429"/>
      <c r="D49" s="429"/>
      <c r="E49" s="429"/>
      <c r="F49" s="429"/>
      <c r="G49" s="429"/>
      <c r="H49" s="429"/>
      <c r="I49" s="429"/>
      <c r="J49" s="429"/>
      <c r="K49" s="429"/>
      <c r="L49" s="429"/>
      <c r="M49" s="429"/>
      <c r="N49" s="429"/>
      <c r="O49" s="429"/>
      <c r="P49" s="429"/>
      <c r="Q49" s="429"/>
      <c r="R49" s="429"/>
      <c r="S49" s="429"/>
      <c r="T49" s="429"/>
      <c r="U49" s="429"/>
      <c r="V49" s="429"/>
      <c r="W49" s="429"/>
      <c r="X49" s="429"/>
      <c r="Y49" s="429"/>
      <c r="Z49" s="429"/>
      <c r="AA49" s="427"/>
      <c r="AB49" s="427"/>
      <c r="AC49" s="430"/>
      <c r="AD49" s="305">
        <f t="shared" ref="AD49:AD54" si="16">(C37+E37+G37+I37+K37+M37+O37+Q37+S37+U37+W37+Y37)</f>
        <v>0</v>
      </c>
      <c r="AE49" s="305">
        <f t="shared" ref="AE49:AE54" si="17">(E37+F37+I37+J37+M37+N37+Q37+R37+U37+V37+Y37+Z37)</f>
        <v>0</v>
      </c>
      <c r="AF49" s="305">
        <f t="shared" ref="AF49:AF54" si="18">(E37+I37+M37+Q37+U37+Y37)</f>
        <v>0</v>
      </c>
      <c r="AG49" s="305"/>
      <c r="AH49" s="305"/>
      <c r="AI49" s="305"/>
      <c r="AJ49" s="431"/>
      <c r="AK49" s="432"/>
      <c r="AL49" s="432"/>
      <c r="AM49" s="419"/>
    </row>
    <row r="50" spans="1:43" ht="54.95" customHeight="1">
      <c r="A50" s="427"/>
      <c r="B50" s="427"/>
      <c r="C50" s="429"/>
      <c r="D50" s="429"/>
      <c r="E50" s="429"/>
      <c r="F50" s="429"/>
      <c r="G50" s="429"/>
      <c r="H50" s="429"/>
      <c r="I50" s="429"/>
      <c r="J50" s="429"/>
      <c r="K50" s="429"/>
      <c r="L50" s="429"/>
      <c r="M50" s="429"/>
      <c r="N50" s="429"/>
      <c r="O50" s="429"/>
      <c r="P50" s="429"/>
      <c r="Q50" s="429"/>
      <c r="R50" s="429"/>
      <c r="S50" s="429"/>
      <c r="T50" s="429"/>
      <c r="U50" s="429"/>
      <c r="V50" s="429"/>
      <c r="W50" s="429"/>
      <c r="X50" s="429"/>
      <c r="Y50" s="429"/>
      <c r="Z50" s="429"/>
      <c r="AA50" s="427"/>
      <c r="AB50" s="427"/>
      <c r="AC50" s="430"/>
      <c r="AD50" s="305">
        <f t="shared" si="16"/>
        <v>0</v>
      </c>
      <c r="AE50" s="305">
        <f t="shared" si="17"/>
        <v>0</v>
      </c>
      <c r="AF50" s="305">
        <f t="shared" si="18"/>
        <v>0</v>
      </c>
      <c r="AG50" s="305"/>
      <c r="AH50" s="305"/>
      <c r="AI50" s="305"/>
      <c r="AJ50" s="431"/>
      <c r="AK50" s="432"/>
      <c r="AL50" s="432"/>
      <c r="AM50" s="419"/>
    </row>
    <row r="51" spans="1:43" ht="54.95" customHeight="1">
      <c r="A51" s="427"/>
      <c r="B51" s="427"/>
      <c r="C51" s="429"/>
      <c r="D51" s="429"/>
      <c r="E51" s="429"/>
      <c r="F51" s="429"/>
      <c r="G51" s="429"/>
      <c r="H51" s="429"/>
      <c r="I51" s="429"/>
      <c r="J51" s="429"/>
      <c r="K51" s="429"/>
      <c r="L51" s="429"/>
      <c r="M51" s="429"/>
      <c r="N51" s="429"/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7"/>
      <c r="AB51" s="427"/>
      <c r="AC51" s="430"/>
      <c r="AD51" s="305">
        <f t="shared" si="16"/>
        <v>0</v>
      </c>
      <c r="AE51" s="305">
        <f t="shared" si="17"/>
        <v>0</v>
      </c>
      <c r="AF51" s="305">
        <f t="shared" si="18"/>
        <v>0</v>
      </c>
      <c r="AG51" s="305"/>
      <c r="AH51" s="305"/>
      <c r="AI51" s="305"/>
      <c r="AJ51" s="431"/>
      <c r="AK51" s="432"/>
      <c r="AL51" s="432"/>
      <c r="AM51" s="419"/>
    </row>
    <row r="52" spans="1:43" ht="54.95" customHeight="1">
      <c r="A52" s="427"/>
      <c r="B52" s="427"/>
      <c r="C52" s="429"/>
      <c r="D52" s="429"/>
      <c r="E52" s="429"/>
      <c r="F52" s="429"/>
      <c r="G52" s="429"/>
      <c r="H52" s="429"/>
      <c r="I52" s="429"/>
      <c r="J52" s="429"/>
      <c r="K52" s="429"/>
      <c r="L52" s="429"/>
      <c r="M52" s="429"/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7"/>
      <c r="AB52" s="427"/>
      <c r="AC52" s="430"/>
      <c r="AD52" s="306">
        <f t="shared" si="16"/>
        <v>0</v>
      </c>
      <c r="AE52" s="306">
        <f t="shared" si="17"/>
        <v>0</v>
      </c>
      <c r="AF52" s="306">
        <f t="shared" si="18"/>
        <v>0</v>
      </c>
      <c r="AG52" s="306"/>
      <c r="AH52" s="306"/>
      <c r="AI52" s="306"/>
      <c r="AJ52" s="431"/>
      <c r="AK52" s="432"/>
      <c r="AL52" s="432"/>
      <c r="AM52" s="419"/>
    </row>
    <row r="53" spans="1:43" ht="54.95" customHeight="1">
      <c r="A53" s="427"/>
      <c r="B53" s="427"/>
      <c r="C53" s="429"/>
      <c r="D53" s="429"/>
      <c r="E53" s="429"/>
      <c r="F53" s="429"/>
      <c r="G53" s="429"/>
      <c r="H53" s="429"/>
      <c r="I53" s="429"/>
      <c r="J53" s="429"/>
      <c r="K53" s="429"/>
      <c r="L53" s="429"/>
      <c r="M53" s="429"/>
      <c r="N53" s="429"/>
      <c r="O53" s="429"/>
      <c r="P53" s="429"/>
      <c r="Q53" s="429"/>
      <c r="R53" s="429"/>
      <c r="S53" s="429"/>
      <c r="T53" s="429"/>
      <c r="U53" s="429"/>
      <c r="V53" s="429"/>
      <c r="W53" s="429"/>
      <c r="X53" s="429"/>
      <c r="Y53" s="429"/>
      <c r="Z53" s="429"/>
      <c r="AA53" s="427"/>
      <c r="AB53" s="427"/>
      <c r="AC53" s="430"/>
      <c r="AD53" s="307">
        <f t="shared" si="16"/>
        <v>0</v>
      </c>
      <c r="AE53" s="307">
        <f t="shared" si="17"/>
        <v>0</v>
      </c>
      <c r="AF53" s="307">
        <f t="shared" si="18"/>
        <v>0</v>
      </c>
      <c r="AG53" s="307"/>
      <c r="AH53" s="307"/>
      <c r="AI53" s="307"/>
      <c r="AJ53" s="431"/>
      <c r="AK53" s="432"/>
      <c r="AL53" s="432"/>
      <c r="AM53" s="419"/>
    </row>
    <row r="54" spans="1:43" ht="54.95" customHeight="1" thickBot="1">
      <c r="A54" s="427"/>
      <c r="B54" s="427"/>
      <c r="C54" s="429"/>
      <c r="D54" s="429"/>
      <c r="E54" s="429"/>
      <c r="F54" s="429"/>
      <c r="G54" s="429"/>
      <c r="H54" s="429"/>
      <c r="I54" s="429"/>
      <c r="J54" s="429"/>
      <c r="K54" s="429"/>
      <c r="L54" s="429"/>
      <c r="M54" s="429"/>
      <c r="N54" s="429"/>
      <c r="O54" s="429"/>
      <c r="P54" s="429"/>
      <c r="Q54" s="429"/>
      <c r="R54" s="429"/>
      <c r="S54" s="429"/>
      <c r="T54" s="429"/>
      <c r="U54" s="429"/>
      <c r="V54" s="429"/>
      <c r="W54" s="429"/>
      <c r="X54" s="429"/>
      <c r="Y54" s="429"/>
      <c r="Z54" s="429"/>
      <c r="AA54" s="427"/>
      <c r="AB54" s="427"/>
      <c r="AC54" s="430"/>
      <c r="AD54" s="308">
        <f t="shared" si="16"/>
        <v>0</v>
      </c>
      <c r="AE54" s="308">
        <f t="shared" si="17"/>
        <v>0</v>
      </c>
      <c r="AF54" s="308">
        <f t="shared" si="18"/>
        <v>0</v>
      </c>
      <c r="AG54" s="308"/>
      <c r="AH54" s="308"/>
      <c r="AI54" s="308"/>
      <c r="AJ54" s="431"/>
      <c r="AK54" s="432"/>
      <c r="AL54" s="432"/>
      <c r="AM54" s="419"/>
    </row>
    <row r="55" spans="1:43" ht="21" thickTop="1">
      <c r="A55" s="433"/>
      <c r="B55" s="434"/>
      <c r="C55" s="434"/>
      <c r="D55" s="434"/>
      <c r="E55" s="434"/>
      <c r="F55" s="434"/>
      <c r="G55" s="434"/>
      <c r="H55" s="434"/>
      <c r="I55" s="434"/>
      <c r="J55" s="434"/>
      <c r="K55" s="434"/>
      <c r="L55" s="434"/>
      <c r="M55" s="434"/>
      <c r="N55" s="434"/>
      <c r="O55" s="434"/>
      <c r="P55" s="434"/>
      <c r="Q55" s="434"/>
      <c r="R55" s="434"/>
      <c r="S55" s="433"/>
      <c r="T55" s="434"/>
      <c r="U55" s="434"/>
      <c r="V55" s="434"/>
      <c r="W55" s="434"/>
      <c r="X55" s="434"/>
      <c r="Y55" s="434"/>
      <c r="Z55" s="434"/>
      <c r="AA55" s="435"/>
      <c r="AB55" s="435"/>
      <c r="AC55" s="434"/>
      <c r="AD55" s="434"/>
      <c r="AE55" s="433"/>
      <c r="AF55" s="434"/>
      <c r="AG55" s="434"/>
      <c r="AH55" s="434"/>
      <c r="AI55" s="434"/>
      <c r="AJ55" s="434"/>
      <c r="AK55" s="435"/>
    </row>
    <row r="56" spans="1:43" ht="20.25">
      <c r="A56" s="436"/>
      <c r="B56" s="435"/>
      <c r="C56" s="435"/>
      <c r="D56" s="435"/>
      <c r="E56" s="435"/>
      <c r="F56" s="435"/>
      <c r="G56" s="435"/>
      <c r="H56" s="435"/>
      <c r="I56" s="435"/>
      <c r="J56" s="435"/>
      <c r="K56" s="435"/>
      <c r="L56" s="435"/>
      <c r="M56" s="435"/>
      <c r="N56" s="435"/>
      <c r="O56" s="435"/>
      <c r="P56" s="435"/>
      <c r="Q56" s="435"/>
      <c r="R56" s="435"/>
      <c r="S56" s="436"/>
      <c r="T56" s="435"/>
      <c r="U56" s="435"/>
      <c r="V56" s="435"/>
      <c r="W56" s="435"/>
      <c r="X56" s="435"/>
      <c r="Y56" s="435"/>
      <c r="Z56" s="435"/>
      <c r="AA56" s="435"/>
      <c r="AB56" s="435"/>
      <c r="AC56" s="435"/>
      <c r="AD56" s="435"/>
      <c r="AE56" s="436"/>
      <c r="AF56" s="435"/>
      <c r="AG56" s="435"/>
      <c r="AH56" s="435"/>
      <c r="AI56" s="435"/>
      <c r="AJ56" s="435"/>
      <c r="AK56" s="435"/>
    </row>
    <row r="57" spans="1:43" ht="20.25">
      <c r="A57" s="436"/>
      <c r="B57" s="435"/>
      <c r="C57" s="435"/>
      <c r="D57" s="435"/>
      <c r="E57" s="435"/>
      <c r="F57" s="435"/>
      <c r="G57" s="435"/>
      <c r="H57" s="435"/>
      <c r="I57" s="435"/>
      <c r="J57" s="435"/>
      <c r="K57" s="435"/>
      <c r="L57" s="435"/>
      <c r="M57" s="435"/>
      <c r="N57" s="435"/>
      <c r="O57" s="435"/>
      <c r="P57" s="435"/>
      <c r="Q57" s="435"/>
      <c r="R57" s="435"/>
      <c r="S57" s="435"/>
      <c r="T57" s="435"/>
      <c r="U57" s="435"/>
      <c r="V57" s="435"/>
      <c r="W57" s="435"/>
      <c r="X57" s="435"/>
      <c r="Y57" s="435"/>
      <c r="Z57" s="435"/>
      <c r="AA57" s="435"/>
      <c r="AB57" s="435"/>
      <c r="AC57" s="436"/>
      <c r="AD57" s="435"/>
      <c r="AE57" s="435"/>
      <c r="AF57" s="435"/>
      <c r="AG57" s="435"/>
      <c r="AH57" s="435"/>
      <c r="AI57" s="435"/>
      <c r="AJ57" s="435"/>
      <c r="AK57" s="435"/>
      <c r="AL57" s="436"/>
      <c r="AM57" s="435"/>
      <c r="AN57" s="435"/>
      <c r="AO57" s="435"/>
      <c r="AP57" s="435"/>
      <c r="AQ57" s="435"/>
    </row>
    <row r="58" spans="1:43" ht="20.25">
      <c r="A58" s="436"/>
      <c r="B58" s="435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435"/>
      <c r="N58" s="435"/>
      <c r="O58" s="435"/>
      <c r="P58" s="435"/>
      <c r="Q58" s="435"/>
      <c r="R58" s="435"/>
      <c r="S58" s="435"/>
      <c r="T58" s="435"/>
      <c r="U58" s="435"/>
      <c r="V58" s="435"/>
      <c r="W58" s="435"/>
      <c r="X58" s="435"/>
      <c r="Y58" s="435"/>
      <c r="Z58" s="435"/>
      <c r="AA58" s="435"/>
      <c r="AB58" s="435"/>
      <c r="AC58" s="436"/>
      <c r="AD58" s="435"/>
      <c r="AE58" s="435"/>
      <c r="AF58" s="435"/>
      <c r="AG58" s="435"/>
      <c r="AH58" s="435"/>
      <c r="AI58" s="435"/>
      <c r="AJ58" s="435"/>
      <c r="AK58" s="435"/>
      <c r="AL58" s="436"/>
      <c r="AM58" s="435"/>
      <c r="AN58" s="435"/>
      <c r="AO58" s="435"/>
      <c r="AP58" s="435"/>
      <c r="AQ58" s="435"/>
    </row>
    <row r="59" spans="1:43" ht="20.25">
      <c r="A59" s="436"/>
      <c r="B59" s="435"/>
      <c r="C59" s="435"/>
      <c r="D59" s="435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5"/>
      <c r="W59" s="435"/>
      <c r="X59" s="435"/>
      <c r="Y59" s="435"/>
      <c r="Z59" s="435"/>
      <c r="AA59" s="435"/>
      <c r="AB59" s="435"/>
      <c r="AC59" s="436"/>
      <c r="AD59" s="435"/>
      <c r="AE59" s="435"/>
      <c r="AF59" s="435"/>
      <c r="AG59" s="435"/>
      <c r="AH59" s="435"/>
      <c r="AI59" s="435"/>
      <c r="AJ59" s="435"/>
      <c r="AK59" s="435"/>
      <c r="AL59" s="436"/>
      <c r="AM59" s="435"/>
      <c r="AN59" s="435"/>
      <c r="AO59" s="435"/>
      <c r="AP59" s="435"/>
      <c r="AQ59" s="435"/>
    </row>
    <row r="60" spans="1:43" ht="20.25">
      <c r="A60" s="436"/>
      <c r="B60" s="435"/>
      <c r="C60" s="435"/>
      <c r="D60" s="435"/>
      <c r="E60" s="435"/>
      <c r="F60" s="435"/>
      <c r="G60" s="435"/>
      <c r="H60" s="435"/>
      <c r="I60" s="435"/>
      <c r="J60" s="435"/>
      <c r="K60" s="435"/>
      <c r="L60" s="435"/>
      <c r="M60" s="435"/>
      <c r="N60" s="435"/>
      <c r="O60" s="435"/>
      <c r="P60" s="435"/>
      <c r="Q60" s="435"/>
      <c r="R60" s="435"/>
      <c r="S60" s="435"/>
      <c r="T60" s="435"/>
      <c r="U60" s="435"/>
      <c r="V60" s="435"/>
      <c r="W60" s="435"/>
      <c r="X60" s="435"/>
      <c r="Y60" s="435"/>
      <c r="Z60" s="435"/>
      <c r="AA60" s="435"/>
      <c r="AB60" s="435"/>
      <c r="AC60" s="436"/>
      <c r="AD60" s="435"/>
      <c r="AE60" s="435"/>
      <c r="AF60" s="435"/>
      <c r="AG60" s="435"/>
      <c r="AH60" s="435"/>
      <c r="AI60" s="435"/>
      <c r="AJ60" s="435"/>
      <c r="AK60" s="435"/>
      <c r="AL60" s="436"/>
      <c r="AM60" s="435"/>
      <c r="AN60" s="435"/>
      <c r="AO60" s="435"/>
      <c r="AP60" s="435"/>
      <c r="AQ60" s="435"/>
    </row>
    <row r="61" spans="1:43" ht="20.25">
      <c r="A61" s="436"/>
      <c r="B61" s="435"/>
      <c r="C61" s="435"/>
      <c r="D61" s="435"/>
      <c r="E61" s="435"/>
      <c r="F61" s="435"/>
      <c r="G61" s="435"/>
      <c r="H61" s="435"/>
      <c r="I61" s="435"/>
      <c r="J61" s="435"/>
      <c r="K61" s="435"/>
      <c r="L61" s="435"/>
      <c r="M61" s="435"/>
      <c r="N61" s="435"/>
      <c r="O61" s="435"/>
      <c r="P61" s="435"/>
      <c r="Q61" s="435"/>
      <c r="R61" s="435"/>
      <c r="S61" s="435"/>
      <c r="T61" s="435"/>
      <c r="U61" s="435"/>
      <c r="V61" s="435"/>
      <c r="W61" s="435"/>
      <c r="X61" s="435"/>
      <c r="Y61" s="435"/>
      <c r="Z61" s="435"/>
      <c r="AA61" s="435"/>
      <c r="AB61" s="435"/>
      <c r="AC61" s="436"/>
      <c r="AD61" s="435"/>
      <c r="AE61" s="435"/>
      <c r="AF61" s="435"/>
      <c r="AG61" s="435"/>
      <c r="AH61" s="435"/>
      <c r="AI61" s="435"/>
      <c r="AJ61" s="435"/>
      <c r="AK61" s="435"/>
      <c r="AL61" s="436"/>
      <c r="AM61" s="435"/>
      <c r="AN61" s="435"/>
      <c r="AO61" s="435"/>
      <c r="AP61" s="435"/>
      <c r="AQ61" s="435"/>
    </row>
    <row r="62" spans="1:43" ht="20.25">
      <c r="A62" s="436"/>
      <c r="B62" s="435"/>
      <c r="C62" s="435"/>
      <c r="D62" s="435"/>
      <c r="E62" s="435"/>
      <c r="F62" s="435"/>
      <c r="G62" s="435"/>
      <c r="H62" s="435"/>
      <c r="I62" s="435"/>
      <c r="J62" s="435"/>
      <c r="K62" s="435"/>
      <c r="L62" s="435"/>
      <c r="M62" s="435"/>
      <c r="N62" s="435"/>
      <c r="O62" s="435"/>
      <c r="P62" s="435"/>
      <c r="Q62" s="435"/>
      <c r="R62" s="435"/>
      <c r="S62" s="435"/>
      <c r="T62" s="435"/>
      <c r="U62" s="435"/>
      <c r="V62" s="435"/>
      <c r="W62" s="435"/>
      <c r="X62" s="435"/>
      <c r="Y62" s="435"/>
      <c r="Z62" s="435"/>
      <c r="AA62" s="435"/>
      <c r="AB62" s="435"/>
      <c r="AC62" s="436"/>
      <c r="AD62" s="435"/>
      <c r="AE62" s="435"/>
      <c r="AF62" s="435"/>
      <c r="AG62" s="435"/>
      <c r="AH62" s="435"/>
      <c r="AI62" s="435"/>
      <c r="AJ62" s="435"/>
      <c r="AK62" s="435"/>
      <c r="AL62" s="436"/>
      <c r="AM62" s="435"/>
      <c r="AN62" s="435"/>
      <c r="AO62" s="435"/>
      <c r="AP62" s="435"/>
      <c r="AQ62" s="435"/>
    </row>
    <row r="63" spans="1:43" ht="20.25">
      <c r="F63" s="435"/>
      <c r="G63" s="435"/>
      <c r="H63" s="435"/>
      <c r="I63" s="435"/>
      <c r="J63" s="435"/>
      <c r="K63" s="435"/>
      <c r="L63" s="435"/>
      <c r="M63" s="435"/>
      <c r="S63" s="435"/>
      <c r="T63" s="435"/>
      <c r="U63" s="435"/>
    </row>
    <row r="64" spans="1:43" ht="20.25">
      <c r="F64" s="435"/>
      <c r="G64" s="435"/>
      <c r="H64" s="435"/>
      <c r="I64" s="435"/>
      <c r="J64" s="435"/>
      <c r="K64" s="435"/>
      <c r="L64" s="435"/>
      <c r="M64" s="435"/>
      <c r="S64" s="435"/>
      <c r="T64" s="435"/>
      <c r="U64" s="435"/>
    </row>
  </sheetData>
  <mergeCells count="75">
    <mergeCell ref="AI44:AI47"/>
    <mergeCell ref="AJ41:AL41"/>
    <mergeCell ref="AD44:AD47"/>
    <mergeCell ref="AE44:AE47"/>
    <mergeCell ref="AF44:AF47"/>
    <mergeCell ref="AG44:AG47"/>
    <mergeCell ref="AH44:AH47"/>
    <mergeCell ref="W9:Z9"/>
    <mergeCell ref="C8:Z8"/>
    <mergeCell ref="C9:F9"/>
    <mergeCell ref="G9:J9"/>
    <mergeCell ref="K9:N9"/>
    <mergeCell ref="O9:R9"/>
    <mergeCell ref="S9:V9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J32:AL35"/>
    <mergeCell ref="C33:F33"/>
    <mergeCell ref="G33:J33"/>
    <mergeCell ref="K33:N33"/>
    <mergeCell ref="O33:R33"/>
    <mergeCell ref="S33:V33"/>
    <mergeCell ref="AC32:AC35"/>
    <mergeCell ref="AD32:AD35"/>
    <mergeCell ref="AE32:AE35"/>
    <mergeCell ref="W33:Z33"/>
    <mergeCell ref="C34:D34"/>
    <mergeCell ref="E34:F34"/>
    <mergeCell ref="G34:H34"/>
    <mergeCell ref="S34:T34"/>
    <mergeCell ref="AF32:AF35"/>
    <mergeCell ref="AG32:AG35"/>
    <mergeCell ref="AH32:AH35"/>
    <mergeCell ref="AI32:AI35"/>
    <mergeCell ref="AK37:AL37"/>
    <mergeCell ref="A38:B38"/>
    <mergeCell ref="AA38:AB38"/>
    <mergeCell ref="AK38:AL38"/>
    <mergeCell ref="U34:V34"/>
    <mergeCell ref="W34:X34"/>
    <mergeCell ref="Y34:Z34"/>
    <mergeCell ref="A35:B35"/>
    <mergeCell ref="AA35:AB35"/>
    <mergeCell ref="A36:B36"/>
    <mergeCell ref="AA36:AB36"/>
    <mergeCell ref="I34:J34"/>
    <mergeCell ref="K34:L34"/>
    <mergeCell ref="M34:N34"/>
    <mergeCell ref="O34:P34"/>
    <mergeCell ref="Q34:R34"/>
    <mergeCell ref="C32:Z32"/>
    <mergeCell ref="A41:B41"/>
    <mergeCell ref="AA41:AB41"/>
    <mergeCell ref="AK36:AL36"/>
    <mergeCell ref="A37:B37"/>
    <mergeCell ref="AA37:AB37"/>
    <mergeCell ref="A42:B42"/>
    <mergeCell ref="AA42:AB42"/>
    <mergeCell ref="AK42:AL42"/>
    <mergeCell ref="A39:B39"/>
    <mergeCell ref="AA39:AB39"/>
    <mergeCell ref="AK39:AL39"/>
    <mergeCell ref="A40:B40"/>
    <mergeCell ref="AA40:AB40"/>
    <mergeCell ref="AK40:AL40"/>
  </mergeCells>
  <pageMargins left="0.39370078740157483" right="0.39370078740157483" top="0.39370078740157483" bottom="0.39370078740157483" header="0.59055118110236227" footer="0.59055118110236227"/>
  <pageSetup paperSize="9" scale="43" fitToWidth="0" fitToHeight="0" pageOrder="overThenDown" orientation="landscape" useFirstPageNumber="1" r:id="rId1"/>
  <headerFooter alignWithMargins="0"/>
  <rowBreaks count="1" manualBreakCount="1">
    <brk id="24" max="16383" man="1"/>
  </rowBreaks>
  <colBreaks count="2" manualBreakCount="2">
    <brk id="26" min="24" max="53" man="1"/>
    <brk id="26" max="22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tabColor theme="1"/>
    <pageSetUpPr fitToPage="1"/>
  </sheetPr>
  <dimension ref="A1:O32"/>
  <sheetViews>
    <sheetView tabSelected="1" zoomScale="85" zoomScaleNormal="85" workbookViewId="0">
      <pane xSplit="2" ySplit="4" topLeftCell="C5" activePane="bottomRight" state="frozen"/>
      <selection pane="topRight" activeCell="B1" sqref="B1"/>
      <selection pane="bottomLeft" activeCell="A5" sqref="A5"/>
      <selection pane="bottomRight" activeCell="Q21" sqref="Q21"/>
    </sheetView>
  </sheetViews>
  <sheetFormatPr baseColWidth="10" defaultRowHeight="14.25"/>
  <cols>
    <col min="1" max="1" width="4" style="8" customWidth="1"/>
    <col min="2" max="2" width="60.5" style="8" bestFit="1" customWidth="1"/>
    <col min="3" max="4" width="9" style="2" customWidth="1"/>
    <col min="5" max="5" width="10" style="195" customWidth="1"/>
    <col min="6" max="6" width="7.875" style="2" bestFit="1" customWidth="1"/>
    <col min="7" max="7" width="12.375" style="2" customWidth="1"/>
    <col min="8" max="8" width="9.5" style="2" customWidth="1"/>
    <col min="9" max="9" width="10" style="195" customWidth="1"/>
    <col min="10" max="10" width="9.5" style="2" customWidth="1"/>
    <col min="11" max="11" width="11" style="195"/>
    <col min="12" max="12" width="9.5" style="2" customWidth="1"/>
    <col min="13" max="13" width="11" style="196"/>
    <col min="14" max="14" width="9.5" style="8" customWidth="1"/>
    <col min="15" max="15" width="11" style="196"/>
    <col min="16" max="16384" width="11" style="8"/>
  </cols>
  <sheetData>
    <row r="1" spans="1:15" ht="20.25">
      <c r="B1" s="192" t="s">
        <v>112</v>
      </c>
    </row>
    <row r="2" spans="1:15" ht="21" thickBot="1">
      <c r="B2" s="192"/>
    </row>
    <row r="3" spans="1:15" s="193" customFormat="1" ht="21" customHeight="1" thickTop="1">
      <c r="A3" s="193" t="s">
        <v>146</v>
      </c>
      <c r="B3" s="1113" t="s">
        <v>114</v>
      </c>
      <c r="C3" s="1106" t="s">
        <v>95</v>
      </c>
      <c r="D3" s="1107"/>
      <c r="E3" s="1114" t="s">
        <v>104</v>
      </c>
      <c r="F3" s="1104" t="s">
        <v>105</v>
      </c>
      <c r="G3" s="1107"/>
      <c r="H3" s="1109" t="s">
        <v>108</v>
      </c>
      <c r="I3" s="1110"/>
      <c r="J3" s="1104" t="s">
        <v>109</v>
      </c>
      <c r="K3" s="1107"/>
      <c r="L3" s="1104" t="s">
        <v>110</v>
      </c>
      <c r="M3" s="1107"/>
      <c r="N3" s="1104" t="s">
        <v>111</v>
      </c>
      <c r="O3" s="1105"/>
    </row>
    <row r="4" spans="1:15" s="193" customFormat="1" ht="18.75" customHeight="1" thickBot="1">
      <c r="A4" s="193" t="s">
        <v>146</v>
      </c>
      <c r="B4" s="1115" t="s">
        <v>92</v>
      </c>
      <c r="C4" s="211" t="s">
        <v>96</v>
      </c>
      <c r="D4" s="212" t="s">
        <v>97</v>
      </c>
      <c r="E4" s="1116"/>
      <c r="F4" s="213" t="s">
        <v>106</v>
      </c>
      <c r="G4" s="212" t="s">
        <v>6</v>
      </c>
      <c r="H4" s="214" t="s">
        <v>107</v>
      </c>
      <c r="I4" s="215" t="s">
        <v>106</v>
      </c>
      <c r="J4" s="214" t="s">
        <v>107</v>
      </c>
      <c r="K4" s="215" t="s">
        <v>106</v>
      </c>
      <c r="L4" s="214" t="s">
        <v>107</v>
      </c>
      <c r="M4" s="215" t="s">
        <v>106</v>
      </c>
      <c r="N4" s="214" t="s">
        <v>107</v>
      </c>
      <c r="O4" s="216" t="s">
        <v>106</v>
      </c>
    </row>
    <row r="5" spans="1:15" ht="18.75" customHeight="1" thickTop="1">
      <c r="A5" s="8" t="s">
        <v>146</v>
      </c>
      <c r="B5" s="217" t="str">
        <f>'ETR_D2 (ex-PN93)'!B1</f>
        <v>ETREMBIERES_D2 route de la Libération / D906a (ex-PN93)</v>
      </c>
      <c r="C5" s="199" t="s">
        <v>102</v>
      </c>
      <c r="D5" s="200" t="s">
        <v>98</v>
      </c>
      <c r="E5" s="198">
        <f>IF('ETR_D2 (ex-PN93)'!$U65=0,"",'ETR_D2 (ex-PN93)'!$U65)</f>
        <v>50</v>
      </c>
      <c r="F5" s="203">
        <f>IF('ETR_D2 (ex-PN93)'!$U66=0,"",'ETR_D2 (ex-PN93)'!$U66)</f>
        <v>37</v>
      </c>
      <c r="G5" s="200" t="str">
        <f>'ETR_D2 (ex-PN93)'!S66</f>
        <v>de 7:00 à 8:00</v>
      </c>
      <c r="H5" s="205">
        <f>'ETR_D2 (ex-PN93)'!V65</f>
        <v>0.68</v>
      </c>
      <c r="I5" s="206">
        <f t="shared" ref="I5:I9" si="0">IF($E5="","",$E5*H5)</f>
        <v>34</v>
      </c>
      <c r="J5" s="205">
        <f>'ETR_D2 (ex-PN93)'!W65</f>
        <v>0.22</v>
      </c>
      <c r="K5" s="206">
        <f>IF($E5="","",$E5*J5)</f>
        <v>11</v>
      </c>
      <c r="L5" s="205">
        <f>'ETR_D2 (ex-PN93)'!X65</f>
        <v>0.81818181818181823</v>
      </c>
      <c r="M5" s="206">
        <f>IF($K5="","",$K5*L5)</f>
        <v>9</v>
      </c>
      <c r="N5" s="205">
        <f>'ETR_D2 (ex-PN93)'!Y65</f>
        <v>0.86</v>
      </c>
      <c r="O5" s="209">
        <f>IF($E5="","-",$E5*N5)</f>
        <v>43</v>
      </c>
    </row>
    <row r="6" spans="1:15" ht="18.75" customHeight="1">
      <c r="A6" s="8" t="s">
        <v>146</v>
      </c>
      <c r="B6" s="218" t="str">
        <f>ETR_Château!B1</f>
        <v>ETREMBIERES_Rte de St-Julien / Rte du Salève (sous château)</v>
      </c>
      <c r="C6" s="201" t="s">
        <v>102</v>
      </c>
      <c r="D6" s="202" t="s">
        <v>99</v>
      </c>
      <c r="E6" s="197">
        <f>IF(ETR_Château!$AC41=0,"",ETR_Château!$AC41)</f>
        <v>26</v>
      </c>
      <c r="F6" s="204">
        <f>IF(ETR_Château!$AC42=0,"",ETR_Château!$AC42)</f>
        <v>17</v>
      </c>
      <c r="G6" s="202" t="str">
        <f>ETR_Château!AA42</f>
        <v>de 7:00 à 8:00</v>
      </c>
      <c r="H6" s="207">
        <f>ETR_Château!AD41</f>
        <v>0.42307692307692307</v>
      </c>
      <c r="I6" s="208">
        <f t="shared" si="0"/>
        <v>11</v>
      </c>
      <c r="J6" s="207">
        <f>ETR_Château!AE41</f>
        <v>0.23076923076923078</v>
      </c>
      <c r="K6" s="208">
        <f t="shared" ref="K6:K15" si="1">IF($E6="","",$E6*J6)</f>
        <v>6</v>
      </c>
      <c r="L6" s="207">
        <f>ETR_Château!AF41</f>
        <v>0.66666666666666663</v>
      </c>
      <c r="M6" s="208">
        <f t="shared" ref="M6:M15" si="2">IF($K6="","",$K6*L6)</f>
        <v>4</v>
      </c>
      <c r="N6" s="207">
        <f>ETR_Château!AG41</f>
        <v>0.92307692307692313</v>
      </c>
      <c r="O6" s="210">
        <f t="shared" ref="O6:O15" si="3">IF($E6="","-",$E6*N6)</f>
        <v>24</v>
      </c>
    </row>
    <row r="7" spans="1:15" ht="18.75" hidden="1" customHeight="1">
      <c r="B7" s="219" t="str">
        <f>SCI_Bellecombe!B1</f>
        <v>SCIENTRIER_Carrefour vers la Tour de Bellecombe</v>
      </c>
      <c r="C7" s="236" t="s">
        <v>102</v>
      </c>
      <c r="D7" s="237" t="s">
        <v>99</v>
      </c>
      <c r="E7" s="238" t="str">
        <f>IF(SCI_Bellecombe!$AC41=0,"",SCI_Bellecombe!$AC41)</f>
        <v/>
      </c>
      <c r="F7" s="239" t="str">
        <f>IF(SCI_Bellecombe!$AC42=0,"",SCI_Bellecombe!$AC42)</f>
        <v/>
      </c>
      <c r="G7" s="237" t="str">
        <f>SCI_Bellecombe!AA42</f>
        <v>de 6:30 à 7:30</v>
      </c>
      <c r="H7" s="240">
        <f>SCI_Bellecombe!AD41</f>
        <v>0</v>
      </c>
      <c r="I7" s="241" t="str">
        <f t="shared" si="0"/>
        <v/>
      </c>
      <c r="J7" s="240">
        <f>SCI_Bellecombe!AE41</f>
        <v>0</v>
      </c>
      <c r="K7" s="241" t="str">
        <f t="shared" si="1"/>
        <v/>
      </c>
      <c r="L7" s="240">
        <f>SCI_Bellecombe!AF41</f>
        <v>0</v>
      </c>
      <c r="M7" s="241" t="str">
        <f t="shared" si="2"/>
        <v/>
      </c>
      <c r="N7" s="240">
        <f>SCI_Bellecombe!AG41</f>
        <v>0</v>
      </c>
      <c r="O7" s="242" t="str">
        <f t="shared" si="3"/>
        <v>-</v>
      </c>
    </row>
    <row r="8" spans="1:15" ht="18.75" customHeight="1">
      <c r="A8" s="8" t="s">
        <v>146</v>
      </c>
      <c r="B8" s="218" t="str">
        <f>RE_Eglise!B1</f>
        <v>REIGNIER_Giratoire des Jonquilles (devant l'église)</v>
      </c>
      <c r="C8" s="201" t="s">
        <v>102</v>
      </c>
      <c r="D8" s="202" t="s">
        <v>99</v>
      </c>
      <c r="E8" s="197">
        <f>IF(RE_Eglise!$AC65=0,"",RE_Eglise!$AC65)</f>
        <v>29</v>
      </c>
      <c r="F8" s="204">
        <f>IF(RE_Eglise!$AC66=0,"",RE_Eglise!$AC66)</f>
        <v>16</v>
      </c>
      <c r="G8" s="202" t="str">
        <f>RE_Eglise!AA66</f>
        <v>de 7:30 à 8:30</v>
      </c>
      <c r="H8" s="207">
        <f>RE_Eglise!AD65</f>
        <v>0.37931034482758619</v>
      </c>
      <c r="I8" s="208">
        <f t="shared" si="0"/>
        <v>11</v>
      </c>
      <c r="J8" s="207">
        <f>RE_Eglise!AE65</f>
        <v>0.31034482758620691</v>
      </c>
      <c r="K8" s="208">
        <f t="shared" si="1"/>
        <v>9</v>
      </c>
      <c r="L8" s="207">
        <f>RE_Eglise!AF65</f>
        <v>0.55555555555555558</v>
      </c>
      <c r="M8" s="208">
        <f t="shared" si="2"/>
        <v>5</v>
      </c>
      <c r="N8" s="207">
        <f>RE_Eglise!AG65</f>
        <v>0.37931034482758619</v>
      </c>
      <c r="O8" s="210">
        <f t="shared" si="3"/>
        <v>11</v>
      </c>
    </row>
    <row r="9" spans="1:15" ht="18.75" customHeight="1">
      <c r="A9" s="8" t="s">
        <v>146</v>
      </c>
      <c r="B9" s="218" t="str">
        <f>RE_Foron!B1</f>
        <v>REIGNIER BAS_Giratoire D2 / D202 (vers le Foron)</v>
      </c>
      <c r="C9" s="201" t="s">
        <v>102</v>
      </c>
      <c r="D9" s="202" t="s">
        <v>99</v>
      </c>
      <c r="E9" s="197">
        <f>IF(RE_Foron!$AC41=0,"",RE_Foron!$AC41)</f>
        <v>18</v>
      </c>
      <c r="F9" s="204">
        <f>IF(RE_Foron!$AC42=0,"",RE_Foron!$AC42)</f>
        <v>9</v>
      </c>
      <c r="G9" s="202" t="str">
        <f>RE_Foron!AA42</f>
        <v>de 6:30 à 7:30</v>
      </c>
      <c r="H9" s="207">
        <f>RE_Foron!AD41</f>
        <v>0.33333333333333331</v>
      </c>
      <c r="I9" s="208">
        <f t="shared" si="0"/>
        <v>6</v>
      </c>
      <c r="J9" s="207">
        <f>RE_Foron!AE41</f>
        <v>0.16666666666666666</v>
      </c>
      <c r="K9" s="208">
        <f t="shared" si="1"/>
        <v>3</v>
      </c>
      <c r="L9" s="207">
        <f>RE_Foron!AF41</f>
        <v>1</v>
      </c>
      <c r="M9" s="208">
        <f t="shared" si="2"/>
        <v>3</v>
      </c>
      <c r="N9" s="207">
        <f>RE_Foron!AG41</f>
        <v>0.72222222222222221</v>
      </c>
      <c r="O9" s="210">
        <f t="shared" si="3"/>
        <v>13</v>
      </c>
    </row>
    <row r="10" spans="1:15" ht="18.75" hidden="1" customHeight="1">
      <c r="B10" s="219" t="str">
        <f>'RE_La Forge (gir.)'!B1</f>
        <v>REIGNIER_Giratoire de la Forge (en-dessous du Fil des Saisons)</v>
      </c>
      <c r="C10" s="236" t="s">
        <v>102</v>
      </c>
      <c r="D10" s="237" t="s">
        <v>100</v>
      </c>
      <c r="E10" s="238" t="str">
        <f>IF('RE_La Forge (gir.)'!$AC41=0,"",'RE_La Forge (gir.)'!$AC41)</f>
        <v/>
      </c>
      <c r="F10" s="239" t="str">
        <f>IF('RE_La Forge (gir.)'!$AC42=0,"",'RE_La Forge (gir.)'!$AC42)</f>
        <v/>
      </c>
      <c r="G10" s="237" t="str">
        <f>'RE_La Forge (gir.)'!AA42</f>
        <v>de 6:30 à 7:30</v>
      </c>
      <c r="H10" s="240">
        <f>'RE_La Forge (gir.)'!AD41</f>
        <v>0</v>
      </c>
      <c r="I10" s="241" t="str">
        <f>IF($E10="","",$E10*H10)</f>
        <v/>
      </c>
      <c r="J10" s="240">
        <f>'RE_La Forge (gir.)'!AE41</f>
        <v>0</v>
      </c>
      <c r="K10" s="241" t="str">
        <f t="shared" si="1"/>
        <v/>
      </c>
      <c r="L10" s="240">
        <f>'RE_La Forge (gir.)'!AF41</f>
        <v>0</v>
      </c>
      <c r="M10" s="241" t="str">
        <f t="shared" si="2"/>
        <v/>
      </c>
      <c r="N10" s="240">
        <f>'RE_La Forge (gir.)'!AG41</f>
        <v>0</v>
      </c>
      <c r="O10" s="242" t="str">
        <f t="shared" si="3"/>
        <v>-</v>
      </c>
    </row>
    <row r="11" spans="1:15" ht="18.75" customHeight="1">
      <c r="A11" s="8" t="s">
        <v>146</v>
      </c>
      <c r="B11" s="218" t="str">
        <f>PJ_Casino!B1</f>
        <v>PERS-JUSSY_Giratoire de Casino</v>
      </c>
      <c r="C11" s="201" t="s">
        <v>102</v>
      </c>
      <c r="D11" s="202" t="s">
        <v>101</v>
      </c>
      <c r="E11" s="197">
        <f>IF(PJ_Casino!$AC65=0,"",PJ_Casino!$AC65)</f>
        <v>14</v>
      </c>
      <c r="F11" s="204">
        <f>IF(PJ_Casino!$AC66=0,"",PJ_Casino!$AC66)</f>
        <v>10</v>
      </c>
      <c r="G11" s="202" t="str">
        <f>PJ_Casino!AA66</f>
        <v>de 7:00 à 8:00</v>
      </c>
      <c r="H11" s="207">
        <f>PJ_Casino!AD65</f>
        <v>0.2857142857142857</v>
      </c>
      <c r="I11" s="208">
        <f t="shared" ref="I11:I15" si="4">IF($E11="","",$E11*H11)</f>
        <v>4</v>
      </c>
      <c r="J11" s="207">
        <f>PJ_Casino!AE65</f>
        <v>0.21428571428571427</v>
      </c>
      <c r="K11" s="208">
        <f t="shared" si="1"/>
        <v>3</v>
      </c>
      <c r="L11" s="207">
        <f>PJ_Casino!AF65</f>
        <v>0.66666666666666663</v>
      </c>
      <c r="M11" s="208">
        <f t="shared" si="2"/>
        <v>2</v>
      </c>
      <c r="N11" s="207">
        <f>PJ_Casino!AG65</f>
        <v>0.9285714285714286</v>
      </c>
      <c r="O11" s="210">
        <f t="shared" si="3"/>
        <v>13</v>
      </c>
    </row>
    <row r="12" spans="1:15" ht="18.75" hidden="1" customHeight="1">
      <c r="B12" s="219" t="str">
        <f>RE_Gare!B1</f>
        <v>REIGNIER_Carrefour Rue de la Gare / Rte de Bellecombe (vers Tour d'Ivoire)</v>
      </c>
      <c r="C12" s="236" t="s">
        <v>102</v>
      </c>
      <c r="D12" s="237" t="s">
        <v>99</v>
      </c>
      <c r="E12" s="238" t="str">
        <f>IF(RE_Gare!$AC41=0,"",RE_Gare!$AC41)</f>
        <v/>
      </c>
      <c r="F12" s="239" t="str">
        <f>IF(RE_Gare!$AC42=0,"",RE_Gare!$AC42)</f>
        <v/>
      </c>
      <c r="G12" s="237" t="str">
        <f>RE_Gare!AA42</f>
        <v>de 6:30 à 7:30</v>
      </c>
      <c r="H12" s="240">
        <f>RE_Gare!AD41</f>
        <v>0</v>
      </c>
      <c r="I12" s="241" t="str">
        <f t="shared" si="4"/>
        <v/>
      </c>
      <c r="J12" s="240"/>
      <c r="K12" s="241" t="str">
        <f t="shared" si="1"/>
        <v/>
      </c>
      <c r="L12" s="240"/>
      <c r="M12" s="241" t="str">
        <f t="shared" si="2"/>
        <v/>
      </c>
      <c r="N12" s="240"/>
      <c r="O12" s="242" t="str">
        <f t="shared" si="3"/>
        <v>-</v>
      </c>
    </row>
    <row r="13" spans="1:15" ht="18.75" hidden="1" customHeight="1">
      <c r="B13" s="219" t="str">
        <f>'RE_ex-gendarmerie'!B1</f>
        <v>REIGNIER_Giratoire de l'ancienne gendarmerie</v>
      </c>
      <c r="C13" s="236" t="s">
        <v>102</v>
      </c>
      <c r="D13" s="237" t="s">
        <v>99</v>
      </c>
      <c r="E13" s="238" t="str">
        <f>IF('RE_ex-gendarmerie'!$AC65=0,"",'RE_ex-gendarmerie'!$AC65)</f>
        <v/>
      </c>
      <c r="F13" s="239" t="str">
        <f>IF('RE_ex-gendarmerie'!$AC66=0,"",'RE_ex-gendarmerie'!$AC66)</f>
        <v/>
      </c>
      <c r="G13" s="237" t="str">
        <f>'RE_ex-gendarmerie'!AA66</f>
        <v>de 6:30 à 7:30</v>
      </c>
      <c r="H13" s="240">
        <f>'RE_ex-gendarmerie'!AD65</f>
        <v>0</v>
      </c>
      <c r="I13" s="241" t="str">
        <f t="shared" si="4"/>
        <v/>
      </c>
      <c r="J13" s="240"/>
      <c r="K13" s="241" t="str">
        <f t="shared" si="1"/>
        <v/>
      </c>
      <c r="L13" s="240"/>
      <c r="M13" s="241" t="str">
        <f t="shared" si="2"/>
        <v/>
      </c>
      <c r="N13" s="240"/>
      <c r="O13" s="242" t="str">
        <f t="shared" si="3"/>
        <v>-</v>
      </c>
    </row>
    <row r="14" spans="1:15" s="169" customFormat="1" ht="18.75" customHeight="1" thickBot="1">
      <c r="A14" s="1117" t="s">
        <v>146</v>
      </c>
      <c r="B14" s="766" t="str">
        <f>'RE_Fil Saisons'!B1</f>
        <v>REIGNIER_Carrefour Marsinge / Viaison (au-dessus du Fil des Saisons)</v>
      </c>
      <c r="C14" s="767" t="s">
        <v>102</v>
      </c>
      <c r="D14" s="768" t="s">
        <v>99</v>
      </c>
      <c r="E14" s="769">
        <f>IF('RE_Fil Saisons'!$AC41=0,"",'RE_Fil Saisons'!$AC41)</f>
        <v>11</v>
      </c>
      <c r="F14" s="770">
        <f>IF('RE_Fil Saisons'!$AC42=0,"",'RE_Fil Saisons'!$AC42)</f>
        <v>7</v>
      </c>
      <c r="G14" s="768" t="str">
        <f>'RE_Fil Saisons'!AA42</f>
        <v>de 6:30 à 7:30</v>
      </c>
      <c r="H14" s="771">
        <f>'RE_Fil Saisons'!AD41</f>
        <v>0.63636363636363635</v>
      </c>
      <c r="I14" s="772">
        <f t="shared" si="4"/>
        <v>7</v>
      </c>
      <c r="J14" s="771">
        <f>'RE_Fil Saisons'!AE41</f>
        <v>9.0909090909090912E-2</v>
      </c>
      <c r="K14" s="772">
        <f t="shared" si="1"/>
        <v>1</v>
      </c>
      <c r="L14" s="771">
        <f>'RE_Fil Saisons'!AF41</f>
        <v>1</v>
      </c>
      <c r="M14" s="772">
        <f t="shared" si="2"/>
        <v>1</v>
      </c>
      <c r="N14" s="771">
        <f>'RE_Fil Saisons'!AG41</f>
        <v>1</v>
      </c>
      <c r="O14" s="773">
        <f t="shared" si="3"/>
        <v>11</v>
      </c>
    </row>
    <row r="15" spans="1:15" ht="18.75" hidden="1" customHeight="1" thickBot="1">
      <c r="B15" s="760" t="str">
        <f>'ART_Lavage auto'!B1</f>
        <v>ARTHAZ_Route de Reignier D202 / Route Nationale D1205</v>
      </c>
      <c r="C15" s="761" t="s">
        <v>102</v>
      </c>
      <c r="D15" s="762" t="s">
        <v>99</v>
      </c>
      <c r="E15" s="763" t="str">
        <f>IF('ART_Lavage auto'!$AC65=0,"",'ART_Lavage auto'!$AC65)</f>
        <v/>
      </c>
      <c r="F15" s="764" t="str">
        <f>IF('ART_Lavage auto'!$AC66=0,"",'ART_Lavage auto'!$AC66)</f>
        <v/>
      </c>
      <c r="G15" s="762" t="str">
        <f>'ART_Lavage auto'!AA66</f>
        <v>de 6:30 à 7:30</v>
      </c>
      <c r="H15" s="439">
        <f>'ART_Lavage auto'!AD65</f>
        <v>0</v>
      </c>
      <c r="I15" s="765" t="str">
        <f t="shared" si="4"/>
        <v/>
      </c>
      <c r="J15" s="439">
        <f>'ART_Lavage auto'!AE65</f>
        <v>0</v>
      </c>
      <c r="K15" s="765" t="str">
        <f t="shared" si="1"/>
        <v/>
      </c>
      <c r="L15" s="439">
        <f>'ART_Lavage auto'!AF65</f>
        <v>0</v>
      </c>
      <c r="M15" s="765" t="str">
        <f t="shared" si="2"/>
        <v/>
      </c>
      <c r="N15" s="439">
        <f>'ART_Lavage auto'!AG65</f>
        <v>0</v>
      </c>
      <c r="O15" s="440" t="str">
        <f t="shared" si="3"/>
        <v>-</v>
      </c>
    </row>
    <row r="16" spans="1:15" s="193" customFormat="1" ht="18.75" customHeight="1" thickTop="1" thickBot="1">
      <c r="A16" s="193" t="s">
        <v>146</v>
      </c>
      <c r="B16" s="227" t="s">
        <v>12</v>
      </c>
      <c r="C16" s="228"/>
      <c r="D16" s="229"/>
      <c r="E16" s="231">
        <f>SUM(E5:E15)</f>
        <v>148</v>
      </c>
      <c r="F16" s="231">
        <f>SUM(F5:F15)</f>
        <v>96</v>
      </c>
      <c r="G16" s="229" t="str">
        <f>G5</f>
        <v>de 7:00 à 8:00</v>
      </c>
      <c r="H16" s="232">
        <f>I16/$E16</f>
        <v>0.49324324324324326</v>
      </c>
      <c r="I16" s="233">
        <f>SUM(I5:I15)</f>
        <v>73</v>
      </c>
      <c r="J16" s="232">
        <f>K16/$E16</f>
        <v>0.22297297297297297</v>
      </c>
      <c r="K16" s="233">
        <f>SUM(K5:K15)</f>
        <v>33</v>
      </c>
      <c r="L16" s="232">
        <f>M16/$E16</f>
        <v>0.16216216216216217</v>
      </c>
      <c r="M16" s="233">
        <f>SUM(M5:M15)</f>
        <v>24</v>
      </c>
      <c r="N16" s="232">
        <f>O16/$E16</f>
        <v>0.77702702702702697</v>
      </c>
      <c r="O16" s="234">
        <f>SUM(O5:O15)</f>
        <v>115</v>
      </c>
    </row>
    <row r="17" spans="1:15" s="193" customFormat="1" ht="18.75" customHeight="1" thickTop="1" thickBot="1">
      <c r="A17" s="193" t="s">
        <v>146</v>
      </c>
      <c r="B17" s="227" t="s">
        <v>139</v>
      </c>
      <c r="C17" s="228"/>
      <c r="D17" s="229"/>
      <c r="E17" s="231">
        <f>[1]SYNTHESE!D13</f>
        <v>153</v>
      </c>
      <c r="F17" s="230">
        <f>[1]SYNTHESE!E13</f>
        <v>90</v>
      </c>
      <c r="G17" s="229" t="str">
        <f>[1]SYNTHESE!F13</f>
        <v>de 7:00 à 8:00</v>
      </c>
      <c r="H17" s="232">
        <f>[1]SYNTHESE!G13</f>
        <v>0.29411764705882354</v>
      </c>
      <c r="I17" s="233">
        <f>[1]SYNTHESE!H13</f>
        <v>45</v>
      </c>
      <c r="J17" s="232">
        <f>[1]SYNTHESE!I13</f>
        <v>0.12418300653594772</v>
      </c>
      <c r="K17" s="233">
        <f>[1]SYNTHESE!J13</f>
        <v>19</v>
      </c>
      <c r="L17" s="232">
        <f>[1]SYNTHESE!K13</f>
        <v>8.4967320261437912E-2</v>
      </c>
      <c r="M17" s="233">
        <f>[1]SYNTHESE!L13</f>
        <v>13</v>
      </c>
      <c r="N17" s="232">
        <f>[1]SYNTHESE!M13</f>
        <v>0.73202614379084963</v>
      </c>
      <c r="O17" s="234">
        <f>[1]SYNTHESE!N13</f>
        <v>112</v>
      </c>
    </row>
    <row r="18" spans="1:15" s="193" customFormat="1" ht="18.75" customHeight="1" thickTop="1" thickBot="1">
      <c r="A18" s="193" t="s">
        <v>146</v>
      </c>
      <c r="B18" s="227" t="s">
        <v>140</v>
      </c>
      <c r="C18" s="228"/>
      <c r="D18" s="229"/>
      <c r="E18" s="231">
        <f>E16-E17</f>
        <v>-5</v>
      </c>
      <c r="F18" s="230">
        <f t="shared" ref="F18:O18" si="5">F16-F17</f>
        <v>6</v>
      </c>
      <c r="G18" s="229"/>
      <c r="H18" s="232">
        <f t="shared" si="5"/>
        <v>0.19912559618441972</v>
      </c>
      <c r="I18" s="233">
        <f t="shared" si="5"/>
        <v>28</v>
      </c>
      <c r="J18" s="232">
        <f t="shared" si="5"/>
        <v>9.8789966437025256E-2</v>
      </c>
      <c r="K18" s="233">
        <f t="shared" si="5"/>
        <v>14</v>
      </c>
      <c r="L18" s="232">
        <f t="shared" si="5"/>
        <v>7.7194841900724259E-2</v>
      </c>
      <c r="M18" s="233">
        <f t="shared" si="5"/>
        <v>11</v>
      </c>
      <c r="N18" s="232">
        <f t="shared" si="5"/>
        <v>4.5000883236177347E-2</v>
      </c>
      <c r="O18" s="234">
        <f t="shared" si="5"/>
        <v>3</v>
      </c>
    </row>
    <row r="19" spans="1:15" s="193" customFormat="1" ht="18.75" customHeight="1" thickTop="1" thickBot="1">
      <c r="A19" s="193" t="s">
        <v>146</v>
      </c>
      <c r="B19" s="227"/>
      <c r="C19" s="228"/>
      <c r="D19" s="229"/>
      <c r="E19" s="497">
        <f>E16/E17-1</f>
        <v>-3.2679738562091498E-2</v>
      </c>
      <c r="F19" s="232">
        <f>F16/F17-1</f>
        <v>6.6666666666666652E-2</v>
      </c>
      <c r="G19" s="498"/>
      <c r="H19" s="232"/>
      <c r="I19" s="498">
        <f>I16/I17-1</f>
        <v>0.62222222222222223</v>
      </c>
      <c r="J19" s="232"/>
      <c r="K19" s="498">
        <f>K16/K17-1</f>
        <v>0.73684210526315796</v>
      </c>
      <c r="L19" s="232"/>
      <c r="M19" s="498">
        <f>M16/M17-1</f>
        <v>0.84615384615384626</v>
      </c>
      <c r="N19" s="232"/>
      <c r="O19" s="499"/>
    </row>
    <row r="20" spans="1:15" ht="18.75" customHeight="1" thickTop="1">
      <c r="A20" s="193" t="s">
        <v>146</v>
      </c>
      <c r="H20" s="194" t="s">
        <v>127</v>
      </c>
      <c r="I20" s="195">
        <f>I16-M16</f>
        <v>49</v>
      </c>
      <c r="J20" s="194" t="s">
        <v>126</v>
      </c>
      <c r="K20" s="195">
        <f>E16-K16</f>
        <v>115</v>
      </c>
      <c r="L20" s="8" t="s">
        <v>127</v>
      </c>
      <c r="M20" s="194">
        <f>I20/K20</f>
        <v>0.42608695652173911</v>
      </c>
      <c r="N20" s="194"/>
      <c r="O20" s="195"/>
    </row>
    <row r="21" spans="1:15" ht="18.75" customHeight="1">
      <c r="A21" s="193" t="s">
        <v>146</v>
      </c>
      <c r="H21" s="194"/>
      <c r="J21" s="194"/>
      <c r="L21" s="194"/>
      <c r="M21" s="195"/>
      <c r="N21" s="194"/>
      <c r="O21" s="195"/>
    </row>
    <row r="22" spans="1:15" s="169" customFormat="1" ht="18.75" customHeight="1">
      <c r="A22" s="193" t="s">
        <v>146</v>
      </c>
      <c r="B22" s="219" t="str">
        <f>B14</f>
        <v>REIGNIER_Carrefour Marsinge / Viaison (au-dessus du Fil des Saisons)</v>
      </c>
      <c r="C22" s="236" t="s">
        <v>102</v>
      </c>
      <c r="D22" s="237" t="s">
        <v>99</v>
      </c>
      <c r="E22" s="238">
        <f>'RE_Fil Saisons'!AC41</f>
        <v>11</v>
      </c>
      <c r="F22" s="239">
        <f>'RE_Fil Saisons'!AC42</f>
        <v>7</v>
      </c>
      <c r="G22" s="237" t="str">
        <f>'RE_Fil Saisons'!AA42</f>
        <v>de 6:30 à 7:30</v>
      </c>
      <c r="H22" s="240">
        <f>'RE_Fil Saisons'!AD41</f>
        <v>0.63636363636363635</v>
      </c>
      <c r="I22" s="241">
        <f>IF($E22=0,"-",$E22*H22)</f>
        <v>7</v>
      </c>
      <c r="J22" s="240">
        <f>'RE_Fil Saisons'!AE41</f>
        <v>9.0909090909090912E-2</v>
      </c>
      <c r="K22" s="241">
        <f>IF($E22=0,"-",$E22*J22)</f>
        <v>1</v>
      </c>
      <c r="L22" s="240">
        <f>'RE_Fil Saisons'!AF41</f>
        <v>1</v>
      </c>
      <c r="M22" s="241">
        <f>IF($E22=0,"-",$E22*L22)</f>
        <v>11</v>
      </c>
      <c r="N22" s="240">
        <f>'RE_Fil Saisons'!AG41</f>
        <v>1</v>
      </c>
      <c r="O22" s="242">
        <f>IF($E22=0,"-",$E22*N22)</f>
        <v>11</v>
      </c>
    </row>
    <row r="23" spans="1:15" ht="18.75" customHeight="1" thickBot="1">
      <c r="A23" s="193" t="s">
        <v>146</v>
      </c>
      <c r="H23" s="194"/>
      <c r="J23" s="194"/>
      <c r="L23" s="194"/>
      <c r="M23" s="195"/>
      <c r="N23" s="194"/>
      <c r="O23" s="195"/>
    </row>
    <row r="24" spans="1:15" s="193" customFormat="1" ht="21" customHeight="1" thickTop="1" thickBot="1">
      <c r="A24" s="193" t="s">
        <v>146</v>
      </c>
      <c r="B24" s="235" t="s">
        <v>113</v>
      </c>
      <c r="C24" s="1106" t="s">
        <v>95</v>
      </c>
      <c r="D24" s="1107"/>
      <c r="E24" s="1108" t="s">
        <v>104</v>
      </c>
      <c r="F24" s="1104" t="s">
        <v>105</v>
      </c>
      <c r="G24" s="1107"/>
      <c r="H24" s="1109" t="s">
        <v>108</v>
      </c>
      <c r="I24" s="1110"/>
      <c r="J24" s="1104" t="s">
        <v>109</v>
      </c>
      <c r="K24" s="1107"/>
      <c r="L24" s="1104" t="s">
        <v>110</v>
      </c>
      <c r="M24" s="1107"/>
      <c r="N24" s="1111" t="s">
        <v>111</v>
      </c>
      <c r="O24" s="1112"/>
    </row>
    <row r="25" spans="1:15" s="193" customFormat="1" ht="18.75" customHeight="1" thickTop="1" thickBot="1">
      <c r="A25" s="193" t="s">
        <v>146</v>
      </c>
      <c r="B25" s="227" t="s">
        <v>92</v>
      </c>
      <c r="C25" s="211" t="s">
        <v>96</v>
      </c>
      <c r="D25" s="212" t="s">
        <v>97</v>
      </c>
      <c r="E25" s="1108"/>
      <c r="F25" s="213" t="s">
        <v>106</v>
      </c>
      <c r="G25" s="212" t="s">
        <v>6</v>
      </c>
      <c r="H25" s="214" t="s">
        <v>107</v>
      </c>
      <c r="I25" s="215" t="s">
        <v>106</v>
      </c>
      <c r="J25" s="214" t="s">
        <v>107</v>
      </c>
      <c r="K25" s="215" t="s">
        <v>106</v>
      </c>
      <c r="L25" s="214" t="s">
        <v>107</v>
      </c>
      <c r="M25" s="215" t="s">
        <v>106</v>
      </c>
      <c r="N25" s="437" t="s">
        <v>107</v>
      </c>
      <c r="O25" s="438" t="s">
        <v>106</v>
      </c>
    </row>
    <row r="26" spans="1:15" ht="18.75" customHeight="1" thickTop="1" thickBot="1">
      <c r="A26" s="193" t="s">
        <v>146</v>
      </c>
      <c r="B26" s="220" t="str">
        <f>AM_Coriandre!B1</f>
        <v>AMANCY_Giratoire de la Coriandre</v>
      </c>
      <c r="C26" s="221" t="s">
        <v>103</v>
      </c>
      <c r="D26" s="222" t="s">
        <v>99</v>
      </c>
      <c r="E26" s="224">
        <f>AM_Coriandre!AC41</f>
        <v>0</v>
      </c>
      <c r="F26" s="223">
        <f>AM_Coriandre!AC42</f>
        <v>0</v>
      </c>
      <c r="G26" s="222" t="str">
        <f>AM_Coriandre!AA42</f>
        <v>de 6:30 à 7:30</v>
      </c>
      <c r="H26" s="225">
        <f>AM_Coriandre!AD41</f>
        <v>0</v>
      </c>
      <c r="I26" s="226" t="str">
        <f>IF($E26=0,"-",$E26*H26)</f>
        <v>-</v>
      </c>
      <c r="J26" s="225">
        <f>AM_Coriandre!AE41</f>
        <v>0</v>
      </c>
      <c r="K26" s="226" t="str">
        <f>IF($E26=0,"-",$E26*J26)</f>
        <v>-</v>
      </c>
      <c r="L26" s="225">
        <f>AM_Coriandre!AF41</f>
        <v>0</v>
      </c>
      <c r="M26" s="226" t="e">
        <f>IF($K26=0,"-",$K26*L26)</f>
        <v>#VALUE!</v>
      </c>
      <c r="N26" s="439">
        <f>AM_Coriandre!AG41</f>
        <v>0</v>
      </c>
      <c r="O26" s="440">
        <v>0</v>
      </c>
    </row>
    <row r="27" spans="1:15" s="193" customFormat="1" ht="18.75" customHeight="1" thickTop="1" thickBot="1">
      <c r="A27" s="193" t="s">
        <v>146</v>
      </c>
      <c r="B27" s="227" t="s">
        <v>12</v>
      </c>
      <c r="C27" s="228"/>
      <c r="D27" s="229"/>
      <c r="E27" s="231">
        <f>SUM(E7:E26)</f>
        <v>378.96732026143792</v>
      </c>
      <c r="F27" s="230">
        <f>SUM(F16:F26)</f>
        <v>199.06666666666666</v>
      </c>
      <c r="G27" s="229" t="str">
        <f>G26</f>
        <v>de 6:30 à 7:30</v>
      </c>
      <c r="H27" s="232">
        <f>I27/$E27</f>
        <v>0.60855437894518993</v>
      </c>
      <c r="I27" s="233">
        <f>SUM(I7:I26)</f>
        <v>230.62222222222223</v>
      </c>
      <c r="J27" s="232">
        <f>K27/$E27</f>
        <v>0.5244168335363607</v>
      </c>
      <c r="K27" s="233">
        <f>SUM(K7:K26)</f>
        <v>198.73684210526318</v>
      </c>
      <c r="L27" s="232" t="e">
        <f>M27/$E27</f>
        <v>#VALUE!</v>
      </c>
      <c r="M27" s="233" t="e">
        <f>SUM(M7:M26)</f>
        <v>#VALUE!</v>
      </c>
      <c r="N27" s="441">
        <f>O27/$E27</f>
        <v>0.76259873753923624</v>
      </c>
      <c r="O27" s="442">
        <f>SUM(O7:O26)</f>
        <v>289</v>
      </c>
    </row>
    <row r="28" spans="1:15" ht="15" thickTop="1">
      <c r="N28" s="2"/>
    </row>
    <row r="29" spans="1:15">
      <c r="N29" s="2"/>
    </row>
    <row r="30" spans="1:15" s="169" customFormat="1"/>
    <row r="31" spans="1:15">
      <c r="F31" s="2">
        <v>198</v>
      </c>
      <c r="G31" s="2">
        <v>153</v>
      </c>
    </row>
    <row r="32" spans="1:15">
      <c r="F32" s="194">
        <f>F31*G32/G31-1</f>
        <v>0.29411764705882359</v>
      </c>
      <c r="G32" s="194">
        <v>1</v>
      </c>
    </row>
  </sheetData>
  <autoFilter ref="A2:O27">
    <filterColumn colId="0">
      <customFilters>
        <customFilter operator="notEqual" val=" "/>
      </customFilters>
    </filterColumn>
  </autoFilter>
  <mergeCells count="14">
    <mergeCell ref="N3:O3"/>
    <mergeCell ref="C24:D24"/>
    <mergeCell ref="F24:G24"/>
    <mergeCell ref="E24:E25"/>
    <mergeCell ref="H24:I24"/>
    <mergeCell ref="J24:K24"/>
    <mergeCell ref="L24:M24"/>
    <mergeCell ref="N24:O24"/>
    <mergeCell ref="C3:D3"/>
    <mergeCell ref="E3:E4"/>
    <mergeCell ref="F3:G3"/>
    <mergeCell ref="H3:I3"/>
    <mergeCell ref="J3:K3"/>
    <mergeCell ref="L3:M3"/>
  </mergeCells>
  <pageMargins left="0.31496062992125984" right="0.31496062992125984" top="0.74803149606299213" bottom="0.74803149606299213" header="0.31496062992125984" footer="0.31496062992125984"/>
  <pageSetup paperSize="9" scale="67" orientation="landscape" horizontalDpi="300" verticalDpi="300" r:id="rId1"/>
  <ignoredErrors>
    <ignoredError sqref="F27 H27:N27 J11:J14 G17:J17 J15 G16:H16 J16 H18:J18 J5:J10" formula="1"/>
    <ignoredError sqref="H26 J22:N22 I26:L26 N26" evalError="1" formula="1"/>
    <ignoredError sqref="H22:I22 H15" evalError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101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12</vt:i4>
      </vt:variant>
    </vt:vector>
  </HeadingPairs>
  <TitlesOfParts>
    <vt:vector size="25" baseType="lpstr">
      <vt:lpstr>PJ_Casino</vt:lpstr>
      <vt:lpstr>RE_Gare</vt:lpstr>
      <vt:lpstr>RE_ex-gendarmerie</vt:lpstr>
      <vt:lpstr>RE_Eglise</vt:lpstr>
      <vt:lpstr>RE_Foron</vt:lpstr>
      <vt:lpstr>RE_La Forge (gir.)</vt:lpstr>
      <vt:lpstr>RE_Fil Saisons</vt:lpstr>
      <vt:lpstr>ART_Lavage auto</vt:lpstr>
      <vt:lpstr>ETR_D2 (ex-PN93)</vt:lpstr>
      <vt:lpstr>ETR_Château</vt:lpstr>
      <vt:lpstr>SCI_Bellecombe</vt:lpstr>
      <vt:lpstr>AM_Coriandre</vt:lpstr>
      <vt:lpstr>SYNTHESE</vt:lpstr>
      <vt:lpstr>AM_Coriandre!Zone_d_impression</vt:lpstr>
      <vt:lpstr>'ART_Lavage auto'!Zone_d_impression</vt:lpstr>
      <vt:lpstr>ETR_Château!Zone_d_impression</vt:lpstr>
      <vt:lpstr>'ETR_D2 (ex-PN93)'!Zone_d_impression</vt:lpstr>
      <vt:lpstr>PJ_Casino!Zone_d_impression</vt:lpstr>
      <vt:lpstr>RE_Eglise!Zone_d_impression</vt:lpstr>
      <vt:lpstr>'RE_ex-gendarmerie'!Zone_d_impression</vt:lpstr>
      <vt:lpstr>'RE_Fil Saisons'!Zone_d_impression</vt:lpstr>
      <vt:lpstr>RE_Foron!Zone_d_impression</vt:lpstr>
      <vt:lpstr>RE_Gare!Zone_d_impression</vt:lpstr>
      <vt:lpstr>'RE_La Forge (gir.)'!Zone_d_impression</vt:lpstr>
      <vt:lpstr>SCI_Bellecombe!Zone_d_impression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</dc:creator>
  <cp:lastModifiedBy>Yannick ROGUET</cp:lastModifiedBy>
  <cp:revision>31</cp:revision>
  <cp:lastPrinted>2022-05-30T17:16:17Z</cp:lastPrinted>
  <dcterms:created xsi:type="dcterms:W3CDTF">2013-06-07T11:50:48Z</dcterms:created>
  <dcterms:modified xsi:type="dcterms:W3CDTF">2022-06-14T20:57:52Z</dcterms:modified>
</cp:coreProperties>
</file>