
<file path=[Content_Types].xml><?xml version="1.0" encoding="utf-8"?>
<Types xmlns="http://schemas.openxmlformats.org/package/2006/content-types">
  <Default Extension="vml" ContentType="application/vnd.openxmlformats-officedocument.vmlDrawing"/>
  <Default Extension="wmf" ContentType="image/x-wmf"/>
  <Default Extension="png" ContentType="image/png"/>
  <Default Extension="jpeg" ContentType="image/jpeg"/>
  <Default Extension="xml" ContentType="application/xml"/>
  <Default Extension="emf" ContentType="image/x-emf"/>
  <Default Extension="rels" ContentType="application/vnd.openxmlformats-package.relationships+xml"/>
  <Default Extension="bin" ContentType="application/vnd.openxmlformats-officedocument.oleObject"/>
  <Override PartName="/xl/worksheets/sheet7.xml" ContentType="application/vnd.openxmlformats-officedocument.spreadsheetml.worksheet+xml"/>
  <Override PartName="/xl/threadedComments/threadedComment3.xml" ContentType="application/vnd.ms-excel.threadedcomments+xml"/>
  <Override PartName="/xl/comments3.xml" ContentType="application/vnd.openxmlformats-officedocument.spreadsheetml.comments+xml"/>
  <Override PartName="/xl/worksheets/sheet4.xml" ContentType="application/vnd.openxmlformats-officedocument.spreadsheetml.worksheet+xml"/>
  <Override PartName="/xl/persons/person.xml" ContentType="application/vnd.ms-excel.person+xml"/>
  <Override PartName="/xl/comments1.xml" ContentType="application/vnd.openxmlformats-officedocument.spreadsheetml.comment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2.xml" ContentType="application/vnd.openxmlformats-officedocument.spreadsheetml.comments+xml"/>
  <Override PartName="/xl/worksheets/sheet1.xml" ContentType="application/vnd.openxmlformats-officedocument.spreadsheetml.worksheet+xml"/>
  <Override PartName="/xl/threadedComments/threadedComment2.xml" ContentType="application/vnd.ms-excel.threadedcomments+xml"/>
  <Override PartName="/xl/theme/theme1.xml" ContentType="application/vnd.openxmlformats-officedocument.theme+xml"/>
  <Override PartName="/xl/drawings/drawing2.xml" ContentType="application/vnd.openxmlformats-officedocument.drawing+xml"/>
  <Override PartName="/xl/threadedComments/threadedComment5.xml" ContentType="application/vnd.ms-excel.threadedcomments+xml"/>
  <Override PartName="/xl/comments5.xml" ContentType="application/vnd.openxmlformats-officedocument.spreadsheetml.comments+xml"/>
  <Override PartName="/xl/worksheets/sheet13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12.xml" ContentType="application/vnd.openxmlformats-officedocument.spreadsheetml.worksheet+xml"/>
  <Override PartName="/xl/threadedComments/threadedComment1.xml" ContentType="application/vnd.ms-excel.threadedcomments+xml"/>
  <Override PartName="/xl/worksheets/sheet3.xml" ContentType="application/vnd.openxmlformats-officedocument.spreadsheetml.worksheet+xml"/>
  <Override PartName="/xl/worksheets/sheet11.xml" ContentType="application/vnd.openxmlformats-officedocument.spreadsheetml.worksheet+xml"/>
  <Override PartName="/xl/worksheets/sheet10.xml" ContentType="application/vnd.openxmlformats-officedocument.spreadsheetml.worksheet+xml"/>
  <Override PartName="/xl/worksheets/sheet9.xml" ContentType="application/vnd.openxmlformats-officedocument.spreadsheetml.worksheet+xml"/>
  <Override PartName="/xl/worksheets/sheet14.xml" ContentType="application/vnd.openxmlformats-officedocument.spreadsheetml.worksheet+xml"/>
  <Override PartName="/xl/comments4.xml" ContentType="application/vnd.openxmlformats-officedocument.spreadsheetml.comments+xml"/>
  <Override PartName="/xl/worksheets/sheet5.xml" ContentType="application/vnd.openxmlformats-officedocument.spreadsheetml.worksheet+xml"/>
  <Override PartName="/xl/threadedComments/threadedComment4.xml" ContentType="application/vnd.ms-excel.threadedcomments+xml"/>
  <Override PartName="/xl/worksheets/sheet6.xml" ContentType="application/vnd.openxmlformats-officedocument.spreadsheetml.worksheet+xml"/>
  <Override PartName="/xl/externalLinks/externalLink1.xml" ContentType="application/vnd.openxmlformats-officedocument.spreadsheetml.externalLink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8.xml" ContentType="application/vnd.openxmlformats-officedocument.spreadsheetml.worksheet+xml"/>
  <Override PartName="/xl/charts/chart2.xml" ContentType="application/vnd.openxmlformats-officedocument.drawingml.chart+xml"/>
  <Override PartName="/xl/workbook.xml" ContentType="application/vnd.openxmlformats-officedocument.spreadsheetml.sheet.main+xml"/>
  <Override PartName="/xl/charts/chart1.xml" ContentType="application/vnd.openxmlformats-officedocument.drawingml.chart+xml"/>
</Types>
</file>

<file path=_rels/.rels><?xml version="1.0" encoding="UTF-8" standalone="yes"?><Relationships xmlns="http://schemas.openxmlformats.org/package/2006/relationships"><Relationship  Id="rId1" Type="http://schemas.openxmlformats.org/officeDocument/2006/relationships/extended-properties" Target="docProps/app.xml"/><Relationship  Id="rId2" Type="http://schemas.openxmlformats.org/package/2006/relationships/metadata/core-properties" Target="docProps/core.xml"/><Relationship 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4="http://schemas.microsoft.com/office/spreadsheetml/2009/9/main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bookViews>
    <workbookView xWindow="360" yWindow="15" windowWidth="20955" windowHeight="9720" activeTab="6"/>
  </bookViews>
  <sheets>
    <sheet name="PJ_Casino" sheetId="1" state="visible" r:id="rId3"/>
    <sheet name="RE_Gare" sheetId="2" state="visible" r:id="rId4"/>
    <sheet name="RE_ex-gendarmerie" sheetId="3" state="visible" r:id="rId5"/>
    <sheet name="RE_Eglise" sheetId="4" state="visible" r:id="rId6"/>
    <sheet name="RE_Foron" sheetId="5" state="visible" r:id="rId7"/>
    <sheet name="RE_La Forge (gir.)" sheetId="6" state="hidden" r:id="rId8"/>
    <sheet name="RE_Fil Saisons" sheetId="7" state="visible" r:id="rId9"/>
    <sheet name="ART_Lavage auto" sheetId="8" state="visible" r:id="rId10"/>
    <sheet name="ETR_D2 (ex-PN93)" sheetId="9" state="visible" r:id="rId11"/>
    <sheet name="ETR_Château" sheetId="10" state="visible" r:id="rId12"/>
    <sheet name="SCI_Bellecombe" sheetId="11" state="hidden" r:id="rId13"/>
    <sheet name="AM_Coriandre" sheetId="12" state="hidden" r:id="rId14"/>
    <sheet name="SYNTHESE" sheetId="13" state="visible" r:id="rId15"/>
    <sheet name="Analyse sommaire" sheetId="14" state="visible" r:id="rId16"/>
  </sheets>
  <externalReferences>
    <externalReference r:id="rId1"/>
  </externalReferences>
  <definedNames>
    <definedName name="_xlnm.Print_Area" localSheetId="0">PJ_Casino!$A$1:$AA$41</definedName>
    <definedName name="_xlnm.Print_Area" localSheetId="1">RE_Gare!$A$1:$AB$22</definedName>
    <definedName name="_xlnm.Print_Area" localSheetId="2">'RE_ex-gendarmerie'!$A$1:$AA$39</definedName>
    <definedName name="_xlnm.Print_Area" localSheetId="3">RE_Eglise!$A$1:$AA$39</definedName>
    <definedName name="_xlnm.Print_Area" localSheetId="4">RE_Foron!$A$1:$AB$22</definedName>
    <definedName name="_xlnm.Print_Area" localSheetId="5">'RE_La Forge (gir.)'!$A$1:$Z$21</definedName>
    <definedName name="_xlnm.Print_Area" localSheetId="6">'RE_Fil Saisons'!$A$1:$AB$22</definedName>
    <definedName name="_xlnm.Print_Area" localSheetId="7">'ART_Lavage auto'!$A$1:$AA$39</definedName>
    <definedName name="_xlnm.Print_Area" localSheetId="8">'ETR_D2 (ex-PN93)'!$A$1:$AA$39</definedName>
    <definedName name="_xlnm.Print_Area" localSheetId="9">ETR_Château!$A$1:$AB$22</definedName>
    <definedName name="_xlnm.Print_Area" localSheetId="10">SCI_Bellecombe!$A$1:$Z$23,SCI_Bellecombe!$A$25:$AL$54</definedName>
    <definedName name="_xlnm.Print_Area" localSheetId="11">AM_Coriandre!$A$1:$Z$23,AM_Coriandre!$A$25:$AL$54</definedName>
    <definedName name="_xlnm._FilterDatabase" localSheetId="12" hidden="1">SYNTHESE!$A$2:$O$21</definedName>
    <definedName name="_xlnm._FilterDatabase" localSheetId="12" hidden="1">SYNTHESE!$A$2:$O$21</definedName>
  </definedNames>
  <calcPr/>
  <extLst>
    <ext xmlns:x15="http://schemas.microsoft.com/office/spreadsheetml/2010/11/main" uri="{D0CA8CA8-9F24-4464-BF8E-62219DCF47F9}"/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tc={00A80037-000E-4D61-A172-007D00BA0000}</author>
    <author>tc={00F80041-00D2-4FC8-8B18-00B2008A0041}</author>
    <author>tc={00D60062-0002-48D8-A961-00EE008C00DA}</author>
    <author>tc={00FF00B5-0009-41FF-A7A7-00E200890062}</author>
  </authors>
  <commentList>
    <comment ref="P14" authorId="0" xr:uid="{00A80037-000E-4D61-A172-007D00BA0000}">
      <text>
        <r>
          <rPr>
            <b/>
            <sz val="9"/>
            <rFont val="Tahoma"/>
          </rPr>
          <t xml:space="preserve">Yannick ROGUET:</t>
        </r>
        <r>
          <rPr>
            <sz val="9"/>
            <rFont val="Tahoma"/>
          </rPr>
          <t xml:space="preserve">
+1T
</t>
        </r>
      </text>
    </comment>
    <comment ref="P15" authorId="1" xr:uid="{00F80041-00D2-4FC8-8B18-00B2008A0041}">
      <text>
        <r>
          <rPr>
            <b/>
            <sz val="9"/>
            <rFont val="Tahoma"/>
          </rPr>
          <t xml:space="preserve">Yannick ROGUET:</t>
        </r>
        <r>
          <rPr>
            <sz val="9"/>
            <rFont val="Tahoma"/>
          </rPr>
          <t xml:space="preserve">
+2T
</t>
        </r>
      </text>
    </comment>
    <comment ref="R16" authorId="2" xr:uid="{00D60062-0002-48D8-A961-00EE008C00DA}">
      <text>
        <r>
          <rPr>
            <b/>
            <sz val="9"/>
            <rFont val="Tahoma"/>
          </rPr>
          <t xml:space="preserve">Yannick ROGUET:</t>
        </r>
        <r>
          <rPr>
            <sz val="9"/>
            <rFont val="Tahoma"/>
          </rPr>
          <t xml:space="preserve">
+1T
</t>
        </r>
      </text>
    </comment>
    <comment ref="U19" authorId="3" xr:uid="{00FF00B5-0009-41FF-A7A7-00E200890062}">
      <text>
        <r>
          <rPr>
            <b/>
            <sz val="9"/>
            <rFont val="Tahoma"/>
          </rPr>
          <t xml:space="preserve">Yannick ROGUET:</t>
        </r>
        <r>
          <rPr>
            <sz val="9"/>
            <rFont val="Tahoma"/>
          </rPr>
          <t xml:space="preserve">
+1T
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tc={008200CD-005B-4641-9E6C-0024003300C4}</author>
    <author>tc={002B00A6-0016-4E51-A396-00D5007F00E5}</author>
    <author>tc={00F80050-0028-4A96-B431-00C6009400A2}</author>
    <author>tc={000000B0-00D6-423C-86D8-0020003300B2}</author>
    <author>tc={001500CD-00F3-4F30-AF8C-002600D40009}</author>
    <author>tc={005B00F0-0069-4EB9-A331-00C300A20073}</author>
    <author>tc={0090008B-0026-42DE-A9FA-00D600B600FD}</author>
  </authors>
  <commentList>
    <comment ref="Q12" authorId="0" xr:uid="{008200CD-005B-4641-9E6C-0024003300C4}">
      <text>
        <r>
          <rPr>
            <b/>
            <sz val="9"/>
            <rFont val="Tahoma"/>
          </rPr>
          <t xml:space="preserve">Yannick ROGUET:</t>
        </r>
        <r>
          <rPr>
            <sz val="9"/>
            <rFont val="Tahoma"/>
          </rPr>
          <t xml:space="preserve">
+1T
</t>
        </r>
      </text>
    </comment>
    <comment ref="G12" authorId="1" xr:uid="{002B00A6-0016-4E51-A396-00D5007F00E5}">
      <text>
        <r>
          <rPr>
            <b/>
            <sz val="9"/>
            <rFont val="Tahoma"/>
          </rPr>
          <t xml:space="preserve">Yannick ROGUET:</t>
        </r>
        <r>
          <rPr>
            <sz val="9"/>
            <rFont val="Tahoma"/>
          </rPr>
          <t xml:space="preserve">
+1T
</t>
        </r>
      </text>
    </comment>
    <comment ref="G14" authorId="2" xr:uid="{00F80050-0028-4A96-B431-00C6009400A2}">
      <text>
        <r>
          <rPr>
            <b/>
            <sz val="9"/>
            <rFont val="Tahoma"/>
          </rPr>
          <t xml:space="preserve">Yannick ROGUET:</t>
        </r>
        <r>
          <rPr>
            <sz val="9"/>
            <rFont val="Tahoma"/>
          </rPr>
          <t xml:space="preserve">
+1T
</t>
        </r>
      </text>
    </comment>
    <comment ref="X15" authorId="3" xr:uid="{000000B0-00D6-423C-86D8-0020003300B2}">
      <text>
        <r>
          <rPr>
            <b/>
            <sz val="9"/>
            <rFont val="Tahoma"/>
          </rPr>
          <t xml:space="preserve">Yannick ROGUET:</t>
        </r>
        <r>
          <rPr>
            <sz val="9"/>
            <rFont val="Tahoma"/>
          </rPr>
          <t xml:space="preserve">
+1T
</t>
        </r>
      </text>
    </comment>
    <comment ref="G15" authorId="4" xr:uid="{001500CD-00F3-4F30-AF8C-002600D40009}">
      <text>
        <r>
          <rPr>
            <b/>
            <sz val="9"/>
            <rFont val="Tahoma"/>
          </rPr>
          <t xml:space="preserve">Yannick ROGUET:</t>
        </r>
        <r>
          <rPr>
            <sz val="9"/>
            <rFont val="Tahoma"/>
          </rPr>
          <t xml:space="preserve">
+1T
</t>
        </r>
      </text>
    </comment>
    <comment ref="I18" authorId="5" xr:uid="{005B00F0-0069-4EB9-A331-00C300A20073}">
      <text>
        <r>
          <rPr>
            <b/>
            <sz val="9"/>
            <rFont val="Tahoma"/>
          </rPr>
          <t xml:space="preserve">Yannick ROGUET:</t>
        </r>
        <r>
          <rPr>
            <sz val="9"/>
            <rFont val="Tahoma"/>
          </rPr>
          <t xml:space="preserve">
+1T
</t>
        </r>
      </text>
    </comment>
    <comment ref="Z36" authorId="6" xr:uid="{0090008B-0026-42DE-A9FA-00D600B600FD}">
      <text>
        <r>
          <rPr>
            <b/>
            <sz val="9"/>
            <rFont val="Tahoma"/>
          </rPr>
          <t xml:space="preserve">Yannick ROGUET:</t>
        </r>
        <r>
          <rPr>
            <sz val="9"/>
            <rFont val="Tahoma"/>
          </rPr>
          <t xml:space="preserve">
+1T
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tc={008B0096-00F1-4082-9864-004100AC0059}</author>
    <author>tc={0023000B-00A2-4DB0-B619-00D500BC00C6}</author>
    <author>tc={00360059-00D7-4838-84A5-00E700CF0045}</author>
    <author>tc={00AF00FC-0055-4F56-A148-00C9002F008D}</author>
    <author>tc={00F5000E-00DC-442F-BACD-0045003E0001}</author>
  </authors>
  <commentList>
    <comment ref="C13" authorId="0" xr:uid="{008B0096-00F1-4082-9864-004100AC0059}">
      <text>
        <r>
          <rPr>
            <b/>
            <sz val="9"/>
            <rFont val="Tahoma"/>
          </rPr>
          <t xml:space="preserve">Yannick ROGUET:</t>
        </r>
        <r>
          <rPr>
            <sz val="9"/>
            <rFont val="Tahoma"/>
          </rPr>
          <t xml:space="preserve">
1T
</t>
        </r>
      </text>
    </comment>
    <comment ref="P14" authorId="1" xr:uid="{0023000B-00A2-4DB0-B619-00D500BC00C6}">
      <text>
        <r>
          <rPr>
            <b/>
            <sz val="9"/>
            <rFont val="Tahoma"/>
          </rPr>
          <t xml:space="preserve">Yannick ROGUET:</t>
        </r>
        <r>
          <rPr>
            <sz val="9"/>
            <rFont val="Tahoma"/>
          </rPr>
          <t xml:space="preserve">
1T
</t>
        </r>
      </text>
    </comment>
    <comment ref="W16" authorId="2" xr:uid="{00360059-00D7-4838-84A5-00E700CF0045}">
      <text>
        <r>
          <rPr>
            <b/>
            <sz val="9"/>
            <rFont val="Tahoma"/>
          </rPr>
          <t xml:space="preserve">Yannick ROGUET:</t>
        </r>
        <r>
          <rPr>
            <sz val="9"/>
            <rFont val="Tahoma"/>
          </rPr>
          <t xml:space="preserve">
2TE + 2E
</t>
        </r>
      </text>
    </comment>
    <comment ref="C35" authorId="3" xr:uid="{00AF00FC-0055-4F56-A148-00C9002F008D}">
      <text>
        <r>
          <rPr>
            <b/>
            <sz val="9"/>
            <rFont val="Tahoma"/>
          </rPr>
          <t xml:space="preserve">Yannick ROGUET:</t>
        </r>
        <r>
          <rPr>
            <sz val="9"/>
            <rFont val="Tahoma"/>
          </rPr>
          <t xml:space="preserve">
1T
</t>
        </r>
      </text>
    </comment>
    <comment ref="J35" authorId="4" xr:uid="{00F5000E-00DC-442F-BACD-0045003E0001}">
      <text>
        <r>
          <rPr>
            <b/>
            <sz val="9"/>
            <rFont val="Tahoma"/>
          </rPr>
          <t xml:space="preserve">Yannick ROGUET:</t>
        </r>
        <r>
          <rPr>
            <sz val="9"/>
            <rFont val="Tahoma"/>
          </rPr>
          <t xml:space="preserve">
2E
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tc={00CB006B-00F7-4486-B142-00EB00E30098}</author>
    <author>tc={00B80034-0022-442A-A5C3-00C9005300C6}</author>
    <author>tc={00540057-0020-4B53-97CE-002400FE0052}</author>
  </authors>
  <commentList>
    <comment ref="S36" authorId="0" xr:uid="{00CB006B-00F7-4486-B142-00EB00E30098}">
      <text>
        <r>
          <rPr>
            <b/>
            <sz val="9"/>
            <rFont val="Tahoma"/>
          </rPr>
          <t xml:space="preserve">Yannick ROGUET:</t>
        </r>
        <r>
          <rPr>
            <sz val="9"/>
            <rFont val="Tahoma"/>
          </rPr>
          <t xml:space="preserve">
+3 T
</t>
        </r>
      </text>
    </comment>
    <comment ref="S37" authorId="1" xr:uid="{00B80034-0022-442A-A5C3-00C9005300C6}">
      <text>
        <r>
          <rPr>
            <b/>
            <sz val="9"/>
            <rFont val="Tahoma"/>
          </rPr>
          <t xml:space="preserve">Yannick ROGUET:</t>
        </r>
        <r>
          <rPr>
            <sz val="9"/>
            <rFont val="Tahoma"/>
          </rPr>
          <t xml:space="preserve">
+2 T
</t>
        </r>
      </text>
    </comment>
    <comment ref="H37" authorId="2" xr:uid="{00540057-0020-4B53-97CE-002400FE0052}">
      <text>
        <r>
          <rPr>
            <b/>
            <sz val="9"/>
            <rFont val="Tahoma"/>
          </rPr>
          <t xml:space="preserve">Yannick ROGUET:</t>
        </r>
        <r>
          <rPr>
            <sz val="9"/>
            <rFont val="Tahoma"/>
          </rPr>
          <t xml:space="preserve">
+1 T
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tc={00110083-00E5-4F79-90C7-00D7009D005E}</author>
  </authors>
  <commentList>
    <comment ref="G16" authorId="0" xr:uid="{00110083-00E5-4F79-90C7-00D7009D005E}">
      <text>
        <r>
          <rPr>
            <b/>
            <sz val="9"/>
            <rFont val="Tahoma"/>
          </rPr>
          <t xml:space="preserve">Yannick ROGUET:</t>
        </r>
        <r>
          <rPr>
            <sz val="9"/>
            <rFont val="Tahoma"/>
          </rPr>
          <t xml:space="preserve">
formule à remplir manuellement en fonction de la majorité de la colonne
</t>
        </r>
      </text>
    </comment>
  </commentList>
</comments>
</file>

<file path=xl/sharedStrings.xml><?xml version="1.0" encoding="utf-8"?>
<sst xmlns="http://schemas.openxmlformats.org/spreadsheetml/2006/main" count="163" uniqueCount="163">
  <si>
    <t xml:space="preserve">Lieu :</t>
  </si>
  <si>
    <t xml:space="preserve">PERS-JUSSY_Giratoire de Casino</t>
  </si>
  <si>
    <t xml:space="preserve">Date :</t>
  </si>
  <si>
    <t xml:space="preserve">mardi 6 juin 2023</t>
  </si>
  <si>
    <t xml:space="preserve">Nom des personnes participant au comptage :</t>
  </si>
  <si>
    <t xml:space="preserve">Françoise SAGE</t>
  </si>
  <si>
    <t>Météo :</t>
  </si>
  <si>
    <t xml:space="preserve">Excellente (grand soleil)</t>
  </si>
  <si>
    <t>Remarques :</t>
  </si>
  <si>
    <t xml:space="preserve">2 vélos venant de Pers-Jussy sont allés direction le chemin du Château de Magny
Egalement compté 2 piétons</t>
  </si>
  <si>
    <t xml:space="preserve">Méthodologie :</t>
  </si>
  <si>
    <t xml:space="preserve">Pour chaque intervalle de temps, marquer une seule croix par personne comptée.
Si c'est enfant, remplacer la croix par E, une trottinette T, un piéton P, etc.</t>
  </si>
  <si>
    <t xml:space="preserve">Depuis 'La Roche'</t>
  </si>
  <si>
    <t xml:space="preserve">Depuis 'Pers-Jussy'</t>
  </si>
  <si>
    <t xml:space="preserve">vers 'Reignier'</t>
  </si>
  <si>
    <t xml:space="preserve">vers 'Casino'</t>
  </si>
  <si>
    <t xml:space="preserve">vers 'Pers-Jussy'</t>
  </si>
  <si>
    <t xml:space="preserve">vers 'La Roche'</t>
  </si>
  <si>
    <t>H</t>
  </si>
  <si>
    <t>F</t>
  </si>
  <si>
    <t>Heure</t>
  </si>
  <si>
    <t>Minute</t>
  </si>
  <si>
    <t>VAE</t>
  </si>
  <si>
    <t>vélo</t>
  </si>
  <si>
    <t xml:space="preserve">30 – 44'59</t>
  </si>
  <si>
    <t xml:space="preserve">45 – 59'59</t>
  </si>
  <si>
    <t xml:space="preserve">00 – 14'59</t>
  </si>
  <si>
    <t xml:space="preserve">15 – 29'59</t>
  </si>
  <si>
    <t xml:space="preserve">1 vélo allant à Casino est venu du chemin du Château de Magny
Egalement compté 2 piétons</t>
  </si>
  <si>
    <t xml:space="preserve">Depuis 'Reignier'</t>
  </si>
  <si>
    <t xml:space="preserve">Depuis 'Casino'</t>
  </si>
  <si>
    <t>TOTAL</t>
  </si>
  <si>
    <t xml:space="preserve">Part des VAE dans le total</t>
  </si>
  <si>
    <t xml:space="preserve">Part des femmes dans le total</t>
  </si>
  <si>
    <t xml:space="preserve">Part des VAE chez les femmes</t>
  </si>
  <si>
    <t xml:space="preserve">Part en direction de Reignier</t>
  </si>
  <si>
    <t xml:space="preserve">Part en provenance de Reignier</t>
  </si>
  <si>
    <t xml:space="preserve">Part en provenance d'Esery</t>
  </si>
  <si>
    <t>Remarques</t>
  </si>
  <si>
    <t>Période</t>
  </si>
  <si>
    <t xml:space="preserve">de 6:30 à 7:30</t>
  </si>
  <si>
    <t xml:space="preserve">de 7:00 à 8:00</t>
  </si>
  <si>
    <t xml:space="preserve">de 7:30 à 8:30</t>
  </si>
  <si>
    <t xml:space="preserve">de 8:00 à 9:00</t>
  </si>
  <si>
    <t xml:space="preserve">de 8:30 à 9:30</t>
  </si>
  <si>
    <t xml:space="preserve">Nombre de VAE dans le total</t>
  </si>
  <si>
    <t xml:space="preserve">Nombre de femmes dans le total</t>
  </si>
  <si>
    <t xml:space="preserve">Nombre de VAE chez les femmes</t>
  </si>
  <si>
    <t xml:space="preserve">Cycles en direction de Reignier</t>
  </si>
  <si>
    <t xml:space="preserve">Cycles en provenance de Pers-Jussy</t>
  </si>
  <si>
    <t xml:space="preserve">Cycles en provenance de La Roche</t>
  </si>
  <si>
    <t xml:space="preserve">REIGNIER_Carrefour Rue de la Gare / Rte de Bellecombe (vers Tour d'Ivoire)</t>
  </si>
  <si>
    <t xml:space="preserve">Jacques LACHEZE</t>
  </si>
  <si>
    <t xml:space="preserve">Carrefour non sécurisé    //    5 trottinettes, dont 4 en dir. de la gare
Sur 37 vélos+trott comptés, 17 vont vers la gare et 17 autres vont vers Reignier-Centre</t>
  </si>
  <si>
    <t xml:space="preserve">Depuis 'Reignier-centre'</t>
  </si>
  <si>
    <t xml:space="preserve">Depuis 'Gare'</t>
  </si>
  <si>
    <t xml:space="preserve">vers 'Gare'</t>
  </si>
  <si>
    <t xml:space="preserve">vers 'Reignier-centre'</t>
  </si>
  <si>
    <t xml:space="preserve">Part en direction d'Annemasse-Genève</t>
  </si>
  <si>
    <t xml:space="preserve">Cycles en direction d'Annemasse-Genève</t>
  </si>
  <si>
    <t xml:space="preserve">Cycles en provenance de Reignier</t>
  </si>
  <si>
    <t xml:space="preserve">Cycles en provenance d'Esery</t>
  </si>
  <si>
    <t xml:space="preserve">REIGNIER_Giratoire de l'ancienne gendarmerie</t>
  </si>
  <si>
    <t xml:space="preserve">Philippe LEMOINE</t>
  </si>
  <si>
    <t xml:space="preserve">3 cyclistes sur le trottoir &gt;&gt; symptomatiques du manque d’infrastructures
6 trottinettes, dont 5 en dir. de Pers-Jussy (sans doute vers la gare)</t>
  </si>
  <si>
    <t xml:space="preserve">Depuis 'Annemasse - Genève'</t>
  </si>
  <si>
    <t xml:space="preserve">Depuis 'Carrefour - Bersat'</t>
  </si>
  <si>
    <t xml:space="preserve">vers 'Carrefour - Bersat'</t>
  </si>
  <si>
    <t xml:space="preserve">vers 'Esery - Méran'</t>
  </si>
  <si>
    <t xml:space="preserve">vers 'Annemasse - Genève'</t>
  </si>
  <si>
    <t xml:space="preserve">3 cyclistes sur le trottoir &gt;&gt; symptomatiques du manque d’infrastructures
1 trottinette en dir. de Pers-Jussy (sans doute vers la gare)</t>
  </si>
  <si>
    <t xml:space="preserve">Depuis 'Esery - Méran'</t>
  </si>
  <si>
    <t xml:space="preserve">REIGNIER_Giratoire des Jonquilles (devant l'église)</t>
  </si>
  <si>
    <t xml:space="preserve">jeudi 8 juin 2023</t>
  </si>
  <si>
    <t xml:space="preserve">Sylvain BEAUD</t>
  </si>
  <si>
    <t xml:space="preserve">Compté que de 7h00 à 8h00 &gt;&gt; extrapolé entre 8h00 et 9h00 sur la base des comptages 2022
4 trottinettes entre 8h et 9h</t>
  </si>
  <si>
    <t xml:space="preserve">Depuis 'L'Eculaz'</t>
  </si>
  <si>
    <t xml:space="preserve">vers 'Rue des Ecoles'</t>
  </si>
  <si>
    <t xml:space="preserve">vers 'L'Eculaz'</t>
  </si>
  <si>
    <t xml:space="preserve">Compté que de 7h00 à 8h00 &gt;&gt; extrapolé entre 8h00 et 9h00 sur la base des comptages 2022
1 trottinette entre 8h et 9h</t>
  </si>
  <si>
    <t xml:space="preserve">Depuis 'Reignier - Rue des Ecoles'</t>
  </si>
  <si>
    <t xml:space="preserve">REIGNIER BAS_Giratoire D2 / D202 (vers le Foron)</t>
  </si>
  <si>
    <t xml:space="preserve">Un groupe de 6 cyclistes vers 8h45, sinon RAS
Sur 26 cyclistes comptés, 15 vont en dir. d'Annemasse, 3 en dir. de Reignier et 8 en dir. d'Arthaz</t>
  </si>
  <si>
    <t xml:space="preserve">Depuis 'Arthaz'</t>
  </si>
  <si>
    <t xml:space="preserve">Depuis 'Annemasse'</t>
  </si>
  <si>
    <t xml:space="preserve">vers 'Annemasse'</t>
  </si>
  <si>
    <t xml:space="preserve">vers 'Arthaz'</t>
  </si>
  <si>
    <t xml:space="preserve">Cycles venant du giratoire des Jonquilles</t>
  </si>
  <si>
    <t xml:space="preserve">Différence de cycles entre ces deux carrefour :
&gt;&gt; descendus au chemin raide sous le cimetière,
&gt;&gt; parti en vélo depuis le parking du cimetière ?</t>
  </si>
  <si>
    <t xml:space="preserve">REIGNIER_Giratoire de la Forge (en-dessous du Fil des Saisons)</t>
  </si>
  <si>
    <t xml:space="preserve">Méthodologie : </t>
  </si>
  <si>
    <t xml:space="preserve">Pour chaque intervalle de temps, marquer une seule croix par personne comptée</t>
  </si>
  <si>
    <t xml:space="preserve">Si c'est enfant, remplacer la croix par E, une trottinette T, un piéton P, etc.</t>
  </si>
  <si>
    <t xml:space="preserve">Depuis 'Esery'</t>
  </si>
  <si>
    <t xml:space="preserve">vers 'Esery'</t>
  </si>
  <si>
    <t>Lieu :</t>
  </si>
  <si>
    <t>Date :</t>
  </si>
  <si>
    <t xml:space="preserve">REIGNIER_Carrefour Marsinge / Viaison (au-dessus du Fil des Saisons)</t>
  </si>
  <si>
    <t xml:space="preserve">Jean-Claude BRUN</t>
  </si>
  <si>
    <t>RAS</t>
  </si>
  <si>
    <t xml:space="preserve">ARTHAZ_Route de Reignier D202 / Route Nationale D1205</t>
  </si>
  <si>
    <t xml:space="preserve">Joël NIGNON</t>
  </si>
  <si>
    <t xml:space="preserve">Carrefour dangereux &gt;&gt; il faut être téméraire pour l'emprunter en vélo
Une quinzaine de piétons vers 7h30 en dir. de l'arrêt de bus</t>
  </si>
  <si>
    <t xml:space="preserve">Depuis 'Nangy'</t>
  </si>
  <si>
    <t xml:space="preserve">vers 'Nangy'</t>
  </si>
  <si>
    <t xml:space="preserve">vers 'Rossat'</t>
  </si>
  <si>
    <t xml:space="preserve">5 trottinettes, sans doute en dir. de l'école d'Arthaz (enfants)</t>
  </si>
  <si>
    <t xml:space="preserve">Depuis 'Rossat'</t>
  </si>
  <si>
    <t xml:space="preserve">ETREMBIERES_D2 route de la Libération / D906a (ex-PN93)</t>
  </si>
  <si>
    <t xml:space="preserve">Yannick ROGUET</t>
  </si>
  <si>
    <t xml:space="preserve">Bouchon (de voitures) vers 8h45 &gt;&gt; sans doute suite au dépôt des enfants aux écoles</t>
  </si>
  <si>
    <t xml:space="preserve">Depuis 'Château d'Etrembières'</t>
  </si>
  <si>
    <t xml:space="preserve">Depuis 'Etrembières - Autoroute'</t>
  </si>
  <si>
    <t xml:space="preserve">vers 'Monnetier - La Muraz'</t>
  </si>
  <si>
    <t xml:space="preserve">vers 'Etrembères - Autoroute'</t>
  </si>
  <si>
    <t xml:space="preserve">vers 'Château d'Etrembières'</t>
  </si>
  <si>
    <t xml:space="preserve">Egalement 3 piétons
Parmis les 81 cyclistes comptés, 28 allaient en dir. du Château d'Etrembières et 44 en dir. de d'Annemasse et de l'autoroute</t>
  </si>
  <si>
    <t xml:space="preserve">Depuis 'Monnetier - La Muraz'</t>
  </si>
  <si>
    <t xml:space="preserve">vers 'Etrembières - Autoroute'</t>
  </si>
  <si>
    <t xml:space="preserve">ETREMBIERES_Rte de St-Julien / Rte du Salève (sous château)</t>
  </si>
  <si>
    <t xml:space="preserve">Sylvie PASCAL</t>
  </si>
  <si>
    <t xml:space="preserve">De nombreux cyclistes rejoignent le petit chemin du piémont du Salève aménagé l'an dernier (dir. Veyrier : 12 / dir. Reignier : 2)</t>
  </si>
  <si>
    <t xml:space="preserve">Depuis 'Pas-de-l'Echelle'</t>
  </si>
  <si>
    <t xml:space="preserve">vers 'Pas-de-l'Echelle'</t>
  </si>
  <si>
    <t xml:space="preserve">Cycles comptés au carrefour amont (PN93)</t>
  </si>
  <si>
    <t xml:space="preserve">SCIENTRIER_Carrefour vers la Tour de Bellecombe</t>
  </si>
  <si>
    <t xml:space="preserve">mardi 31 mai 2022</t>
  </si>
  <si>
    <t xml:space="preserve">Depuis 'Findrol'</t>
  </si>
  <si>
    <t xml:space="preserve">vers 'Findrol'</t>
  </si>
  <si>
    <t xml:space="preserve">Part en direction de Findrol</t>
  </si>
  <si>
    <t xml:space="preserve">Part en provenance de La Roche</t>
  </si>
  <si>
    <t xml:space="preserve">Cycles en direction de Findrol</t>
  </si>
  <si>
    <t xml:space="preserve">AMANCY_Giratoire de la Coriandre</t>
  </si>
  <si>
    <t xml:space="preserve">Indiquer aussi la lettre correspondant à la sortie : A-ANNECY / B-BIGAILLE / C-COLLEGE / I-INTERMARCHE / V-VETO / Z-ZA</t>
  </si>
  <si>
    <t>D'Intermarché</t>
  </si>
  <si>
    <t xml:space="preserve">de ZA</t>
  </si>
  <si>
    <t xml:space="preserve">de Bigaille</t>
  </si>
  <si>
    <t>d'Annecy</t>
  </si>
  <si>
    <t xml:space="preserve">de Véto</t>
  </si>
  <si>
    <t xml:space="preserve">de Collège</t>
  </si>
  <si>
    <t xml:space="preserve">Trop peu de cyclistes pour en tirer des conslusions, mais le giratoire est trop "routier" pour attirer les cyclistes qui doivent préférer l'éviter</t>
  </si>
  <si>
    <t xml:space="preserve">SYNTHESE DES COMPTAGES DU 6 JUIN 2023</t>
  </si>
  <si>
    <t>X</t>
  </si>
  <si>
    <t xml:space="preserve">SECTEUR "ARVE &amp; SALEVE"</t>
  </si>
  <si>
    <t xml:space="preserve">Période comptée</t>
  </si>
  <si>
    <t xml:space="preserve">NB total de vélos</t>
  </si>
  <si>
    <t xml:space="preserve">Heure de pointe</t>
  </si>
  <si>
    <t xml:space="preserve">VAE / total</t>
  </si>
  <si>
    <t xml:space="preserve">Femmes / total</t>
  </si>
  <si>
    <t xml:space="preserve">VAE chez les femmes</t>
  </si>
  <si>
    <t xml:space="preserve">dir. Annemasse-Genève</t>
  </si>
  <si>
    <t xml:space="preserve">COMMUNE_Nom du carrefour</t>
  </si>
  <si>
    <t>Début</t>
  </si>
  <si>
    <t>Fin</t>
  </si>
  <si>
    <t>Nombre</t>
  </si>
  <si>
    <t>%</t>
  </si>
  <si>
    <t>7h00</t>
  </si>
  <si>
    <t>9h00</t>
  </si>
  <si>
    <t xml:space="preserve">VAE Hom.</t>
  </si>
  <si>
    <t>Hommes</t>
  </si>
  <si>
    <t xml:space="preserve">NB de carrefours enquêtés</t>
  </si>
  <si>
    <t xml:space="preserve">NB  total de cyclistes par année</t>
  </si>
  <si>
    <t xml:space="preserve">NB de cyclistes sur les 5 carrefours comptés chaque année</t>
  </si>
</sst>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mc:Ignorable="x14ac x16r2">
  <numFmts count="1">
    <numFmt numFmtId="164" formatCode="#,##0.00&quot; &quot;[$€-40C];[Red]&quot;-&quot;#,##0.00&quot; &quot;[$€-40C]"/>
  </numFmts>
  <fonts count="31">
    <font>
      <sz val="11.000000"/>
      <color theme="1"/>
      <name val="Arial"/>
    </font>
    <font>
      <b/>
      <i/>
      <sz val="16.000000"/>
      <color theme="1"/>
      <name val="Arial"/>
    </font>
    <font>
      <sz val="11.000000"/>
      <color theme="1"/>
      <name val="Calibri"/>
      <scheme val="minor"/>
    </font>
    <font>
      <b/>
      <i/>
      <u/>
      <sz val="11.000000"/>
      <color theme="1"/>
      <name val="Arial"/>
    </font>
    <font>
      <b/>
      <sz val="16.000000"/>
      <name val="Ubuntu"/>
    </font>
    <font>
      <sz val="16.000000"/>
      <name val="Ubuntu"/>
    </font>
    <font>
      <sz val="11.000000"/>
      <name val="Arial"/>
    </font>
    <font>
      <b/>
      <sz val="14.000000"/>
      <name val="Ubuntu"/>
    </font>
    <font>
      <b/>
      <sz val="24.000000"/>
      <name val="Ubuntu"/>
    </font>
    <font>
      <b/>
      <sz val="14.000000"/>
      <color theme="1"/>
      <name val="Ubuntu"/>
    </font>
    <font>
      <b/>
      <sz val="18.000000"/>
      <name val="Ubuntu"/>
    </font>
    <font>
      <sz val="16.000000"/>
      <color theme="1"/>
      <name val="Ubuntu"/>
    </font>
    <font>
      <b/>
      <sz val="16.000000"/>
      <color theme="1"/>
      <name val="Ubuntu"/>
    </font>
    <font>
      <b/>
      <sz val="24.000000"/>
      <color theme="1"/>
      <name val="Ubuntu"/>
    </font>
    <font>
      <b/>
      <sz val="16.000000"/>
      <color theme="1"/>
      <name val="Arial"/>
    </font>
    <font>
      <b/>
      <sz val="16.000000"/>
      <name val="Arial"/>
    </font>
    <font>
      <b/>
      <sz val="18.000000"/>
      <color theme="1"/>
      <name val="Ubuntu"/>
    </font>
    <font>
      <sz val="18.000000"/>
      <color theme="1"/>
      <name val="Ubuntu"/>
    </font>
    <font>
      <sz val="18.000000"/>
      <name val="Ubuntu"/>
    </font>
    <font>
      <sz val="11.000000"/>
      <color indexed="2"/>
      <name val="Arial"/>
    </font>
    <font>
      <b/>
      <sz val="16.000000"/>
      <color indexed="2"/>
      <name val="Ubuntu"/>
    </font>
    <font>
      <sz val="16.000000"/>
      <color indexed="2"/>
      <name val="Ubuntu"/>
    </font>
    <font>
      <b/>
      <sz val="14.000000"/>
      <color indexed="2"/>
      <name val="Ubuntu"/>
    </font>
    <font>
      <b/>
      <sz val="24.000000"/>
      <color indexed="2"/>
      <name val="Ubuntu"/>
    </font>
    <font>
      <b/>
      <sz val="18.000000"/>
      <color indexed="2"/>
      <name val="Ubuntu"/>
    </font>
    <font>
      <b/>
      <sz val="16.000000"/>
      <color indexed="2"/>
      <name val="Arial"/>
    </font>
    <font>
      <sz val="18.000000"/>
      <color indexed="2"/>
      <name val="Ubuntu"/>
    </font>
    <font>
      <b/>
      <sz val="11.000000"/>
      <color theme="1"/>
      <name val="Arial"/>
    </font>
    <font>
      <b/>
      <sz val="14.000000"/>
      <color theme="0"/>
      <name val="Arial"/>
    </font>
    <font>
      <sz val="12.000000"/>
      <color theme="1"/>
      <name val="Calibri"/>
      <scheme val="minor"/>
    </font>
    <font>
      <b/>
      <sz val="12.000000"/>
      <color theme="1"/>
      <name val="Calibri"/>
      <scheme val="minor"/>
    </font>
  </fonts>
  <fills count="9">
    <fill>
      <patternFill patternType="none"/>
    </fill>
    <fill>
      <patternFill patternType="gray125"/>
    </fill>
    <fill>
      <patternFill patternType="solid">
        <fgColor theme="0" tint="-0.14999847407452621"/>
      </patternFill>
    </fill>
    <fill>
      <patternFill patternType="solid">
        <fgColor theme="0"/>
      </patternFill>
    </fill>
    <fill>
      <patternFill patternType="solid">
        <fgColor theme="3" tint="0.79998168889431442"/>
      </patternFill>
    </fill>
    <fill>
      <patternFill patternType="solid">
        <fgColor theme="9" tint="0.79998168889431442"/>
      </patternFill>
    </fill>
    <fill>
      <patternFill patternType="solid">
        <fgColor indexed="5"/>
      </patternFill>
    </fill>
    <fill>
      <patternFill patternType="solid">
        <fgColor theme="1" tint="0.499984740745262"/>
      </patternFill>
    </fill>
    <fill>
      <patternFill patternType="solid">
        <fgColor theme="0" tint="-0.249977111117893"/>
      </patternFill>
    </fill>
  </fills>
  <borders count="337">
    <border>
      <left style="none"/>
      <right style="none"/>
      <top style="none"/>
      <bottom style="none"/>
      <diagonal style="none"/>
    </border>
    <border>
      <left style="none"/>
      <right style="none"/>
      <top style="medium">
        <color theme="0" tint="-0.14993743705557422"/>
      </top>
      <bottom style="none"/>
      <diagonal style="none"/>
    </border>
    <border>
      <left style="medium">
        <color theme="0" tint="-0.14993743705557422"/>
      </left>
      <right style="none"/>
      <top style="medium">
        <color theme="0" tint="-0.14993743705557422"/>
      </top>
      <bottom style="medium">
        <color theme="0" tint="-0.14993743705557422"/>
      </bottom>
      <diagonal style="none"/>
    </border>
    <border>
      <left style="none"/>
      <right style="none"/>
      <top style="medium">
        <color theme="0" tint="-0.14993743705557422"/>
      </top>
      <bottom style="medium">
        <color theme="0" tint="-0.14993743705557422"/>
      </bottom>
      <diagonal style="none"/>
    </border>
    <border>
      <left style="none"/>
      <right style="medium">
        <color theme="0" tint="-0.14993743705557422"/>
      </right>
      <top style="medium">
        <color theme="0" tint="-0.14993743705557422"/>
      </top>
      <bottom style="medium">
        <color theme="0" tint="-0.14993743705557422"/>
      </bottom>
      <diagonal style="none"/>
    </border>
    <border>
      <left style="none"/>
      <right style="none"/>
      <top style="medium">
        <color theme="0" tint="-0.14996795556505021"/>
      </top>
      <bottom style="none"/>
      <diagonal style="none"/>
    </border>
    <border>
      <left style="medium">
        <color theme="0" tint="-0.14996795556505021"/>
      </left>
      <right style="none"/>
      <top style="medium">
        <color theme="0" tint="-0.14996795556505021"/>
      </top>
      <bottom style="medium">
        <color theme="0" tint="-0.14996795556505021"/>
      </bottom>
      <diagonal style="none"/>
    </border>
    <border>
      <left style="medium">
        <color theme="0" tint="-0.14993743705557422"/>
      </left>
      <right style="none"/>
      <top style="none"/>
      <bottom style="none"/>
      <diagonal style="none"/>
    </border>
    <border>
      <left style="double">
        <color indexed="64"/>
      </left>
      <right style="double">
        <color auto="1"/>
      </right>
      <top style="double">
        <color indexed="64"/>
      </top>
      <bottom style="none"/>
      <diagonal style="none"/>
    </border>
    <border>
      <left style="double">
        <color auto="1"/>
      </left>
      <right style="double">
        <color auto="1"/>
      </right>
      <top style="double">
        <color indexed="64"/>
      </top>
      <bottom style="none"/>
      <diagonal style="none"/>
    </border>
    <border>
      <left style="none"/>
      <right style="double">
        <color auto="1"/>
      </right>
      <top style="none"/>
      <bottom style="none"/>
      <diagonal style="none"/>
    </border>
    <border>
      <left style="double">
        <color auto="1"/>
      </left>
      <right style="double">
        <color indexed="64"/>
      </right>
      <top style="double">
        <color indexed="64"/>
      </top>
      <bottom style="none"/>
      <diagonal style="none"/>
    </border>
    <border>
      <left style="double">
        <color indexed="64"/>
      </left>
      <right style="double">
        <color auto="1"/>
      </right>
      <top style="none"/>
      <bottom style="none"/>
      <diagonal style="none"/>
    </border>
    <border>
      <left style="double">
        <color auto="1"/>
      </left>
      <right style="double">
        <color auto="1"/>
      </right>
      <top style="none"/>
      <bottom style="none"/>
      <diagonal style="none"/>
    </border>
    <border>
      <left style="double">
        <color auto="1"/>
      </left>
      <right style="double">
        <color indexed="64"/>
      </right>
      <top style="none"/>
      <bottom style="none"/>
      <diagonal style="none"/>
    </border>
    <border>
      <left style="double">
        <color indexed="64"/>
      </left>
      <right style="dotted">
        <color indexed="64"/>
      </right>
      <top style="none"/>
      <bottom style="none"/>
      <diagonal style="none"/>
    </border>
    <border>
      <left style="dotted">
        <color indexed="64"/>
      </left>
      <right style="none"/>
      <top style="none"/>
      <bottom style="none"/>
      <diagonal style="none"/>
    </border>
    <border>
      <left style="thin">
        <color indexed="64"/>
      </left>
      <right style="double">
        <color auto="1"/>
      </right>
      <top style="none"/>
      <bottom style="none"/>
      <diagonal style="none"/>
    </border>
    <border>
      <left style="double">
        <color auto="1"/>
      </left>
      <right style="thin">
        <color indexed="64"/>
      </right>
      <top style="none"/>
      <bottom style="none"/>
      <diagonal style="none"/>
    </border>
    <border>
      <left style="double">
        <color auto="1"/>
      </left>
      <right style="thin">
        <color auto="1"/>
      </right>
      <top style="none"/>
      <bottom style="none"/>
      <diagonal style="none"/>
    </border>
    <border>
      <left style="thin">
        <color auto="1"/>
      </left>
      <right style="dotted">
        <color auto="1"/>
      </right>
      <top style="none"/>
      <bottom style="none"/>
      <diagonal style="none"/>
    </border>
    <border>
      <left style="dotted">
        <color auto="1"/>
      </left>
      <right style="double">
        <color auto="1"/>
      </right>
      <top style="none"/>
      <bottom style="none"/>
      <diagonal style="none"/>
    </border>
    <border>
      <left style="dotted">
        <color auto="1"/>
      </left>
      <right style="double">
        <color indexed="64"/>
      </right>
      <top style="none"/>
      <bottom style="none"/>
      <diagonal style="none"/>
    </border>
    <border>
      <left style="double">
        <color indexed="64"/>
      </left>
      <right style="thin">
        <color indexed="64"/>
      </right>
      <top style="double">
        <color indexed="64"/>
      </top>
      <bottom style="thin">
        <color indexed="64"/>
      </bottom>
      <diagonal style="none"/>
    </border>
    <border>
      <left style="thin">
        <color indexed="64"/>
      </left>
      <right style="double">
        <color indexed="64"/>
      </right>
      <top style="double">
        <color indexed="64"/>
      </top>
      <bottom style="thin">
        <color indexed="64"/>
      </bottom>
      <diagonal style="none"/>
    </border>
    <border>
      <left style="double">
        <color indexed="64"/>
      </left>
      <right style="dotted">
        <color indexed="64"/>
      </right>
      <top style="none"/>
      <bottom style="thin">
        <color indexed="64"/>
      </bottom>
      <diagonal style="none"/>
    </border>
    <border>
      <left style="dotted">
        <color indexed="64"/>
      </left>
      <right style="none"/>
      <top style="none"/>
      <bottom style="thin">
        <color indexed="64"/>
      </bottom>
      <diagonal style="none"/>
    </border>
    <border>
      <left style="thin">
        <color indexed="64"/>
      </left>
      <right style="dotted">
        <color indexed="64"/>
      </right>
      <top style="none"/>
      <bottom style="thin">
        <color indexed="64"/>
      </bottom>
      <diagonal style="none"/>
    </border>
    <border>
      <left style="dotted">
        <color indexed="64"/>
      </left>
      <right style="double">
        <color auto="1"/>
      </right>
      <top style="none"/>
      <bottom style="thin">
        <color indexed="64"/>
      </bottom>
      <diagonal style="none"/>
    </border>
    <border>
      <left style="double">
        <color auto="1"/>
      </left>
      <right style="dotted">
        <color indexed="64"/>
      </right>
      <top style="none"/>
      <bottom style="thin">
        <color indexed="64"/>
      </bottom>
      <diagonal style="none"/>
    </border>
    <border>
      <left style="dotted">
        <color indexed="64"/>
      </left>
      <right style="thin">
        <color indexed="64"/>
      </right>
      <top style="none"/>
      <bottom style="thin">
        <color indexed="64"/>
      </bottom>
      <diagonal style="none"/>
    </border>
    <border>
      <left style="double">
        <color auto="1"/>
      </left>
      <right style="dotted">
        <color auto="1"/>
      </right>
      <top style="none"/>
      <bottom style="thin">
        <color indexed="64"/>
      </bottom>
      <diagonal style="none"/>
    </border>
    <border>
      <left style="dotted">
        <color auto="1"/>
      </left>
      <right style="thin">
        <color auto="1"/>
      </right>
      <top style="none"/>
      <bottom style="thin">
        <color indexed="64"/>
      </bottom>
      <diagonal style="none"/>
    </border>
    <border>
      <left style="thin">
        <color auto="1"/>
      </left>
      <right style="dotted">
        <color auto="1"/>
      </right>
      <top style="none"/>
      <bottom style="thin">
        <color indexed="64"/>
      </bottom>
      <diagonal style="none"/>
    </border>
    <border>
      <left style="dotted">
        <color auto="1"/>
      </left>
      <right style="double">
        <color auto="1"/>
      </right>
      <top style="none"/>
      <bottom style="thin">
        <color indexed="64"/>
      </bottom>
      <diagonal style="none"/>
    </border>
    <border>
      <left style="dotted">
        <color auto="1"/>
      </left>
      <right style="double">
        <color indexed="64"/>
      </right>
      <top style="none"/>
      <bottom style="thin">
        <color indexed="64"/>
      </bottom>
      <diagonal style="none"/>
    </border>
    <border>
      <left style="double">
        <color indexed="64"/>
      </left>
      <right style="thin">
        <color indexed="64"/>
      </right>
      <top style="thin">
        <color indexed="64"/>
      </top>
      <bottom style="thin">
        <color indexed="64"/>
      </bottom>
      <diagonal style="none"/>
    </border>
    <border>
      <left style="thin">
        <color indexed="64"/>
      </left>
      <right style="double">
        <color indexed="64"/>
      </right>
      <top style="thin">
        <color indexed="64"/>
      </top>
      <bottom style="thin">
        <color indexed="64"/>
      </bottom>
      <diagonal style="none"/>
    </border>
    <border>
      <left style="double">
        <color indexed="64"/>
      </left>
      <right style="dotted">
        <color indexed="64"/>
      </right>
      <top style="thin">
        <color indexed="64"/>
      </top>
      <bottom style="thin">
        <color indexed="64"/>
      </bottom>
      <diagonal style="none"/>
    </border>
    <border>
      <left style="dotted">
        <color indexed="64"/>
      </left>
      <right style="none"/>
      <top style="thin">
        <color indexed="64"/>
      </top>
      <bottom style="thin">
        <color indexed="64"/>
      </bottom>
      <diagonal style="none"/>
    </border>
    <border>
      <left style="thin">
        <color indexed="64"/>
      </left>
      <right style="dotted">
        <color indexed="64"/>
      </right>
      <top style="thin">
        <color indexed="64"/>
      </top>
      <bottom style="thin">
        <color indexed="64"/>
      </bottom>
      <diagonal style="none"/>
    </border>
    <border>
      <left style="dotted">
        <color indexed="64"/>
      </left>
      <right style="double">
        <color auto="1"/>
      </right>
      <top style="thin">
        <color indexed="64"/>
      </top>
      <bottom style="thin">
        <color indexed="64"/>
      </bottom>
      <diagonal style="none"/>
    </border>
    <border>
      <left style="double">
        <color auto="1"/>
      </left>
      <right style="dotted">
        <color indexed="64"/>
      </right>
      <top style="thin">
        <color indexed="64"/>
      </top>
      <bottom style="thin">
        <color indexed="64"/>
      </bottom>
      <diagonal style="none"/>
    </border>
    <border>
      <left style="dotted">
        <color indexed="64"/>
      </left>
      <right style="thin">
        <color indexed="64"/>
      </right>
      <top style="thin">
        <color indexed="64"/>
      </top>
      <bottom style="thin">
        <color indexed="64"/>
      </bottom>
      <diagonal style="none"/>
    </border>
    <border>
      <left style="double">
        <color auto="1"/>
      </left>
      <right style="dotted">
        <color auto="1"/>
      </right>
      <top style="thin">
        <color indexed="64"/>
      </top>
      <bottom style="thin">
        <color indexed="64"/>
      </bottom>
      <diagonal style="none"/>
    </border>
    <border>
      <left style="dotted">
        <color auto="1"/>
      </left>
      <right style="thin">
        <color auto="1"/>
      </right>
      <top style="thin">
        <color indexed="64"/>
      </top>
      <bottom style="thin">
        <color indexed="64"/>
      </bottom>
      <diagonal style="none"/>
    </border>
    <border>
      <left style="thin">
        <color auto="1"/>
      </left>
      <right style="dotted">
        <color auto="1"/>
      </right>
      <top style="thin">
        <color indexed="64"/>
      </top>
      <bottom style="thin">
        <color indexed="64"/>
      </bottom>
      <diagonal style="none"/>
    </border>
    <border>
      <left style="dotted">
        <color auto="1"/>
      </left>
      <right style="double">
        <color auto="1"/>
      </right>
      <top style="thin">
        <color indexed="64"/>
      </top>
      <bottom style="thin">
        <color indexed="64"/>
      </bottom>
      <diagonal style="none"/>
    </border>
    <border>
      <left style="dotted">
        <color auto="1"/>
      </left>
      <right style="double">
        <color indexed="64"/>
      </right>
      <top style="thin">
        <color indexed="64"/>
      </top>
      <bottom style="thin">
        <color indexed="64"/>
      </bottom>
      <diagonal style="none"/>
    </border>
    <border>
      <left style="double">
        <color indexed="64"/>
      </left>
      <right style="dotted">
        <color auto="1"/>
      </right>
      <top style="thin">
        <color indexed="64"/>
      </top>
      <bottom style="dotted">
        <color indexed="64"/>
      </bottom>
      <diagonal style="none"/>
    </border>
    <border>
      <left style="dotted">
        <color auto="1"/>
      </left>
      <right style="thin">
        <color auto="1"/>
      </right>
      <top style="thin">
        <color indexed="64"/>
      </top>
      <bottom style="dotted">
        <color indexed="64"/>
      </bottom>
      <diagonal style="none"/>
    </border>
    <border>
      <left style="thin">
        <color auto="1"/>
      </left>
      <right style="dotted">
        <color auto="1"/>
      </right>
      <top style="thin">
        <color indexed="64"/>
      </top>
      <bottom style="dotted">
        <color indexed="64"/>
      </bottom>
      <diagonal style="none"/>
    </border>
    <border>
      <left style="dotted">
        <color auto="1"/>
      </left>
      <right style="double">
        <color auto="1"/>
      </right>
      <top style="thin">
        <color indexed="64"/>
      </top>
      <bottom style="dotted">
        <color indexed="64"/>
      </bottom>
      <diagonal style="none"/>
    </border>
    <border>
      <left style="double">
        <color auto="1"/>
      </left>
      <right style="dotted">
        <color auto="1"/>
      </right>
      <top style="thin">
        <color indexed="64"/>
      </top>
      <bottom style="dotted">
        <color indexed="64"/>
      </bottom>
      <diagonal style="none"/>
    </border>
    <border>
      <left style="double">
        <color indexed="64"/>
      </left>
      <right style="dotted">
        <color auto="1"/>
      </right>
      <top style="dotted">
        <color indexed="64"/>
      </top>
      <bottom style="dotted">
        <color indexed="64"/>
      </bottom>
      <diagonal style="none"/>
    </border>
    <border>
      <left style="dotted">
        <color auto="1"/>
      </left>
      <right style="thin">
        <color auto="1"/>
      </right>
      <top style="dotted">
        <color indexed="64"/>
      </top>
      <bottom style="dotted">
        <color indexed="64"/>
      </bottom>
      <diagonal style="none"/>
    </border>
    <border>
      <left style="thin">
        <color auto="1"/>
      </left>
      <right style="dotted">
        <color auto="1"/>
      </right>
      <top style="dotted">
        <color indexed="64"/>
      </top>
      <bottom style="dotted">
        <color indexed="64"/>
      </bottom>
      <diagonal style="none"/>
    </border>
    <border>
      <left style="dotted">
        <color auto="1"/>
      </left>
      <right style="double">
        <color auto="1"/>
      </right>
      <top style="dotted">
        <color indexed="64"/>
      </top>
      <bottom style="dotted">
        <color indexed="64"/>
      </bottom>
      <diagonal style="none"/>
    </border>
    <border>
      <left style="double">
        <color auto="1"/>
      </left>
      <right style="dotted">
        <color auto="1"/>
      </right>
      <top style="dotted">
        <color indexed="64"/>
      </top>
      <bottom style="dotted">
        <color indexed="64"/>
      </bottom>
      <diagonal style="none"/>
    </border>
    <border>
      <left style="double">
        <color indexed="64"/>
      </left>
      <right style="dotted">
        <color auto="1"/>
      </right>
      <top style="dotted">
        <color indexed="64"/>
      </top>
      <bottom style="thin">
        <color indexed="64"/>
      </bottom>
      <diagonal style="none"/>
    </border>
    <border>
      <left style="dotted">
        <color auto="1"/>
      </left>
      <right style="thin">
        <color auto="1"/>
      </right>
      <top style="dotted">
        <color indexed="64"/>
      </top>
      <bottom style="thin">
        <color indexed="64"/>
      </bottom>
      <diagonal style="none"/>
    </border>
    <border>
      <left style="thin">
        <color auto="1"/>
      </left>
      <right style="dotted">
        <color auto="1"/>
      </right>
      <top style="dotted">
        <color indexed="64"/>
      </top>
      <bottom style="thin">
        <color indexed="64"/>
      </bottom>
      <diagonal style="none"/>
    </border>
    <border>
      <left style="dotted">
        <color auto="1"/>
      </left>
      <right style="double">
        <color auto="1"/>
      </right>
      <top style="dotted">
        <color indexed="64"/>
      </top>
      <bottom style="thin">
        <color indexed="64"/>
      </bottom>
      <diagonal style="none"/>
    </border>
    <border>
      <left style="double">
        <color auto="1"/>
      </left>
      <right style="dotted">
        <color auto="1"/>
      </right>
      <top style="dotted">
        <color indexed="64"/>
      </top>
      <bottom style="thin">
        <color indexed="64"/>
      </bottom>
      <diagonal style="none"/>
    </border>
    <border>
      <left style="double">
        <color indexed="64"/>
      </left>
      <right style="thin">
        <color indexed="64"/>
      </right>
      <top style="thin">
        <color indexed="64"/>
      </top>
      <bottom style="double">
        <color indexed="64"/>
      </bottom>
      <diagonal style="none"/>
    </border>
    <border>
      <left style="thin">
        <color indexed="64"/>
      </left>
      <right style="double">
        <color indexed="64"/>
      </right>
      <top style="thin">
        <color indexed="64"/>
      </top>
      <bottom style="double">
        <color indexed="64"/>
      </bottom>
      <diagonal style="none"/>
    </border>
    <border>
      <left style="double">
        <color indexed="64"/>
      </left>
      <right style="dotted">
        <color indexed="64"/>
      </right>
      <top style="thin">
        <color indexed="64"/>
      </top>
      <bottom style="double">
        <color indexed="64"/>
      </bottom>
      <diagonal style="none"/>
    </border>
    <border>
      <left style="dotted">
        <color indexed="64"/>
      </left>
      <right style="none"/>
      <top style="thin">
        <color indexed="64"/>
      </top>
      <bottom style="double">
        <color indexed="64"/>
      </bottom>
      <diagonal style="none"/>
    </border>
    <border>
      <left style="thin">
        <color indexed="64"/>
      </left>
      <right style="dotted">
        <color indexed="64"/>
      </right>
      <top style="thin">
        <color indexed="64"/>
      </top>
      <bottom style="double">
        <color indexed="64"/>
      </bottom>
      <diagonal style="none"/>
    </border>
    <border>
      <left style="dotted">
        <color indexed="64"/>
      </left>
      <right style="double">
        <color auto="1"/>
      </right>
      <top style="thin">
        <color indexed="64"/>
      </top>
      <bottom style="double">
        <color indexed="64"/>
      </bottom>
      <diagonal style="none"/>
    </border>
    <border>
      <left style="double">
        <color auto="1"/>
      </left>
      <right style="dotted">
        <color indexed="64"/>
      </right>
      <top style="thin">
        <color indexed="64"/>
      </top>
      <bottom style="double">
        <color indexed="64"/>
      </bottom>
      <diagonal style="none"/>
    </border>
    <border>
      <left style="dotted">
        <color indexed="64"/>
      </left>
      <right style="thin">
        <color indexed="64"/>
      </right>
      <top style="thin">
        <color indexed="64"/>
      </top>
      <bottom style="double">
        <color indexed="64"/>
      </bottom>
      <diagonal style="none"/>
    </border>
    <border>
      <left style="double">
        <color auto="1"/>
      </left>
      <right style="dotted">
        <color auto="1"/>
      </right>
      <top style="thin">
        <color indexed="64"/>
      </top>
      <bottom style="double">
        <color indexed="64"/>
      </bottom>
      <diagonal style="none"/>
    </border>
    <border>
      <left style="dotted">
        <color auto="1"/>
      </left>
      <right style="thin">
        <color auto="1"/>
      </right>
      <top style="thin">
        <color indexed="64"/>
      </top>
      <bottom style="double">
        <color indexed="64"/>
      </bottom>
      <diagonal style="none"/>
    </border>
    <border>
      <left style="thin">
        <color auto="1"/>
      </left>
      <right style="dotted">
        <color auto="1"/>
      </right>
      <top style="thin">
        <color indexed="64"/>
      </top>
      <bottom style="double">
        <color indexed="64"/>
      </bottom>
      <diagonal style="none"/>
    </border>
    <border>
      <left style="dotted">
        <color auto="1"/>
      </left>
      <right style="double">
        <color auto="1"/>
      </right>
      <top style="thin">
        <color indexed="64"/>
      </top>
      <bottom style="double">
        <color indexed="64"/>
      </bottom>
      <diagonal style="none"/>
    </border>
    <border>
      <left style="dotted">
        <color auto="1"/>
      </left>
      <right style="double">
        <color indexed="64"/>
      </right>
      <top style="thin">
        <color indexed="64"/>
      </top>
      <bottom style="double">
        <color indexed="64"/>
      </bottom>
      <diagonal style="none"/>
    </border>
    <border>
      <left style="none"/>
      <right style="none"/>
      <top style="double">
        <color indexed="64"/>
      </top>
      <bottom style="none"/>
      <diagonal style="none"/>
    </border>
    <border>
      <left style="none"/>
      <right style="none"/>
      <top style="none"/>
      <bottom style="double">
        <color auto="1"/>
      </bottom>
      <diagonal style="none"/>
    </border>
    <border>
      <left style="double">
        <color indexed="64"/>
      </left>
      <right style="double">
        <color auto="1"/>
      </right>
      <top style="double">
        <color auto="1"/>
      </top>
      <bottom style="none"/>
      <diagonal style="none"/>
    </border>
    <border>
      <left style="double">
        <color auto="1"/>
      </left>
      <right style="double">
        <color auto="1"/>
      </right>
      <top style="double">
        <color auto="1"/>
      </top>
      <bottom style="none"/>
      <diagonal style="none"/>
    </border>
    <border>
      <left style="double">
        <color auto="1"/>
      </left>
      <right style="double">
        <color indexed="64"/>
      </right>
      <top style="double">
        <color auto="1"/>
      </top>
      <bottom style="none"/>
      <diagonal style="none"/>
    </border>
    <border>
      <left style="none"/>
      <right style="none"/>
      <top style="none"/>
      <bottom style="double">
        <color indexed="64"/>
      </bottom>
      <diagonal style="none"/>
    </border>
    <border>
      <left style="none"/>
      <right style="double">
        <color auto="1"/>
      </right>
      <top style="double">
        <color indexed="64"/>
      </top>
      <bottom style="none"/>
      <diagonal style="none"/>
    </border>
    <border>
      <left style="thin">
        <color indexed="64"/>
      </left>
      <right style="thin">
        <color indexed="64"/>
      </right>
      <top style="double">
        <color indexed="64"/>
      </top>
      <bottom style="none"/>
      <diagonal style="none"/>
    </border>
    <border>
      <left style="thin">
        <color indexed="64"/>
      </left>
      <right style="none"/>
      <top style="double">
        <color indexed="64"/>
      </top>
      <bottom style="none"/>
      <diagonal style="none"/>
    </border>
    <border>
      <left style="none"/>
      <right style="double">
        <color indexed="64"/>
      </right>
      <top style="double">
        <color indexed="64"/>
      </top>
      <bottom style="none"/>
      <diagonal style="none"/>
    </border>
    <border>
      <left style="thin">
        <color indexed="64"/>
      </left>
      <right style="thin">
        <color indexed="64"/>
      </right>
      <top style="none"/>
      <bottom style="none"/>
      <diagonal style="none"/>
    </border>
    <border>
      <left style="thin">
        <color indexed="64"/>
      </left>
      <right style="none"/>
      <top style="none"/>
      <bottom style="none"/>
      <diagonal style="none"/>
    </border>
    <border>
      <left style="none"/>
      <right style="double">
        <color indexed="64"/>
      </right>
      <top style="none"/>
      <bottom style="none"/>
      <diagonal style="none"/>
    </border>
    <border>
      <left style="double">
        <color indexed="64"/>
      </left>
      <right style="thin">
        <color indexed="64"/>
      </right>
      <top style="none"/>
      <bottom style="none"/>
      <diagonal style="none"/>
    </border>
    <border>
      <left style="thin">
        <color indexed="64"/>
      </left>
      <right style="double">
        <color indexed="64"/>
      </right>
      <top style="none"/>
      <bottom style="none"/>
      <diagonal style="none"/>
    </border>
    <border>
      <left style="double">
        <color indexed="64"/>
      </left>
      <right style="double">
        <color indexed="64"/>
      </right>
      <top style="none"/>
      <bottom style="none"/>
      <diagonal style="none"/>
    </border>
    <border>
      <left style="double">
        <color indexed="64"/>
      </left>
      <right style="none"/>
      <top style="double">
        <color indexed="64"/>
      </top>
      <bottom style="thin">
        <color indexed="64"/>
      </bottom>
      <diagonal style="none"/>
    </border>
    <border>
      <left style="none"/>
      <right style="double">
        <color indexed="64"/>
      </right>
      <top style="double">
        <color indexed="64"/>
      </top>
      <bottom style="thin">
        <color indexed="64"/>
      </bottom>
      <diagonal style="none"/>
    </border>
    <border>
      <left style="dotted">
        <color indexed="64"/>
      </left>
      <right style="double">
        <color indexed="64"/>
      </right>
      <top style="none"/>
      <bottom style="thin">
        <color indexed="64"/>
      </bottom>
      <diagonal style="none"/>
    </border>
    <border>
      <left style="none"/>
      <right style="none"/>
      <top style="none"/>
      <bottom style="thin">
        <color indexed="64"/>
      </bottom>
      <diagonal style="none"/>
    </border>
    <border>
      <left style="double">
        <color indexed="64"/>
      </left>
      <right style="double">
        <color auto="1"/>
      </right>
      <top style="double">
        <color indexed="64"/>
      </top>
      <bottom style="thin">
        <color indexed="64"/>
      </bottom>
      <diagonal style="none"/>
    </border>
    <border>
      <left style="double">
        <color auto="1"/>
      </left>
      <right style="double">
        <color indexed="64"/>
      </right>
      <top style="double">
        <color indexed="64"/>
      </top>
      <bottom style="thin">
        <color indexed="64"/>
      </bottom>
      <diagonal style="none"/>
    </border>
    <border>
      <left style="thin">
        <color indexed="64"/>
      </left>
      <right style="thin">
        <color indexed="64"/>
      </right>
      <top style="none"/>
      <bottom style="thin">
        <color indexed="64"/>
      </bottom>
      <diagonal style="none"/>
    </border>
    <border>
      <left style="thin">
        <color indexed="64"/>
      </left>
      <right style="none"/>
      <top style="none"/>
      <bottom style="thin">
        <color indexed="64"/>
      </bottom>
      <diagonal style="none"/>
    </border>
    <border>
      <left style="none"/>
      <right style="double">
        <color indexed="64"/>
      </right>
      <top style="none"/>
      <bottom style="thin">
        <color indexed="64"/>
      </bottom>
      <diagonal style="none"/>
    </border>
    <border>
      <left style="double">
        <color indexed="64"/>
      </left>
      <right style="none"/>
      <top style="thin">
        <color indexed="64"/>
      </top>
      <bottom style="dotted">
        <color indexed="64"/>
      </bottom>
      <diagonal style="none"/>
    </border>
    <border>
      <left style="none"/>
      <right style="double">
        <color indexed="64"/>
      </right>
      <top style="thin">
        <color indexed="64"/>
      </top>
      <bottom style="dotted">
        <color indexed="64"/>
      </bottom>
      <diagonal style="none"/>
    </border>
    <border>
      <left style="double">
        <color indexed="64"/>
      </left>
      <right style="dotted">
        <color indexed="64"/>
      </right>
      <top style="thin">
        <color indexed="64"/>
      </top>
      <bottom style="dotted">
        <color indexed="64"/>
      </bottom>
      <diagonal style="none"/>
    </border>
    <border>
      <left style="dotted">
        <color indexed="64"/>
      </left>
      <right style="thin">
        <color indexed="64"/>
      </right>
      <top style="thin">
        <color indexed="64"/>
      </top>
      <bottom style="dotted">
        <color indexed="64"/>
      </bottom>
      <diagonal style="none"/>
    </border>
    <border>
      <left style="thin">
        <color indexed="64"/>
      </left>
      <right style="dotted">
        <color indexed="64"/>
      </right>
      <top style="thin">
        <color indexed="64"/>
      </top>
      <bottom style="dotted">
        <color indexed="64"/>
      </bottom>
      <diagonal style="none"/>
    </border>
    <border>
      <left style="dotted">
        <color indexed="64"/>
      </left>
      <right style="double">
        <color indexed="64"/>
      </right>
      <top style="thin">
        <color indexed="64"/>
      </top>
      <bottom style="dotted">
        <color indexed="64"/>
      </bottom>
      <diagonal style="none"/>
    </border>
    <border>
      <left style="none"/>
      <right style="none"/>
      <top style="thin">
        <color indexed="64"/>
      </top>
      <bottom style="dotted">
        <color indexed="64"/>
      </bottom>
      <diagonal style="none"/>
    </border>
    <border>
      <left style="double">
        <color indexed="64"/>
      </left>
      <right style="double">
        <color auto="1"/>
      </right>
      <top style="thin">
        <color indexed="64"/>
      </top>
      <bottom style="dotted">
        <color auto="1"/>
      </bottom>
      <diagonal style="none"/>
    </border>
    <border>
      <left style="double">
        <color auto="1"/>
      </left>
      <right style="double">
        <color indexed="64"/>
      </right>
      <top style="thin">
        <color indexed="64"/>
      </top>
      <bottom style="dotted">
        <color auto="1"/>
      </bottom>
      <diagonal style="none"/>
    </border>
    <border>
      <left style="double">
        <color indexed="64"/>
      </left>
      <right style="thin">
        <color indexed="64"/>
      </right>
      <top style="thin">
        <color indexed="64"/>
      </top>
      <bottom style="dotted">
        <color auto="1"/>
      </bottom>
      <diagonal style="none"/>
    </border>
    <border>
      <left style="thin">
        <color indexed="64"/>
      </left>
      <right style="thin">
        <color indexed="64"/>
      </right>
      <top style="thin">
        <color indexed="64"/>
      </top>
      <bottom style="dotted">
        <color indexed="64"/>
      </bottom>
      <diagonal style="none"/>
    </border>
    <border>
      <left style="thin">
        <color indexed="64"/>
      </left>
      <right style="none"/>
      <top style="thin">
        <color indexed="64"/>
      </top>
      <bottom style="dotted">
        <color indexed="64"/>
      </bottom>
      <diagonal style="none"/>
    </border>
    <border>
      <left style="double">
        <color indexed="64"/>
      </left>
      <right style="none"/>
      <top style="dotted">
        <color indexed="64"/>
      </top>
      <bottom style="dotted">
        <color indexed="64"/>
      </bottom>
      <diagonal style="none"/>
    </border>
    <border>
      <left style="none"/>
      <right style="double">
        <color indexed="64"/>
      </right>
      <top style="dotted">
        <color indexed="64"/>
      </top>
      <bottom style="dotted">
        <color indexed="64"/>
      </bottom>
      <diagonal style="none"/>
    </border>
    <border>
      <left style="double">
        <color indexed="64"/>
      </left>
      <right style="dotted">
        <color indexed="64"/>
      </right>
      <top style="dotted">
        <color indexed="64"/>
      </top>
      <bottom style="dotted">
        <color indexed="64"/>
      </bottom>
      <diagonal style="none"/>
    </border>
    <border>
      <left style="dotted">
        <color indexed="64"/>
      </left>
      <right style="thin">
        <color indexed="64"/>
      </right>
      <top style="dotted">
        <color indexed="64"/>
      </top>
      <bottom style="dotted">
        <color indexed="64"/>
      </bottom>
      <diagonal style="none"/>
    </border>
    <border>
      <left style="thin">
        <color indexed="64"/>
      </left>
      <right style="dotted">
        <color indexed="64"/>
      </right>
      <top style="dotted">
        <color indexed="64"/>
      </top>
      <bottom style="dotted">
        <color indexed="64"/>
      </bottom>
      <diagonal style="none"/>
    </border>
    <border>
      <left style="dotted">
        <color indexed="64"/>
      </left>
      <right style="double">
        <color indexed="64"/>
      </right>
      <top style="dotted">
        <color indexed="64"/>
      </top>
      <bottom style="dotted">
        <color indexed="64"/>
      </bottom>
      <diagonal style="none"/>
    </border>
    <border>
      <left style="none"/>
      <right style="none"/>
      <top style="dotted">
        <color indexed="64"/>
      </top>
      <bottom style="dotted">
        <color indexed="64"/>
      </bottom>
      <diagonal style="none"/>
    </border>
    <border>
      <left style="double">
        <color indexed="64"/>
      </left>
      <right style="double">
        <color auto="1"/>
      </right>
      <top style="dotted">
        <color auto="1"/>
      </top>
      <bottom style="dotted">
        <color auto="1"/>
      </bottom>
      <diagonal style="none"/>
    </border>
    <border>
      <left style="double">
        <color auto="1"/>
      </left>
      <right style="double">
        <color indexed="64"/>
      </right>
      <top style="dotted">
        <color auto="1"/>
      </top>
      <bottom style="dotted">
        <color auto="1"/>
      </bottom>
      <diagonal style="none"/>
    </border>
    <border>
      <left style="double">
        <color indexed="64"/>
      </left>
      <right style="thin">
        <color indexed="64"/>
      </right>
      <top style="dotted">
        <color auto="1"/>
      </top>
      <bottom style="dotted">
        <color auto="1"/>
      </bottom>
      <diagonal style="none"/>
    </border>
    <border>
      <left style="thin">
        <color indexed="64"/>
      </left>
      <right style="thin">
        <color indexed="64"/>
      </right>
      <top style="dotted">
        <color indexed="64"/>
      </top>
      <bottom style="dotted">
        <color indexed="64"/>
      </bottom>
      <diagonal style="none"/>
    </border>
    <border>
      <left style="thin">
        <color indexed="64"/>
      </left>
      <right style="none"/>
      <top style="dotted">
        <color indexed="64"/>
      </top>
      <bottom style="dotted">
        <color indexed="64"/>
      </bottom>
      <diagonal style="none"/>
    </border>
    <border>
      <left style="double">
        <color indexed="64"/>
      </left>
      <right style="none"/>
      <top style="dotted">
        <color indexed="64"/>
      </top>
      <bottom style="thin">
        <color indexed="64"/>
      </bottom>
      <diagonal style="none"/>
    </border>
    <border>
      <left style="none"/>
      <right style="double">
        <color indexed="64"/>
      </right>
      <top style="dotted">
        <color indexed="64"/>
      </top>
      <bottom style="thin">
        <color indexed="64"/>
      </bottom>
      <diagonal style="none"/>
    </border>
    <border>
      <left style="double">
        <color indexed="64"/>
      </left>
      <right style="dotted">
        <color indexed="64"/>
      </right>
      <top style="dotted">
        <color indexed="64"/>
      </top>
      <bottom style="thin">
        <color indexed="64"/>
      </bottom>
      <diagonal style="none"/>
    </border>
    <border>
      <left style="dotted">
        <color indexed="64"/>
      </left>
      <right style="thin">
        <color indexed="64"/>
      </right>
      <top style="dotted">
        <color indexed="64"/>
      </top>
      <bottom style="thin">
        <color indexed="64"/>
      </bottom>
      <diagonal style="none"/>
    </border>
    <border>
      <left style="thin">
        <color indexed="64"/>
      </left>
      <right style="dotted">
        <color indexed="64"/>
      </right>
      <top style="dotted">
        <color indexed="64"/>
      </top>
      <bottom style="thin">
        <color indexed="64"/>
      </bottom>
      <diagonal style="none"/>
    </border>
    <border>
      <left style="dotted">
        <color indexed="64"/>
      </left>
      <right style="double">
        <color indexed="64"/>
      </right>
      <top style="dotted">
        <color indexed="64"/>
      </top>
      <bottom style="thin">
        <color indexed="64"/>
      </bottom>
      <diagonal style="none"/>
    </border>
    <border>
      <left style="none"/>
      <right style="none"/>
      <top style="dotted">
        <color indexed="64"/>
      </top>
      <bottom style="thin">
        <color indexed="64"/>
      </bottom>
      <diagonal style="none"/>
    </border>
    <border>
      <left style="double">
        <color indexed="64"/>
      </left>
      <right style="double">
        <color auto="1"/>
      </right>
      <top style="dotted">
        <color auto="1"/>
      </top>
      <bottom style="thin">
        <color auto="1"/>
      </bottom>
      <diagonal style="none"/>
    </border>
    <border>
      <left style="double">
        <color auto="1"/>
      </left>
      <right style="double">
        <color indexed="64"/>
      </right>
      <top style="dotted">
        <color auto="1"/>
      </top>
      <bottom style="thin">
        <color auto="1"/>
      </bottom>
      <diagonal style="none"/>
    </border>
    <border>
      <left style="double">
        <color indexed="64"/>
      </left>
      <right style="thin">
        <color indexed="64"/>
      </right>
      <top style="dotted">
        <color auto="1"/>
      </top>
      <bottom style="thin">
        <color auto="1"/>
      </bottom>
      <diagonal style="none"/>
    </border>
    <border>
      <left style="thin">
        <color indexed="64"/>
      </left>
      <right style="thin">
        <color indexed="64"/>
      </right>
      <top style="dotted">
        <color indexed="64"/>
      </top>
      <bottom style="thin">
        <color indexed="64"/>
      </bottom>
      <diagonal style="none"/>
    </border>
    <border>
      <left style="thin">
        <color indexed="64"/>
      </left>
      <right style="none"/>
      <top style="dotted">
        <color indexed="64"/>
      </top>
      <bottom style="thin">
        <color indexed="64"/>
      </bottom>
      <diagonal style="none"/>
    </border>
    <border>
      <left style="double">
        <color indexed="64"/>
      </left>
      <right style="none"/>
      <top style="thin">
        <color indexed="64"/>
      </top>
      <bottom style="thin">
        <color indexed="64"/>
      </bottom>
      <diagonal style="none"/>
    </border>
    <border>
      <left style="none"/>
      <right style="double">
        <color indexed="64"/>
      </right>
      <top style="thin">
        <color indexed="64"/>
      </top>
      <bottom style="thin">
        <color indexed="64"/>
      </bottom>
      <diagonal style="none"/>
    </border>
    <border>
      <left style="dotted">
        <color indexed="64"/>
      </left>
      <right style="double">
        <color indexed="64"/>
      </right>
      <top style="thin">
        <color indexed="64"/>
      </top>
      <bottom style="thin">
        <color indexed="64"/>
      </bottom>
      <diagonal style="none"/>
    </border>
    <border>
      <left style="none"/>
      <right style="none"/>
      <top style="thin">
        <color indexed="64"/>
      </top>
      <bottom style="thin">
        <color indexed="64"/>
      </bottom>
      <diagonal style="none"/>
    </border>
    <border>
      <left style="double">
        <color indexed="64"/>
      </left>
      <right style="none"/>
      <top style="thin">
        <color auto="1"/>
      </top>
      <bottom style="thin">
        <color auto="1"/>
      </bottom>
      <diagonal style="none"/>
    </border>
    <border>
      <left style="none"/>
      <right style="double">
        <color indexed="64"/>
      </right>
      <top style="thin">
        <color auto="1"/>
      </top>
      <bottom style="thin">
        <color auto="1"/>
      </bottom>
      <diagonal style="none"/>
    </border>
    <border>
      <left style="double">
        <color indexed="64"/>
      </left>
      <right style="thin">
        <color indexed="64"/>
      </right>
      <top style="thin">
        <color auto="1"/>
      </top>
      <bottom style="thin">
        <color auto="1"/>
      </bottom>
      <diagonal style="none"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 style="none"/>
    </border>
    <border>
      <left style="thin">
        <color indexed="64"/>
      </left>
      <right style="none"/>
      <top style="thin">
        <color indexed="64"/>
      </top>
      <bottom style="thin">
        <color indexed="64"/>
      </bottom>
      <diagonal style="none"/>
    </border>
    <border>
      <left style="double">
        <color indexed="64"/>
      </left>
      <right style="none"/>
      <top style="thin">
        <color indexed="64"/>
      </top>
      <bottom style="double">
        <color indexed="64"/>
      </bottom>
      <diagonal style="none"/>
    </border>
    <border>
      <left style="none"/>
      <right style="double">
        <color indexed="64"/>
      </right>
      <top style="thin">
        <color indexed="64"/>
      </top>
      <bottom style="double">
        <color indexed="64"/>
      </bottom>
      <diagonal style="none"/>
    </border>
    <border>
      <left style="dotted">
        <color indexed="64"/>
      </left>
      <right style="double">
        <color indexed="64"/>
      </right>
      <top style="thin">
        <color indexed="64"/>
      </top>
      <bottom style="double">
        <color indexed="64"/>
      </bottom>
      <diagonal style="none"/>
    </border>
    <border>
      <left style="none"/>
      <right style="none"/>
      <top style="thin">
        <color indexed="64"/>
      </top>
      <bottom style="double">
        <color indexed="64"/>
      </bottom>
      <diagonal style="none"/>
    </border>
    <border>
      <left style="double">
        <color indexed="64"/>
      </left>
      <right style="none"/>
      <top style="thin">
        <color auto="1"/>
      </top>
      <bottom style="double">
        <color indexed="64"/>
      </bottom>
      <diagonal style="none"/>
    </border>
    <border>
      <left style="none"/>
      <right style="double">
        <color indexed="64"/>
      </right>
      <top style="thin">
        <color auto="1"/>
      </top>
      <bottom style="double">
        <color indexed="64"/>
      </bottom>
      <diagonal style="none"/>
    </border>
    <border>
      <left style="double">
        <color indexed="64"/>
      </left>
      <right style="dotted">
        <color indexed="64"/>
      </right>
      <top style="thin">
        <color auto="1"/>
      </top>
      <bottom style="double">
        <color indexed="64"/>
      </bottom>
      <diagonal style="none"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 style="none"/>
    </border>
    <border>
      <left style="thin">
        <color indexed="64"/>
      </left>
      <right style="none"/>
      <top style="thin">
        <color indexed="64"/>
      </top>
      <bottom style="double">
        <color indexed="64"/>
      </bottom>
      <diagonal style="none"/>
    </border>
    <border>
      <left style="double">
        <color auto="1"/>
      </left>
      <right style="none"/>
      <top style="none"/>
      <bottom style="none"/>
      <diagonal style="none"/>
    </border>
    <border>
      <left style="double">
        <color indexed="64"/>
      </left>
      <right style="dotted">
        <color auto="1"/>
      </right>
      <top style="none"/>
      <bottom style="none"/>
      <diagonal style="none"/>
    </border>
    <border>
      <left style="dotted">
        <color auto="1"/>
      </left>
      <right style="thin">
        <color auto="1"/>
      </right>
      <top style="none"/>
      <bottom style="none"/>
      <diagonal style="none"/>
    </border>
    <border>
      <left style="double">
        <color auto="1"/>
      </left>
      <right style="dotted">
        <color auto="1"/>
      </right>
      <top style="none"/>
      <bottom style="none"/>
      <diagonal style="none"/>
    </border>
    <border>
      <left style="double">
        <color indexed="64"/>
      </left>
      <right style="dotted">
        <color auto="1"/>
      </right>
      <top style="none"/>
      <bottom style="thin">
        <color indexed="64"/>
      </bottom>
      <diagonal style="none"/>
    </border>
    <border>
      <left style="double">
        <color indexed="64"/>
      </left>
      <right style="dotted">
        <color auto="1"/>
      </right>
      <top style="thin">
        <color indexed="64"/>
      </top>
      <bottom style="thin">
        <color indexed="64"/>
      </bottom>
      <diagonal style="none"/>
    </border>
    <border>
      <left style="double">
        <color indexed="64"/>
      </left>
      <right style="dotted">
        <color auto="1"/>
      </right>
      <top style="thin">
        <color indexed="64"/>
      </top>
      <bottom style="double">
        <color indexed="64"/>
      </bottom>
      <diagonal style="none"/>
    </border>
    <border>
      <left style="double">
        <color auto="1"/>
      </left>
      <right style="none"/>
      <top style="double">
        <color indexed="64"/>
      </top>
      <bottom style="none"/>
      <diagonal style="none"/>
    </border>
    <border>
      <left style="thin">
        <color indexed="64"/>
      </left>
      <right style="dotted">
        <color indexed="64"/>
      </right>
      <top style="double">
        <color indexed="64"/>
      </top>
      <bottom style="none"/>
      <diagonal style="none"/>
    </border>
    <border>
      <left style="dotted">
        <color indexed="64"/>
      </left>
      <right style="thin">
        <color indexed="64"/>
      </right>
      <top style="double">
        <color indexed="64"/>
      </top>
      <bottom style="none"/>
      <diagonal style="none"/>
    </border>
    <border>
      <left style="thin">
        <color indexed="64"/>
      </left>
      <right style="dotted">
        <color indexed="64"/>
      </right>
      <top style="none"/>
      <bottom style="none"/>
      <diagonal style="none"/>
    </border>
    <border>
      <left style="dotted">
        <color indexed="64"/>
      </left>
      <right style="thin">
        <color indexed="64"/>
      </right>
      <top style="none"/>
      <bottom style="none"/>
      <diagonal style="none"/>
    </border>
    <border>
      <left style="thin">
        <color auto="1"/>
      </left>
      <right style="double">
        <color auto="1"/>
      </right>
      <top style="none"/>
      <bottom style="none"/>
      <diagonal style="none"/>
    </border>
    <border>
      <left style="dotted">
        <color auto="1"/>
      </left>
      <right style="double">
        <color indexed="64"/>
      </right>
      <top style="thin">
        <color indexed="64"/>
      </top>
      <bottom style="dotted">
        <color indexed="64"/>
      </bottom>
      <diagonal style="none"/>
    </border>
    <border>
      <left style="double">
        <color indexed="64"/>
      </left>
      <right style="none"/>
      <top style="thin">
        <color indexed="64"/>
      </top>
      <bottom style="dotted">
        <color auto="1"/>
      </bottom>
      <diagonal style="none"/>
    </border>
    <border>
      <left style="none"/>
      <right style="double">
        <color indexed="64"/>
      </right>
      <top style="thin">
        <color indexed="64"/>
      </top>
      <bottom style="dotted">
        <color auto="1"/>
      </bottom>
      <diagonal style="none"/>
    </border>
    <border>
      <left style="dotted">
        <color auto="1"/>
      </left>
      <right style="double">
        <color indexed="64"/>
      </right>
      <top style="dotted">
        <color indexed="64"/>
      </top>
      <bottom style="dotted">
        <color indexed="64"/>
      </bottom>
      <diagonal style="none"/>
    </border>
    <border>
      <left style="double">
        <color indexed="64"/>
      </left>
      <right style="none"/>
      <top style="dotted">
        <color auto="1"/>
      </top>
      <bottom style="dotted">
        <color auto="1"/>
      </bottom>
      <diagonal style="none"/>
    </border>
    <border>
      <left style="none"/>
      <right style="double">
        <color indexed="64"/>
      </right>
      <top style="dotted">
        <color auto="1"/>
      </top>
      <bottom style="dotted">
        <color auto="1"/>
      </bottom>
      <diagonal style="none"/>
    </border>
    <border>
      <left style="dotted">
        <color auto="1"/>
      </left>
      <right style="double">
        <color indexed="64"/>
      </right>
      <top style="dotted">
        <color indexed="64"/>
      </top>
      <bottom style="thin">
        <color indexed="64"/>
      </bottom>
      <diagonal style="none"/>
    </border>
    <border>
      <left style="double">
        <color indexed="64"/>
      </left>
      <right style="none"/>
      <top style="dotted">
        <color auto="1"/>
      </top>
      <bottom style="thin">
        <color indexed="64"/>
      </bottom>
      <diagonal style="none"/>
    </border>
    <border>
      <left style="none"/>
      <right style="double">
        <color indexed="64"/>
      </right>
      <top style="dotted">
        <color auto="1"/>
      </top>
      <bottom style="thin">
        <color indexed="64"/>
      </bottom>
      <diagonal style="none"/>
    </border>
    <border>
      <left style="double">
        <color indexed="64"/>
      </left>
      <right style="thin">
        <color indexed="64"/>
      </right>
      <top style="dotted">
        <color auto="1"/>
      </top>
      <bottom style="thin">
        <color indexed="64"/>
      </bottom>
      <diagonal style="none"/>
    </border>
    <border>
      <left style="double">
        <color indexed="64"/>
      </left>
      <right style="double">
        <color auto="1"/>
      </right>
      <top style="thin">
        <color indexed="64"/>
      </top>
      <bottom style="thin">
        <color indexed="64"/>
      </bottom>
      <diagonal style="none"/>
    </border>
    <border>
      <left style="double">
        <color auto="1"/>
      </left>
      <right style="double">
        <color indexed="64"/>
      </right>
      <top style="thin">
        <color indexed="64"/>
      </top>
      <bottom style="thin">
        <color indexed="64"/>
      </bottom>
      <diagonal style="none"/>
    </border>
    <border>
      <left style="double">
        <color indexed="64"/>
      </left>
      <right style="double">
        <color auto="1"/>
      </right>
      <top style="thin">
        <color indexed="64"/>
      </top>
      <bottom style="double">
        <color indexed="64"/>
      </bottom>
      <diagonal style="none"/>
    </border>
    <border>
      <left style="double">
        <color auto="1"/>
      </left>
      <right style="double">
        <color indexed="64"/>
      </right>
      <top style="thin">
        <color indexed="64"/>
      </top>
      <bottom style="double">
        <color indexed="64"/>
      </bottom>
      <diagonal style="none"/>
    </border>
    <border>
      <left style="none"/>
      <right style="thin">
        <color auto="1"/>
      </right>
      <top style="none"/>
      <bottom style="none"/>
      <diagonal style="none"/>
    </border>
    <border>
      <left style="thin">
        <color auto="1"/>
      </left>
      <right style="thin">
        <color auto="1"/>
      </right>
      <top style="double">
        <color indexed="64"/>
      </top>
      <bottom style="none"/>
      <diagonal style="none"/>
    </border>
    <border>
      <left style="thin">
        <color auto="1"/>
      </left>
      <right style="none"/>
      <top style="none"/>
      <bottom style="none"/>
      <diagonal style="none"/>
    </border>
    <border>
      <left style="thin">
        <color auto="1"/>
      </left>
      <right style="thin">
        <color auto="1"/>
      </right>
      <top style="none"/>
      <bottom style="none"/>
      <diagonal style="none"/>
    </border>
    <border>
      <left style="thin">
        <color auto="1"/>
      </left>
      <right style="thin">
        <color auto="1"/>
      </right>
      <top style="none"/>
      <bottom style="thin">
        <color indexed="64"/>
      </bottom>
      <diagonal style="none"/>
    </border>
    <border>
      <left style="thin">
        <color auto="1"/>
      </left>
      <right style="thin">
        <color auto="1"/>
      </right>
      <top style="thin">
        <color indexed="64"/>
      </top>
      <bottom style="dotted">
        <color auto="1"/>
      </bottom>
      <diagonal style="none"/>
    </border>
    <border>
      <left style="thin">
        <color auto="1"/>
      </left>
      <right style="thin">
        <color auto="1"/>
      </right>
      <top style="dotted">
        <color auto="1"/>
      </top>
      <bottom style="dotted">
        <color auto="1"/>
      </bottom>
      <diagonal style="none"/>
    </border>
    <border>
      <left style="thin">
        <color auto="1"/>
      </left>
      <right style="thin">
        <color auto="1"/>
      </right>
      <top style="dotted">
        <color auto="1"/>
      </top>
      <bottom style="thin">
        <color auto="1"/>
      </bottom>
      <diagonal style="none"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 style="none"/>
    </border>
    <border>
      <left style="thin">
        <color auto="1"/>
      </left>
      <right style="thin">
        <color auto="1"/>
      </right>
      <top style="thin">
        <color auto="1"/>
      </top>
      <bottom style="double">
        <color indexed="64"/>
      </bottom>
      <diagonal style="none"/>
    </border>
    <border>
      <left style="thin">
        <color indexed="64"/>
      </left>
      <right style="none"/>
      <top style="thin">
        <color indexed="64"/>
      </top>
      <bottom style="dotted">
        <color auto="1"/>
      </bottom>
      <diagonal style="none"/>
    </border>
    <border>
      <left style="none"/>
      <right style="none"/>
      <top style="thin">
        <color indexed="64"/>
      </top>
      <bottom style="dotted">
        <color auto="1"/>
      </bottom>
      <diagonal style="none"/>
    </border>
    <border>
      <left style="thin">
        <color indexed="64"/>
      </left>
      <right style="none"/>
      <top style="dotted">
        <color auto="1"/>
      </top>
      <bottom style="dotted">
        <color auto="1"/>
      </bottom>
      <diagonal style="none"/>
    </border>
    <border>
      <left style="none"/>
      <right style="none"/>
      <top style="dotted">
        <color auto="1"/>
      </top>
      <bottom style="dotted">
        <color auto="1"/>
      </bottom>
      <diagonal style="none"/>
    </border>
    <border>
      <left style="thin">
        <color indexed="64"/>
      </left>
      <right style="none"/>
      <top style="dotted">
        <color auto="1"/>
      </top>
      <bottom style="thin">
        <color auto="1"/>
      </bottom>
      <diagonal style="none"/>
    </border>
    <border>
      <left style="none"/>
      <right style="none"/>
      <top style="dotted">
        <color auto="1"/>
      </top>
      <bottom style="thin">
        <color auto="1"/>
      </bottom>
      <diagonal style="none"/>
    </border>
    <border>
      <left style="none"/>
      <right style="double">
        <color indexed="64"/>
      </right>
      <top style="dotted">
        <color auto="1"/>
      </top>
      <bottom style="thin">
        <color auto="1"/>
      </bottom>
      <diagonal style="none"/>
    </border>
    <border>
      <left style="thin">
        <color indexed="64"/>
      </left>
      <right style="none"/>
      <top style="thin">
        <color auto="1"/>
      </top>
      <bottom style="thin">
        <color auto="1"/>
      </bottom>
      <diagonal style="none"/>
    </border>
    <border>
      <left style="none"/>
      <right style="none"/>
      <top style="thin">
        <color auto="1"/>
      </top>
      <bottom style="thin">
        <color auto="1"/>
      </bottom>
      <diagonal style="none"/>
    </border>
    <border>
      <left style="thin">
        <color indexed="64"/>
      </left>
      <right style="none"/>
      <top style="thin">
        <color auto="1"/>
      </top>
      <bottom style="double">
        <color indexed="64"/>
      </bottom>
      <diagonal style="none"/>
    </border>
    <border>
      <left style="none"/>
      <right style="none"/>
      <top style="thin">
        <color auto="1"/>
      </top>
      <bottom style="double">
        <color indexed="64"/>
      </bottom>
      <diagonal style="none"/>
    </border>
    <border>
      <left style="double">
        <color indexed="64"/>
      </left>
      <right style="thin">
        <color indexed="64"/>
      </right>
      <top style="thin">
        <color indexed="64"/>
      </top>
      <bottom style="dotted">
        <color indexed="64"/>
      </bottom>
      <diagonal style="none"/>
    </border>
    <border>
      <left style="thin">
        <color indexed="64"/>
      </left>
      <right style="double">
        <color indexed="64"/>
      </right>
      <top style="thin">
        <color indexed="64"/>
      </top>
      <bottom style="dotted">
        <color indexed="64"/>
      </bottom>
      <diagonal style="none"/>
    </border>
    <border>
      <left style="double">
        <color indexed="64"/>
      </left>
      <right style="thin">
        <color indexed="64"/>
      </right>
      <top style="dotted">
        <color indexed="64"/>
      </top>
      <bottom style="dotted">
        <color indexed="64"/>
      </bottom>
      <diagonal style="none"/>
    </border>
    <border>
      <left style="thin">
        <color indexed="64"/>
      </left>
      <right style="double">
        <color indexed="64"/>
      </right>
      <top style="dotted">
        <color indexed="64"/>
      </top>
      <bottom style="dotted">
        <color indexed="64"/>
      </bottom>
      <diagonal style="none"/>
    </border>
    <border>
      <left style="double">
        <color indexed="64"/>
      </left>
      <right style="thin">
        <color indexed="64"/>
      </right>
      <top style="dotted">
        <color indexed="64"/>
      </top>
      <bottom style="thin">
        <color indexed="64"/>
      </bottom>
      <diagonal style="none"/>
    </border>
    <border>
      <left style="thin">
        <color indexed="64"/>
      </left>
      <right style="double">
        <color indexed="64"/>
      </right>
      <top style="dotted">
        <color indexed="64"/>
      </top>
      <bottom style="thin">
        <color indexed="64"/>
      </bottom>
      <diagonal style="none"/>
    </border>
    <border>
      <left style="dotted">
        <color indexed="64"/>
      </left>
      <right style="dotted">
        <color indexed="64"/>
      </right>
      <top style="double">
        <color indexed="64"/>
      </top>
      <bottom style="none"/>
      <diagonal style="none"/>
    </border>
    <border>
      <left style="dotted">
        <color indexed="64"/>
      </left>
      <right style="none"/>
      <top style="double">
        <color indexed="64"/>
      </top>
      <bottom style="none"/>
      <diagonal style="none"/>
    </border>
    <border>
      <left style="dotted">
        <color indexed="64"/>
      </left>
      <right style="dotted">
        <color indexed="64"/>
      </right>
      <top style="none"/>
      <bottom style="none"/>
      <diagonal style="none"/>
    </border>
    <border>
      <left style="dotted">
        <color indexed="64"/>
      </left>
      <right style="dotted">
        <color indexed="64"/>
      </right>
      <top style="none"/>
      <bottom style="thin">
        <color indexed="64"/>
      </bottom>
      <diagonal style="none"/>
    </border>
    <border>
      <left style="thin">
        <color indexed="64"/>
      </left>
      <right style="dotted">
        <color indexed="64"/>
      </right>
      <top style="thin">
        <color indexed="64"/>
      </top>
      <bottom style="dotted">
        <color auto="1"/>
      </bottom>
      <diagonal style="none"/>
    </border>
    <border>
      <left style="dotted">
        <color indexed="64"/>
      </left>
      <right style="dotted">
        <color indexed="64"/>
      </right>
      <top style="thin">
        <color indexed="64"/>
      </top>
      <bottom style="dotted">
        <color auto="1"/>
      </bottom>
      <diagonal style="none"/>
    </border>
    <border>
      <left style="dotted">
        <color indexed="64"/>
      </left>
      <right style="none"/>
      <top style="thin">
        <color indexed="64"/>
      </top>
      <bottom style="dotted">
        <color auto="1"/>
      </bottom>
      <diagonal style="none"/>
    </border>
    <border>
      <left style="thin">
        <color indexed="64"/>
      </left>
      <right style="dotted">
        <color indexed="64"/>
      </right>
      <top style="dotted">
        <color auto="1"/>
      </top>
      <bottom style="dotted">
        <color auto="1"/>
      </bottom>
      <diagonal style="none"/>
    </border>
    <border>
      <left style="dotted">
        <color indexed="64"/>
      </left>
      <right style="dotted">
        <color indexed="64"/>
      </right>
      <top style="dotted">
        <color auto="1"/>
      </top>
      <bottom style="dotted">
        <color auto="1"/>
      </bottom>
      <diagonal style="none"/>
    </border>
    <border>
      <left style="dotted">
        <color indexed="64"/>
      </left>
      <right style="none"/>
      <top style="dotted">
        <color auto="1"/>
      </top>
      <bottom style="dotted">
        <color auto="1"/>
      </bottom>
      <diagonal style="none"/>
    </border>
    <border>
      <left style="thin">
        <color indexed="64"/>
      </left>
      <right style="dotted">
        <color indexed="64"/>
      </right>
      <top style="dotted">
        <color auto="1"/>
      </top>
      <bottom style="thin">
        <color indexed="64"/>
      </bottom>
      <diagonal style="none"/>
    </border>
    <border>
      <left style="dotted">
        <color indexed="64"/>
      </left>
      <right style="dotted">
        <color indexed="64"/>
      </right>
      <top style="dotted">
        <color auto="1"/>
      </top>
      <bottom style="thin">
        <color indexed="64"/>
      </bottom>
      <diagonal style="none"/>
    </border>
    <border>
      <left style="dotted">
        <color indexed="64"/>
      </left>
      <right style="none"/>
      <top style="dotted">
        <color auto="1"/>
      </top>
      <bottom style="thin">
        <color indexed="64"/>
      </bottom>
      <diagonal style="none"/>
    </border>
    <border>
      <left style="none"/>
      <right style="none"/>
      <top style="dotted">
        <color auto="1"/>
      </top>
      <bottom style="thin">
        <color indexed="64"/>
      </bottom>
      <diagonal style="none"/>
    </border>
    <border>
      <left style="dotted">
        <color indexed="64"/>
      </left>
      <right style="dotted">
        <color indexed="64"/>
      </right>
      <top style="thin">
        <color indexed="64"/>
      </top>
      <bottom style="thin">
        <color indexed="64"/>
      </bottom>
      <diagonal style="none"/>
    </border>
    <border>
      <left style="dotted">
        <color indexed="64"/>
      </left>
      <right style="dotted">
        <color indexed="64"/>
      </right>
      <top style="thin">
        <color indexed="64"/>
      </top>
      <bottom style="double">
        <color indexed="64"/>
      </bottom>
      <diagonal style="none"/>
    </border>
    <border>
      <left style="none"/>
      <right style="none"/>
      <top style="medium">
        <color theme="0" tint="-0.14993743705557422"/>
      </top>
      <bottom style="medium">
        <color theme="0" tint="-0.14990691854609822"/>
      </bottom>
      <diagonal style="none"/>
    </border>
    <border>
      <left style="none"/>
      <right style="medium">
        <color theme="0" tint="-0.14990691854609822"/>
      </right>
      <top style="medium">
        <color theme="0" tint="-0.14993743705557422"/>
      </top>
      <bottom style="medium">
        <color theme="0" tint="-0.14993743705557422"/>
      </bottom>
      <diagonal style="none"/>
    </border>
    <border>
      <left style="none"/>
      <right style="none"/>
      <top style="medium">
        <color theme="0" tint="-0.14996795556505021"/>
      </top>
      <bottom style="medium">
        <color theme="0" tint="-0.14996795556505021"/>
      </bottom>
      <diagonal style="none"/>
    </border>
    <border>
      <left style="dotted">
        <color indexed="64"/>
      </left>
      <right style="double">
        <color auto="1"/>
      </right>
      <top style="thin">
        <color indexed="64"/>
      </top>
      <bottom style="dotted">
        <color indexed="64"/>
      </bottom>
      <diagonal style="none"/>
    </border>
    <border>
      <left style="double">
        <color auto="1"/>
      </left>
      <right style="dotted">
        <color indexed="64"/>
      </right>
      <top style="thin">
        <color indexed="64"/>
      </top>
      <bottom style="dotted">
        <color indexed="64"/>
      </bottom>
      <diagonal style="none"/>
    </border>
    <border>
      <left style="double">
        <color indexed="64"/>
      </left>
      <right style="double">
        <color auto="1"/>
      </right>
      <top style="thin">
        <color indexed="64"/>
      </top>
      <bottom style="dotted">
        <color indexed="64"/>
      </bottom>
      <diagonal style="none"/>
    </border>
    <border>
      <left style="double">
        <color auto="1"/>
      </left>
      <right style="double">
        <color indexed="64"/>
      </right>
      <top style="thin">
        <color indexed="64"/>
      </top>
      <bottom style="dotted">
        <color indexed="64"/>
      </bottom>
      <diagonal style="none"/>
    </border>
    <border>
      <left style="dotted">
        <color indexed="64"/>
      </left>
      <right style="double">
        <color auto="1"/>
      </right>
      <top style="dotted">
        <color indexed="64"/>
      </top>
      <bottom style="dotted">
        <color indexed="64"/>
      </bottom>
      <diagonal style="none"/>
    </border>
    <border>
      <left style="double">
        <color auto="1"/>
      </left>
      <right style="dotted">
        <color indexed="64"/>
      </right>
      <top style="dotted">
        <color indexed="64"/>
      </top>
      <bottom style="dotted">
        <color indexed="64"/>
      </bottom>
      <diagonal style="none"/>
    </border>
    <border>
      <left style="double">
        <color indexed="64"/>
      </left>
      <right style="double">
        <color auto="1"/>
      </right>
      <top style="dotted">
        <color indexed="64"/>
      </top>
      <bottom style="dotted">
        <color indexed="64"/>
      </bottom>
      <diagonal style="none"/>
    </border>
    <border>
      <left style="double">
        <color auto="1"/>
      </left>
      <right style="double">
        <color indexed="64"/>
      </right>
      <top style="dotted">
        <color indexed="64"/>
      </top>
      <bottom style="dotted">
        <color indexed="64"/>
      </bottom>
      <diagonal style="none"/>
    </border>
    <border>
      <left style="dotted">
        <color indexed="64"/>
      </left>
      <right style="double">
        <color auto="1"/>
      </right>
      <top style="dotted">
        <color indexed="64"/>
      </top>
      <bottom style="thin">
        <color indexed="64"/>
      </bottom>
      <diagonal style="none"/>
    </border>
    <border>
      <left style="double">
        <color auto="1"/>
      </left>
      <right style="dotted">
        <color indexed="64"/>
      </right>
      <top style="dotted">
        <color indexed="64"/>
      </top>
      <bottom style="thin">
        <color indexed="64"/>
      </bottom>
      <diagonal style="none"/>
    </border>
    <border>
      <left style="double">
        <color indexed="64"/>
      </left>
      <right style="double">
        <color auto="1"/>
      </right>
      <top style="dotted">
        <color indexed="64"/>
      </top>
      <bottom style="thin">
        <color indexed="64"/>
      </bottom>
      <diagonal style="none"/>
    </border>
    <border>
      <left style="double">
        <color auto="1"/>
      </left>
      <right style="double">
        <color indexed="64"/>
      </right>
      <top style="dotted">
        <color indexed="64"/>
      </top>
      <bottom style="thin">
        <color indexed="64"/>
      </bottom>
      <diagonal style="none"/>
    </border>
    <border>
      <left style="thin">
        <color auto="1"/>
      </left>
      <right style="none"/>
      <top style="thin">
        <color indexed="64"/>
      </top>
      <bottom style="thin">
        <color indexed="64"/>
      </bottom>
      <diagonal style="none"/>
    </border>
    <border>
      <left style="double">
        <color indexed="64"/>
      </left>
      <right style="none"/>
      <top style="double">
        <color indexed="64"/>
      </top>
      <bottom style="none"/>
      <diagonal style="none"/>
    </border>
    <border>
      <left style="thin">
        <color indexed="64"/>
      </left>
      <right style="thin">
        <color indexed="64"/>
      </right>
      <top style="dotted">
        <color auto="1"/>
      </top>
      <bottom style="dotted">
        <color auto="1"/>
      </bottom>
      <diagonal style="none"/>
    </border>
    <border>
      <left style="thin">
        <color indexed="64"/>
      </left>
      <right style="thin">
        <color indexed="64"/>
      </right>
      <top style="dotted">
        <color auto="1"/>
      </top>
      <bottom style="thin">
        <color auto="1"/>
      </bottom>
      <diagonal style="none"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 style="none"/>
    </border>
    <border>
      <left style="thin">
        <color indexed="64"/>
      </left>
      <right style="thin">
        <color indexed="64"/>
      </right>
      <top style="thin">
        <color auto="1"/>
      </top>
      <bottom style="double">
        <color indexed="64"/>
      </bottom>
      <diagonal style="none"/>
    </border>
    <border>
      <left style="medium">
        <color theme="0" tint="-0.14990691854609822"/>
      </left>
      <right style="none"/>
      <top style="medium">
        <color theme="0" tint="-0.14990691854609822"/>
      </top>
      <bottom style="medium">
        <color theme="0" tint="-0.14990691854609822"/>
      </bottom>
      <diagonal style="none"/>
    </border>
    <border>
      <left style="none"/>
      <right style="none"/>
      <top style="medium">
        <color theme="0" tint="-0.14990691854609822"/>
      </top>
      <bottom style="medium">
        <color theme="0" tint="-0.14990691854609822"/>
      </bottom>
      <diagonal style="none"/>
    </border>
    <border>
      <left style="none"/>
      <right style="medium">
        <color theme="0" tint="-0.14990691854609822"/>
      </right>
      <top style="medium">
        <color theme="0" tint="-0.14990691854609822"/>
      </top>
      <bottom style="medium">
        <color theme="0" tint="-0.14990691854609822"/>
      </bottom>
      <diagonal style="none"/>
    </border>
    <border>
      <left style="none"/>
      <right style="none"/>
      <top style="none"/>
      <bottom style="medium">
        <color theme="0" tint="-0.14993743705557422"/>
      </bottom>
      <diagonal style="none"/>
    </border>
    <border>
      <left style="none"/>
      <right style="medium">
        <color theme="0" tint="-0.14990691854609822"/>
      </right>
      <top style="medium">
        <color theme="0" tint="-0.14993743705557422"/>
      </top>
      <bottom style="medium">
        <color theme="0" tint="-0.14996795556505021"/>
      </bottom>
      <diagonal style="none"/>
    </border>
    <border>
      <left style="none"/>
      <right style="medium">
        <color theme="0" tint="-0.14990691854609822"/>
      </right>
      <top style="none"/>
      <bottom style="none"/>
      <diagonal style="none"/>
    </border>
    <border>
      <left style="none"/>
      <right style="medium">
        <color theme="0" tint="-0.14990691854609822"/>
      </right>
      <top style="none"/>
      <bottom style="double">
        <color indexed="64"/>
      </bottom>
      <diagonal style="none"/>
    </border>
    <border>
      <left style="double">
        <color indexed="64"/>
      </left>
      <right style="double">
        <color indexed="64"/>
      </right>
      <top style="double">
        <color indexed="64"/>
      </top>
      <bottom style="none"/>
      <diagonal style="none"/>
    </border>
    <border>
      <left style="double">
        <color auto="1"/>
      </left>
      <right style="double">
        <color indexed="64"/>
      </right>
      <top style="none"/>
      <bottom style="thin">
        <color indexed="64"/>
      </bottom>
      <diagonal style="none"/>
    </border>
    <border>
      <left style="double">
        <color indexed="64"/>
      </left>
      <right style="double">
        <color indexed="64"/>
      </right>
      <top style="none"/>
      <bottom style="thin">
        <color indexed="64"/>
      </bottom>
      <diagonal style="none"/>
    </border>
    <border>
      <left style="double">
        <color indexed="64"/>
      </left>
      <right style="double">
        <color indexed="64"/>
      </right>
      <top style="double">
        <color indexed="64"/>
      </top>
      <bottom style="thin">
        <color indexed="64"/>
      </bottom>
      <diagonal style="none"/>
    </border>
    <border>
      <left style="double">
        <color indexed="64"/>
      </left>
      <right style="double">
        <color indexed="64"/>
      </right>
      <top style="thin">
        <color indexed="64"/>
      </top>
      <bottom style="dotted">
        <color indexed="64"/>
      </bottom>
      <diagonal style="none"/>
    </border>
    <border>
      <left style="double">
        <color indexed="64"/>
      </left>
      <right style="double">
        <color indexed="64"/>
      </right>
      <top style="thin">
        <color indexed="64"/>
      </top>
      <bottom style="dotted">
        <color auto="1"/>
      </bottom>
      <diagonal style="none"/>
    </border>
    <border>
      <left style="double">
        <color indexed="64"/>
      </left>
      <right style="double">
        <color indexed="64"/>
      </right>
      <top style="dotted">
        <color indexed="64"/>
      </top>
      <bottom style="dotted">
        <color indexed="64"/>
      </bottom>
      <diagonal style="none"/>
    </border>
    <border>
      <left style="double">
        <color indexed="64"/>
      </left>
      <right style="double">
        <color indexed="64"/>
      </right>
      <top style="dotted">
        <color auto="1"/>
      </top>
      <bottom style="dotted">
        <color auto="1"/>
      </bottom>
      <diagonal style="none"/>
    </border>
    <border>
      <left style="double">
        <color indexed="64"/>
      </left>
      <right style="double">
        <color indexed="64"/>
      </right>
      <top style="dotted">
        <color indexed="64"/>
      </top>
      <bottom style="thin">
        <color indexed="64"/>
      </bottom>
      <diagonal style="none"/>
    </border>
    <border>
      <left style="double">
        <color indexed="64"/>
      </left>
      <right style="double">
        <color indexed="64"/>
      </right>
      <top style="dotted">
        <color auto="1"/>
      </top>
      <bottom style="thin">
        <color indexed="64"/>
      </bottom>
      <diagonal style="none"/>
    </border>
    <border>
      <left style="thin">
        <color indexed="64"/>
      </left>
      <right style="none"/>
      <top style="dotted">
        <color auto="1"/>
      </top>
      <bottom style="thin">
        <color indexed="64"/>
      </bottom>
      <diagonal style="none"/>
    </border>
    <border>
      <left style="double">
        <color indexed="64"/>
      </left>
      <right style="double">
        <color indexed="64"/>
      </right>
      <top style="thin">
        <color indexed="64"/>
      </top>
      <bottom style="thin">
        <color indexed="64"/>
      </bottom>
      <diagonal style="none"/>
    </border>
    <border>
      <left style="double">
        <color indexed="64"/>
      </left>
      <right style="double">
        <color indexed="64"/>
      </right>
      <top style="thin">
        <color indexed="64"/>
      </top>
      <bottom style="double">
        <color indexed="64"/>
      </bottom>
      <diagonal style="none"/>
    </border>
    <border>
      <left style="none"/>
      <right style="medium">
        <color theme="0" tint="-0.14996795556505021"/>
      </right>
      <top style="medium">
        <color theme="0" tint="-0.14996795556505021"/>
      </top>
      <bottom style="medium">
        <color theme="0" tint="-0.14996795556505021"/>
      </bottom>
      <diagonal style="none"/>
    </border>
    <border>
      <left style="none"/>
      <right style="medium">
        <color theme="0" tint="-0.14990691854609822"/>
      </right>
      <top style="medium">
        <color theme="0" tint="-0.14993743705557422"/>
      </top>
      <bottom style="medium">
        <color theme="0" tint="-0.14990691854609822"/>
      </bottom>
      <diagonal style="none"/>
    </border>
    <border>
      <left style="medium">
        <color theme="0" tint="-0.14990691854609822"/>
      </left>
      <right style="medium">
        <color theme="0" tint="-0.14990691854609822"/>
      </right>
      <top style="medium">
        <color theme="0" tint="-0.14993743705557422"/>
      </top>
      <bottom style="none"/>
      <diagonal style="none"/>
    </border>
    <border>
      <left style="none"/>
      <right style="medium">
        <color theme="0" tint="-0.14993743705557422"/>
      </right>
      <top style="none"/>
      <bottom style="none"/>
      <diagonal style="none"/>
    </border>
    <border>
      <left style="none"/>
      <right style="medium">
        <color theme="0" tint="-0.14993743705557422"/>
      </right>
      <top style="medium">
        <color theme="0" tint="-0.14996795556505021"/>
      </top>
      <bottom style="medium">
        <color theme="0" tint="-0.14996795556505021"/>
      </bottom>
      <diagonal style="none"/>
    </border>
    <border>
      <left style="thin">
        <color indexed="64"/>
      </left>
      <right style="thin">
        <color indexed="64"/>
      </right>
      <top style="thin">
        <color indexed="64"/>
      </top>
      <bottom style="dotted">
        <color auto="1"/>
      </bottom>
      <diagonal style="none"/>
    </border>
    <border>
      <left style="thin">
        <color indexed="64"/>
      </left>
      <right style="thin">
        <color indexed="64"/>
      </right>
      <top style="dotted">
        <color auto="1"/>
      </top>
      <bottom style="thin">
        <color indexed="64"/>
      </bottom>
      <diagonal style="none"/>
    </border>
    <border>
      <left style="thick">
        <color auto="1"/>
      </left>
      <right style="thick">
        <color auto="1"/>
      </right>
      <top style="thick">
        <color auto="1"/>
      </top>
      <bottom style="none"/>
      <diagonal style="none"/>
    </border>
    <border>
      <left style="thick">
        <color auto="1"/>
      </left>
      <right style="dotted">
        <color auto="1"/>
      </right>
      <top style="thick">
        <color auto="1"/>
      </top>
      <bottom style="none"/>
      <diagonal style="none"/>
    </border>
    <border>
      <left style="dotted">
        <color auto="1"/>
      </left>
      <right style="thin">
        <color auto="1"/>
      </right>
      <top style="thick">
        <color auto="1"/>
      </top>
      <bottom style="none"/>
      <diagonal style="none"/>
    </border>
    <border>
      <left style="thin">
        <color auto="1"/>
      </left>
      <right style="thin">
        <color auto="1"/>
      </right>
      <top style="thick">
        <color auto="1"/>
      </top>
      <bottom style="none"/>
      <diagonal style="none"/>
    </border>
    <border>
      <left style="thin">
        <color auto="1"/>
      </left>
      <right style="dotted">
        <color auto="1"/>
      </right>
      <top style="thick">
        <color auto="1"/>
      </top>
      <bottom style="none"/>
      <diagonal style="none"/>
    </border>
    <border>
      <left style="dotted">
        <color auto="1"/>
      </left>
      <right style="thick">
        <color auto="1"/>
      </right>
      <top style="thick">
        <color auto="1"/>
      </top>
      <bottom style="none"/>
      <diagonal style="none"/>
    </border>
    <border>
      <left style="thick">
        <color auto="1"/>
      </left>
      <right style="thick">
        <color auto="1"/>
      </right>
      <top style="none"/>
      <bottom style="thick">
        <color auto="1"/>
      </bottom>
      <diagonal style="none"/>
    </border>
    <border>
      <left style="thick">
        <color auto="1"/>
      </left>
      <right style="dotted">
        <color auto="1"/>
      </right>
      <top style="none"/>
      <bottom style="thick">
        <color auto="1"/>
      </bottom>
      <diagonal style="none"/>
    </border>
    <border>
      <left style="dotted">
        <color auto="1"/>
      </left>
      <right style="thin">
        <color auto="1"/>
      </right>
      <top style="none"/>
      <bottom style="thick">
        <color auto="1"/>
      </bottom>
      <diagonal style="none"/>
    </border>
    <border>
      <left style="thin">
        <color auto="1"/>
      </left>
      <right style="thin">
        <color auto="1"/>
      </right>
      <top style="none"/>
      <bottom style="thick">
        <color auto="1"/>
      </bottom>
      <diagonal style="none"/>
    </border>
    <border>
      <left style="thin">
        <color auto="1"/>
      </left>
      <right style="dotted">
        <color auto="1"/>
      </right>
      <top style="none"/>
      <bottom style="thick">
        <color auto="1"/>
      </bottom>
      <diagonal style="none"/>
    </border>
    <border>
      <left style="dotted">
        <color auto="1"/>
      </left>
      <right style="thick">
        <color auto="1"/>
      </right>
      <top style="none"/>
      <bottom style="thick">
        <color auto="1"/>
      </bottom>
      <diagonal style="none"/>
    </border>
    <border>
      <left style="thick">
        <color auto="1"/>
      </left>
      <right style="thick">
        <color auto="1"/>
      </right>
      <top style="thick">
        <color auto="1"/>
      </top>
      <bottom style="thin">
        <color auto="1"/>
      </bottom>
      <diagonal style="none"/>
    </border>
    <border>
      <left style="thick">
        <color auto="1"/>
      </left>
      <right style="dotted">
        <color auto="1"/>
      </right>
      <top style="thick">
        <color auto="1"/>
      </top>
      <bottom style="thin">
        <color auto="1"/>
      </bottom>
      <diagonal style="none"/>
    </border>
    <border>
      <left style="dotted">
        <color auto="1"/>
      </left>
      <right style="thin">
        <color auto="1"/>
      </right>
      <top style="thick">
        <color auto="1"/>
      </top>
      <bottom style="thin">
        <color auto="1"/>
      </bottom>
      <diagonal style="none"/>
    </border>
    <border>
      <left style="thin">
        <color auto="1"/>
      </left>
      <right style="thin">
        <color auto="1"/>
      </right>
      <top style="thick">
        <color auto="1"/>
      </top>
      <bottom style="thin">
        <color auto="1"/>
      </bottom>
      <diagonal style="none"/>
    </border>
    <border>
      <left style="thin">
        <color auto="1"/>
      </left>
      <right style="dotted">
        <color auto="1"/>
      </right>
      <top style="thick">
        <color auto="1"/>
      </top>
      <bottom style="thin">
        <color auto="1"/>
      </bottom>
      <diagonal style="none"/>
    </border>
    <border>
      <left style="dotted">
        <color auto="1"/>
      </left>
      <right style="thick">
        <color auto="1"/>
      </right>
      <top style="thick">
        <color auto="1"/>
      </top>
      <bottom style="thin">
        <color auto="1"/>
      </bottom>
      <diagonal style="none"/>
    </border>
    <border>
      <left style="thick">
        <color auto="1"/>
      </left>
      <right style="thick">
        <color auto="1"/>
      </right>
      <top style="thin">
        <color auto="1"/>
      </top>
      <bottom style="thin">
        <color auto="1"/>
      </bottom>
      <diagonal style="none"/>
    </border>
    <border>
      <left style="thick">
        <color auto="1"/>
      </left>
      <right style="dotted">
        <color auto="1"/>
      </right>
      <top style="thin">
        <color auto="1"/>
      </top>
      <bottom style="thin">
        <color auto="1"/>
      </bottom>
      <diagonal style="none"/>
    </border>
    <border>
      <left style="dotted">
        <color auto="1"/>
      </left>
      <right style="thin">
        <color auto="1"/>
      </right>
      <top style="thin">
        <color auto="1"/>
      </top>
      <bottom style="thin">
        <color auto="1"/>
      </bottom>
      <diagonal style="none"/>
    </border>
    <border>
      <left style="thin">
        <color auto="1"/>
      </left>
      <right style="dotted">
        <color auto="1"/>
      </right>
      <top style="thin">
        <color auto="1"/>
      </top>
      <bottom style="thin">
        <color auto="1"/>
      </bottom>
      <diagonal style="none"/>
    </border>
    <border>
      <left style="dotted">
        <color auto="1"/>
      </left>
      <right style="thick">
        <color auto="1"/>
      </right>
      <top style="thin">
        <color auto="1"/>
      </top>
      <bottom style="thin">
        <color auto="1"/>
      </bottom>
      <diagonal style="none"/>
    </border>
    <border>
      <left style="thick">
        <color auto="1"/>
      </left>
      <right style="thick">
        <color auto="1"/>
      </right>
      <top style="thin">
        <color auto="1"/>
      </top>
      <bottom style="thick">
        <color auto="1"/>
      </bottom>
      <diagonal style="none"/>
    </border>
    <border>
      <left style="thick">
        <color auto="1"/>
      </left>
      <right style="dotted">
        <color auto="1"/>
      </right>
      <top style="thin">
        <color auto="1"/>
      </top>
      <bottom style="thick">
        <color auto="1"/>
      </bottom>
      <diagonal style="none"/>
    </border>
    <border>
      <left style="dotted">
        <color auto="1"/>
      </left>
      <right style="thin">
        <color auto="1"/>
      </right>
      <top style="thin">
        <color auto="1"/>
      </top>
      <bottom style="thick">
        <color auto="1"/>
      </bottom>
      <diagonal style="none"/>
    </border>
    <border>
      <left style="thin">
        <color auto="1"/>
      </left>
      <right style="thin">
        <color auto="1"/>
      </right>
      <top style="thin">
        <color auto="1"/>
      </top>
      <bottom style="thick">
        <color auto="1"/>
      </bottom>
      <diagonal style="none"/>
    </border>
    <border>
      <left style="thin">
        <color auto="1"/>
      </left>
      <right style="dotted">
        <color auto="1"/>
      </right>
      <top style="thin">
        <color auto="1"/>
      </top>
      <bottom style="thick">
        <color auto="1"/>
      </bottom>
      <diagonal style="none"/>
    </border>
    <border>
      <left style="dotted">
        <color auto="1"/>
      </left>
      <right style="thick">
        <color auto="1"/>
      </right>
      <top style="thin">
        <color auto="1"/>
      </top>
      <bottom style="thick">
        <color auto="1"/>
      </bottom>
      <diagonal style="none"/>
    </border>
    <border>
      <left style="thick">
        <color auto="1"/>
      </left>
      <right style="thick">
        <color auto="1"/>
      </right>
      <top style="thick">
        <color auto="1"/>
      </top>
      <bottom style="thick">
        <color auto="1"/>
      </bottom>
      <diagonal style="none"/>
    </border>
    <border>
      <left style="thick">
        <color auto="1"/>
      </left>
      <right style="dotted">
        <color auto="1"/>
      </right>
      <top style="thick">
        <color auto="1"/>
      </top>
      <bottom style="thick">
        <color auto="1"/>
      </bottom>
      <diagonal style="none"/>
    </border>
    <border>
      <left style="dotted">
        <color auto="1"/>
      </left>
      <right style="thin">
        <color auto="1"/>
      </right>
      <top style="thick">
        <color auto="1"/>
      </top>
      <bottom style="thick">
        <color auto="1"/>
      </bottom>
      <diagonal style="none"/>
    </border>
    <border>
      <left style="thin">
        <color auto="1"/>
      </left>
      <right style="thin">
        <color auto="1"/>
      </right>
      <top style="thick">
        <color auto="1"/>
      </top>
      <bottom style="thick">
        <color auto="1"/>
      </bottom>
      <diagonal style="none"/>
    </border>
    <border>
      <left style="thin">
        <color auto="1"/>
      </left>
      <right style="dotted">
        <color auto="1"/>
      </right>
      <top style="thick">
        <color auto="1"/>
      </top>
      <bottom style="thick">
        <color auto="1"/>
      </bottom>
      <diagonal style="none"/>
    </border>
    <border>
      <left style="dotted">
        <color auto="1"/>
      </left>
      <right style="thick">
        <color auto="1"/>
      </right>
      <top style="thick">
        <color auto="1"/>
      </top>
      <bottom style="thick">
        <color auto="1"/>
      </bottom>
      <diagonal style="none"/>
    </border>
    <border>
      <left style="thick">
        <color auto="1"/>
      </left>
      <right style="thick">
        <color auto="1"/>
      </right>
      <top style="thick">
        <color auto="1"/>
      </top>
      <bottom style="dotted">
        <color auto="1"/>
      </bottom>
      <diagonal style="none"/>
    </border>
    <border>
      <left style="thin">
        <color auto="1"/>
      </left>
      <right style="thin">
        <color auto="1"/>
      </right>
      <top style="thick">
        <color auto="1"/>
      </top>
      <bottom style="dotted">
        <color auto="1"/>
      </bottom>
      <diagonal style="none"/>
    </border>
    <border>
      <left style="thin">
        <color auto="1"/>
      </left>
      <right style="dotted">
        <color auto="1"/>
      </right>
      <top style="thick">
        <color auto="1"/>
      </top>
      <bottom style="dotted">
        <color auto="1"/>
      </bottom>
      <diagonal style="none"/>
    </border>
    <border>
      <left style="dotted">
        <color auto="1"/>
      </left>
      <right style="thin">
        <color auto="1"/>
      </right>
      <top style="thick">
        <color auto="1"/>
      </top>
      <bottom style="dotted">
        <color auto="1"/>
      </bottom>
      <diagonal style="none"/>
    </border>
    <border>
      <left style="dotted">
        <color auto="1"/>
      </left>
      <right style="thick">
        <color auto="1"/>
      </right>
      <top style="thick">
        <color auto="1"/>
      </top>
      <bottom style="dotted">
        <color auto="1"/>
      </bottom>
      <diagonal style="none"/>
    </border>
    <border>
      <left style="thick">
        <color auto="1"/>
      </left>
      <right style="thick">
        <color auto="1"/>
      </right>
      <top style="dotted">
        <color auto="1"/>
      </top>
      <bottom style="thick">
        <color auto="1"/>
      </bottom>
      <diagonal style="none"/>
    </border>
    <border>
      <left style="thin">
        <color auto="1"/>
      </left>
      <right style="thin">
        <color auto="1"/>
      </right>
      <top style="dotted">
        <color auto="1"/>
      </top>
      <bottom style="thick">
        <color auto="1"/>
      </bottom>
      <diagonal style="none"/>
    </border>
    <border>
      <left style="thin">
        <color auto="1"/>
      </left>
      <right style="dotted">
        <color auto="1"/>
      </right>
      <top style="dotted">
        <color auto="1"/>
      </top>
      <bottom style="thick">
        <color auto="1"/>
      </bottom>
      <diagonal style="none"/>
    </border>
    <border>
      <left style="dotted">
        <color auto="1"/>
      </left>
      <right style="thin">
        <color auto="1"/>
      </right>
      <top style="dotted">
        <color auto="1"/>
      </top>
      <bottom style="thick">
        <color auto="1"/>
      </bottom>
      <diagonal style="none"/>
    </border>
    <border>
      <left style="dotted">
        <color auto="1"/>
      </left>
      <right style="thick">
        <color auto="1"/>
      </right>
      <top style="dotted">
        <color auto="1"/>
      </top>
      <bottom style="thick">
        <color auto="1"/>
      </bottom>
      <diagonal style="none"/>
    </border>
    <border>
      <left style="medium">
        <color auto="1"/>
      </left>
      <right style="dotted">
        <color auto="1"/>
      </right>
      <top style="medium">
        <color auto="1"/>
      </top>
      <bottom style="none"/>
      <diagonal style="none"/>
    </border>
    <border>
      <left style="dotted">
        <color auto="1"/>
      </left>
      <right style="dotted">
        <color auto="1"/>
      </right>
      <top style="medium">
        <color auto="1"/>
      </top>
      <bottom style="none"/>
      <diagonal style="none"/>
    </border>
    <border>
      <left style="dotted">
        <color auto="1"/>
      </left>
      <right style="medium">
        <color auto="1"/>
      </right>
      <top style="medium">
        <color auto="1"/>
      </top>
      <bottom style="none"/>
      <diagonal style="none"/>
    </border>
    <border>
      <left style="medium">
        <color auto="1"/>
      </left>
      <right style="dotted">
        <color auto="1"/>
      </right>
      <top style="none"/>
      <bottom style="medium">
        <color auto="1"/>
      </bottom>
      <diagonal style="none"/>
    </border>
    <border>
      <left style="dotted">
        <color auto="1"/>
      </left>
      <right style="dotted">
        <color auto="1"/>
      </right>
      <top style="none"/>
      <bottom style="medium">
        <color auto="1"/>
      </bottom>
      <diagonal style="none"/>
    </border>
    <border>
      <left style="dotted">
        <color auto="1"/>
      </left>
      <right style="medium">
        <color auto="1"/>
      </right>
      <top style="none"/>
      <bottom style="medium">
        <color auto="1"/>
      </bottom>
      <diagonal style="none"/>
    </border>
    <border>
      <left style="medium">
        <color auto="1"/>
      </left>
      <right style="none"/>
      <top style="medium">
        <color auto="1"/>
      </top>
      <bottom style="dotted">
        <color auto="1"/>
      </bottom>
      <diagonal style="none"/>
    </border>
    <border>
      <left style="medium">
        <color auto="1"/>
      </left>
      <right style="dotted">
        <color auto="1"/>
      </right>
      <top style="medium">
        <color auto="1"/>
      </top>
      <bottom style="dotted">
        <color auto="1"/>
      </bottom>
      <diagonal style="none"/>
    </border>
    <border>
      <left style="dotted">
        <color auto="1"/>
      </left>
      <right style="dotted">
        <color auto="1"/>
      </right>
      <top style="medium">
        <color auto="1"/>
      </top>
      <bottom style="dotted">
        <color auto="1"/>
      </bottom>
      <diagonal style="none"/>
    </border>
    <border>
      <left style="dotted">
        <color auto="1"/>
      </left>
      <right style="medium">
        <color auto="1"/>
      </right>
      <top style="medium">
        <color auto="1"/>
      </top>
      <bottom style="dotted">
        <color auto="1"/>
      </bottom>
      <diagonal style="none"/>
    </border>
    <border>
      <left style="medium">
        <color auto="1"/>
      </left>
      <right style="none"/>
      <top style="dotted">
        <color auto="1"/>
      </top>
      <bottom style="dotted">
        <color auto="1"/>
      </bottom>
      <diagonal style="none"/>
    </border>
    <border>
      <left style="medium">
        <color auto="1"/>
      </left>
      <right style="dotted">
        <color auto="1"/>
      </right>
      <top style="dotted">
        <color auto="1"/>
      </top>
      <bottom style="dotted">
        <color auto="1"/>
      </bottom>
      <diagonal style="none"/>
    </border>
    <border>
      <left style="dotted">
        <color auto="1"/>
      </left>
      <right style="dotted">
        <color auto="1"/>
      </right>
      <top style="dotted">
        <color auto="1"/>
      </top>
      <bottom style="dotted">
        <color auto="1"/>
      </bottom>
      <diagonal style="none"/>
    </border>
    <border>
      <left style="dotted">
        <color auto="1"/>
      </left>
      <right style="medium">
        <color auto="1"/>
      </right>
      <top style="dotted">
        <color auto="1"/>
      </top>
      <bottom style="dotted">
        <color auto="1"/>
      </bottom>
      <diagonal style="none"/>
    </border>
    <border>
      <left style="medium">
        <color auto="1"/>
      </left>
      <right style="none"/>
      <top style="dotted">
        <color auto="1"/>
      </top>
      <bottom style="medium">
        <color auto="1"/>
      </bottom>
      <diagonal style="none"/>
    </border>
    <border>
      <left style="medium">
        <color auto="1"/>
      </left>
      <right style="dotted">
        <color auto="1"/>
      </right>
      <top style="dotted">
        <color auto="1"/>
      </top>
      <bottom style="medium">
        <color auto="1"/>
      </bottom>
      <diagonal style="none"/>
    </border>
    <border>
      <left style="dotted">
        <color auto="1"/>
      </left>
      <right style="dotted">
        <color auto="1"/>
      </right>
      <top style="dotted">
        <color auto="1"/>
      </top>
      <bottom style="medium">
        <color auto="1"/>
      </bottom>
      <diagonal style="none"/>
    </border>
    <border>
      <left style="dotted">
        <color auto="1"/>
      </left>
      <right style="medium">
        <color auto="1"/>
      </right>
      <top style="dotted">
        <color auto="1"/>
      </top>
      <bottom style="medium">
        <color auto="1"/>
      </bottom>
      <diagonal style="none"/>
    </border>
  </borders>
  <cellStyleXfs count="7">
    <xf fontId="0" fillId="0" borderId="0" numFmtId="0" applyNumberFormat="1" applyFont="1" applyFill="1" applyBorder="1"/>
    <xf fontId="1" fillId="0" borderId="0" numFmtId="0" applyNumberFormat="1" applyFont="1" applyFill="1" applyBorder="1">
      <alignment horizontal="center"/>
    </xf>
    <xf fontId="1" fillId="0" borderId="0" numFmtId="0" applyNumberFormat="1" applyFont="1" applyFill="1" applyBorder="1">
      <alignment horizontal="center" textRotation="90"/>
    </xf>
    <xf fontId="2" fillId="0" borderId="0" numFmtId="0" applyNumberFormat="1" applyFont="1" applyFill="1" applyBorder="1"/>
    <xf fontId="0" fillId="0" borderId="0" numFmtId="9" applyNumberFormat="1" applyFont="0" applyFill="0" applyBorder="0" applyProtection="0"/>
    <xf fontId="3" fillId="0" borderId="0" numFmtId="0" applyNumberFormat="1" applyFont="1" applyFill="1" applyBorder="1"/>
    <xf fontId="3" fillId="0" borderId="0" numFmtId="164" applyNumberFormat="1" applyFont="1" applyFill="1" applyBorder="1"/>
  </cellStyleXfs>
  <cellXfs count="1095">
    <xf fontId="0" fillId="0" borderId="0" numFmtId="0" xfId="0"/>
    <xf fontId="0" fillId="0" borderId="0" numFmtId="0" xfId="0" applyAlignment="1">
      <alignment vertical="center"/>
    </xf>
    <xf fontId="4" fillId="2" borderId="1" numFmtId="0" xfId="0" applyFont="1" applyFill="1" applyBorder="1" applyAlignment="1">
      <alignment horizontal="left" vertical="center"/>
    </xf>
    <xf fontId="5" fillId="3" borderId="2" numFmtId="0" xfId="0" applyFont="1" applyFill="1" applyBorder="1" applyAlignment="1">
      <alignment vertical="center"/>
    </xf>
    <xf fontId="5" fillId="3" borderId="3" numFmtId="0" xfId="0" applyFont="1" applyFill="1" applyBorder="1" applyAlignment="1">
      <alignment vertical="center"/>
    </xf>
    <xf fontId="6" fillId="3" borderId="3" numFmtId="0" xfId="0" applyFont="1" applyFill="1" applyBorder="1" applyAlignment="1">
      <alignment vertical="center"/>
    </xf>
    <xf fontId="6" fillId="3" borderId="4" numFmtId="0" xfId="0" applyFont="1" applyFill="1" applyBorder="1" applyAlignment="1">
      <alignment vertical="center"/>
    </xf>
    <xf fontId="4" fillId="2" borderId="5" numFmtId="0" xfId="0" applyFont="1" applyFill="1" applyBorder="1" applyAlignment="1">
      <alignment horizontal="right" vertical="center"/>
    </xf>
    <xf fontId="5" fillId="3" borderId="6" numFmtId="49" xfId="0" applyNumberFormat="1" applyFont="1" applyFill="1" applyBorder="1" applyAlignment="1">
      <alignment vertical="center"/>
    </xf>
    <xf fontId="5" fillId="3" borderId="0" numFmtId="49" xfId="0" applyNumberFormat="1" applyFont="1" applyFill="1" applyAlignment="1">
      <alignment vertical="center"/>
    </xf>
    <xf fontId="5" fillId="3" borderId="4" numFmtId="0" xfId="0" applyFont="1" applyFill="1" applyBorder="1" applyAlignment="1">
      <alignment vertical="center"/>
    </xf>
    <xf fontId="5" fillId="2" borderId="1" numFmtId="0" xfId="0" applyFont="1" applyFill="1" applyBorder="1" applyAlignment="1">
      <alignment vertical="center"/>
    </xf>
    <xf fontId="6" fillId="2" borderId="1" numFmtId="0" xfId="0" applyFont="1" applyFill="1" applyBorder="1" applyAlignment="1">
      <alignment vertical="center"/>
    </xf>
    <xf fontId="4" fillId="2" borderId="0" numFmtId="0" xfId="0" applyFont="1" applyFill="1" applyAlignment="1">
      <alignment horizontal="left" vertical="center"/>
    </xf>
    <xf fontId="5" fillId="2" borderId="0" numFmtId="0" xfId="0" applyFont="1" applyFill="1" applyAlignment="1">
      <alignment vertical="center"/>
    </xf>
    <xf fontId="6" fillId="2" borderId="0" numFmtId="0" xfId="0" applyFont="1" applyFill="1" applyAlignment="1">
      <alignment vertical="center"/>
    </xf>
    <xf fontId="0" fillId="0" borderId="0" numFmtId="0" xfId="0" applyAlignment="1">
      <alignment vertical="top"/>
    </xf>
    <xf fontId="4" fillId="2" borderId="0" numFmtId="0" xfId="0" applyFont="1" applyFill="1" applyAlignment="1">
      <alignment horizontal="left" vertical="top"/>
    </xf>
    <xf fontId="5" fillId="2" borderId="0" numFmtId="0" xfId="0" applyFont="1" applyFill="1" applyAlignment="1">
      <alignment vertical="top"/>
    </xf>
    <xf fontId="5" fillId="3" borderId="7" numFmtId="0" xfId="0" applyFont="1" applyFill="1" applyBorder="1" applyAlignment="1">
      <alignment vertical="top" wrapText="1"/>
    </xf>
    <xf fontId="5" fillId="3" borderId="0" numFmtId="0" xfId="0" applyFont="1" applyFill="1" applyAlignment="1">
      <alignment vertical="top" wrapText="1"/>
    </xf>
    <xf fontId="5" fillId="2" borderId="0" numFmtId="0" xfId="0" applyFont="1" applyFill="1" applyAlignment="1">
      <alignment vertical="top" wrapText="1"/>
    </xf>
    <xf fontId="4" fillId="2" borderId="0" numFmtId="0" xfId="0" applyFont="1" applyFill="1" applyAlignment="1">
      <alignment vertical="top"/>
    </xf>
    <xf fontId="7" fillId="2" borderId="0" numFmtId="0" xfId="0" applyFont="1" applyFill="1" applyAlignment="1">
      <alignment horizontal="left" vertical="center"/>
    </xf>
    <xf fontId="8" fillId="2" borderId="8" numFmtId="0" xfId="0" applyFont="1" applyFill="1" applyBorder="1" applyAlignment="1">
      <alignment horizontal="center" vertical="center" wrapText="1"/>
    </xf>
    <xf fontId="8" fillId="2" borderId="9" numFmtId="0" xfId="0" applyFont="1" applyFill="1" applyBorder="1" applyAlignment="1">
      <alignment horizontal="center" vertical="center" wrapText="1"/>
    </xf>
    <xf fontId="8" fillId="2" borderId="10" numFmtId="0" xfId="0" applyFont="1" applyFill="1" applyBorder="1" applyAlignment="1">
      <alignment horizontal="center" vertical="center" wrapText="1"/>
    </xf>
    <xf fontId="8" fillId="2" borderId="11" numFmtId="0" xfId="0" applyFont="1" applyFill="1" applyBorder="1" applyAlignment="1">
      <alignment horizontal="center" vertical="center" wrapText="1"/>
    </xf>
    <xf fontId="9" fillId="0" borderId="0" numFmtId="0" xfId="0" applyFont="1" applyAlignment="1">
      <alignment horizontal="center" vertical="center"/>
    </xf>
    <xf fontId="10" fillId="2" borderId="12" numFmtId="0" xfId="0" applyFont="1" applyFill="1" applyBorder="1" applyAlignment="1">
      <alignment horizontal="center" vertical="center" wrapText="1"/>
    </xf>
    <xf fontId="10" fillId="2" borderId="13" numFmtId="0" xfId="0" applyFont="1" applyFill="1" applyBorder="1" applyAlignment="1">
      <alignment horizontal="center" vertical="center" wrapText="1"/>
    </xf>
    <xf fontId="10" fillId="2" borderId="10" numFmtId="0" xfId="0" applyFont="1" applyFill="1" applyBorder="1" applyAlignment="1">
      <alignment horizontal="center" vertical="center" wrapText="1"/>
    </xf>
    <xf fontId="10" fillId="2" borderId="14" numFmtId="0" xfId="0" applyFont="1" applyFill="1" applyBorder="1" applyAlignment="1">
      <alignment horizontal="center" vertical="center" wrapText="1"/>
    </xf>
    <xf fontId="4" fillId="2" borderId="15" numFmtId="0" xfId="0" applyFont="1" applyFill="1" applyBorder="1" applyAlignment="1">
      <alignment horizontal="center" vertical="center" wrapText="1"/>
    </xf>
    <xf fontId="4" fillId="2" borderId="16" numFmtId="0" xfId="0" applyFont="1" applyFill="1" applyBorder="1" applyAlignment="1">
      <alignment horizontal="center" vertical="center" wrapText="1"/>
    </xf>
    <xf fontId="4" fillId="2" borderId="17" numFmtId="0" xfId="0" applyFont="1" applyFill="1" applyBorder="1" applyAlignment="1">
      <alignment horizontal="center" vertical="center" wrapText="1"/>
    </xf>
    <xf fontId="4" fillId="2" borderId="13" numFmtId="0" xfId="0" applyFont="1" applyFill="1" applyBorder="1" applyAlignment="1">
      <alignment horizontal="center" vertical="center" wrapText="1"/>
    </xf>
    <xf fontId="4" fillId="2" borderId="18" numFmtId="0" xfId="0" applyFont="1" applyFill="1" applyBorder="1" applyAlignment="1">
      <alignment horizontal="center" vertical="center" wrapText="1"/>
    </xf>
    <xf fontId="4" fillId="2" borderId="19" numFmtId="0" xfId="0" applyFont="1" applyFill="1" applyBorder="1" applyAlignment="1">
      <alignment horizontal="center" vertical="center" wrapText="1"/>
    </xf>
    <xf fontId="4" fillId="2" borderId="20" numFmtId="0" xfId="0" applyFont="1" applyFill="1" applyBorder="1" applyAlignment="1">
      <alignment horizontal="center" vertical="center" wrapText="1"/>
    </xf>
    <xf fontId="4" fillId="2" borderId="21" numFmtId="0" xfId="0" applyFont="1" applyFill="1" applyBorder="1" applyAlignment="1">
      <alignment horizontal="center" vertical="center" wrapText="1"/>
    </xf>
    <xf fontId="4" fillId="2" borderId="0" numFmtId="0" xfId="0" applyFont="1" applyFill="1" applyAlignment="1">
      <alignment horizontal="center" vertical="center" wrapText="1"/>
    </xf>
    <xf fontId="4" fillId="2" borderId="22" numFmtId="0" xfId="0" applyFont="1" applyFill="1" applyBorder="1" applyAlignment="1">
      <alignment horizontal="center" vertical="center" wrapText="1"/>
    </xf>
    <xf fontId="4" fillId="2" borderId="23" numFmtId="0" xfId="0" applyFont="1" applyFill="1" applyBorder="1" applyAlignment="1">
      <alignment horizontal="center" vertical="center"/>
    </xf>
    <xf fontId="4" fillId="2" borderId="24" numFmtId="0" xfId="0" applyFont="1" applyFill="1" applyBorder="1" applyAlignment="1">
      <alignment horizontal="center" vertical="center"/>
    </xf>
    <xf fontId="4" fillId="2" borderId="25" numFmtId="0" xfId="0" applyFont="1" applyFill="1" applyBorder="1" applyAlignment="1">
      <alignment horizontal="center" vertical="center"/>
    </xf>
    <xf fontId="4" fillId="2" borderId="26" numFmtId="0" xfId="0" applyFont="1" applyFill="1" applyBorder="1" applyAlignment="1">
      <alignment horizontal="center" vertical="center"/>
    </xf>
    <xf fontId="4" fillId="2" borderId="27" numFmtId="0" xfId="0" applyFont="1" applyFill="1" applyBorder="1" applyAlignment="1">
      <alignment horizontal="center" vertical="center"/>
    </xf>
    <xf fontId="4" fillId="2" borderId="28" numFmtId="0" xfId="0" applyFont="1" applyFill="1" applyBorder="1" applyAlignment="1">
      <alignment horizontal="center" vertical="center"/>
    </xf>
    <xf fontId="4" fillId="2" borderId="29" numFmtId="0" xfId="0" applyFont="1" applyFill="1" applyBorder="1" applyAlignment="1">
      <alignment horizontal="center" vertical="center"/>
    </xf>
    <xf fontId="4" fillId="2" borderId="30" numFmtId="0" xfId="0" applyFont="1" applyFill="1" applyBorder="1" applyAlignment="1">
      <alignment horizontal="center" vertical="center"/>
    </xf>
    <xf fontId="4" fillId="2" borderId="31" numFmtId="0" xfId="0" applyFont="1" applyFill="1" applyBorder="1" applyAlignment="1">
      <alignment horizontal="center" vertical="center"/>
    </xf>
    <xf fontId="4" fillId="2" borderId="32" numFmtId="0" xfId="0" applyFont="1" applyFill="1" applyBorder="1" applyAlignment="1">
      <alignment horizontal="center" vertical="center"/>
    </xf>
    <xf fontId="4" fillId="2" borderId="33" numFmtId="0" xfId="0" applyFont="1" applyFill="1" applyBorder="1" applyAlignment="1">
      <alignment horizontal="center" vertical="center"/>
    </xf>
    <xf fontId="4" fillId="2" borderId="34" numFmtId="0" xfId="0" applyFont="1" applyFill="1" applyBorder="1" applyAlignment="1">
      <alignment horizontal="center" vertical="center"/>
    </xf>
    <xf fontId="4" fillId="2" borderId="0" numFmtId="0" xfId="0" applyFont="1" applyFill="1" applyAlignment="1">
      <alignment horizontal="center" vertical="center"/>
    </xf>
    <xf fontId="4" fillId="2" borderId="35" numFmtId="0" xfId="0" applyFont="1" applyFill="1" applyBorder="1" applyAlignment="1">
      <alignment horizontal="center" vertical="center"/>
    </xf>
    <xf fontId="0" fillId="0" borderId="0" numFmtId="0" xfId="0" applyAlignment="1">
      <alignment vertical="center" wrapText="1"/>
    </xf>
    <xf fontId="4" fillId="2" borderId="36" numFmtId="0" xfId="0" applyFont="1" applyFill="1" applyBorder="1" applyAlignment="1">
      <alignment horizontal="center" vertical="center"/>
    </xf>
    <xf fontId="4" fillId="2" borderId="37" numFmtId="0" xfId="0" applyFont="1" applyFill="1" applyBorder="1" applyAlignment="1">
      <alignment horizontal="center" vertical="center"/>
    </xf>
    <xf fontId="5" fillId="3" borderId="38" numFmtId="0" xfId="0" applyFont="1" applyFill="1" applyBorder="1" applyAlignment="1">
      <alignment horizontal="center" vertical="center"/>
    </xf>
    <xf fontId="5" fillId="3" borderId="39" numFmtId="0" xfId="0" applyFont="1" applyFill="1" applyBorder="1" applyAlignment="1">
      <alignment horizontal="center" vertical="center"/>
    </xf>
    <xf fontId="5" fillId="3" borderId="40" numFmtId="0" xfId="0" applyFont="1" applyFill="1" applyBorder="1" applyAlignment="1">
      <alignment horizontal="center" vertical="center"/>
    </xf>
    <xf fontId="5" fillId="3" borderId="41" numFmtId="0" xfId="0" applyFont="1" applyFill="1" applyBorder="1" applyAlignment="1">
      <alignment horizontal="center" vertical="center"/>
    </xf>
    <xf fontId="5" fillId="3" borderId="42" numFmtId="0" xfId="0" applyFont="1" applyFill="1" applyBorder="1" applyAlignment="1">
      <alignment horizontal="center" vertical="center"/>
    </xf>
    <xf fontId="5" fillId="3" borderId="43" numFmtId="0" xfId="0" applyFont="1" applyFill="1" applyBorder="1" applyAlignment="1">
      <alignment horizontal="center" vertical="center"/>
    </xf>
    <xf fontId="5" fillId="3" borderId="44" numFmtId="0" xfId="0" applyFont="1" applyFill="1" applyBorder="1" applyAlignment="1">
      <alignment horizontal="center" vertical="center"/>
    </xf>
    <xf fontId="5" fillId="3" borderId="45" numFmtId="0" xfId="0" applyFont="1" applyFill="1" applyBorder="1" applyAlignment="1">
      <alignment horizontal="center" vertical="center"/>
    </xf>
    <xf fontId="5" fillId="3" borderId="46" numFmtId="0" xfId="0" applyFont="1" applyFill="1" applyBorder="1" applyAlignment="1">
      <alignment horizontal="center" vertical="center"/>
    </xf>
    <xf fontId="5" fillId="3" borderId="47" numFmtId="0" xfId="0" applyFont="1" applyFill="1" applyBorder="1" applyAlignment="1">
      <alignment horizontal="center" vertical="center"/>
    </xf>
    <xf fontId="5" fillId="2" borderId="0" numFmtId="0" xfId="0" applyFont="1" applyFill="1" applyAlignment="1">
      <alignment horizontal="center" vertical="center"/>
    </xf>
    <xf fontId="5" fillId="3" borderId="48" numFmtId="0" xfId="0" applyFont="1" applyFill="1" applyBorder="1" applyAlignment="1">
      <alignment horizontal="center" vertical="center"/>
    </xf>
    <xf fontId="0" fillId="0" borderId="0" numFmtId="0" xfId="0" applyAlignment="1">
      <alignment horizontal="center" vertical="center"/>
    </xf>
    <xf fontId="5" fillId="0" borderId="49" numFmtId="0" xfId="0" applyFont="1" applyBorder="1" applyAlignment="1">
      <alignment horizontal="center" vertical="center"/>
    </xf>
    <xf fontId="5" fillId="0" borderId="50" numFmtId="0" xfId="0" applyFont="1" applyBorder="1" applyAlignment="1">
      <alignment horizontal="center" vertical="center"/>
    </xf>
    <xf fontId="5" fillId="0" borderId="51" numFmtId="0" xfId="0" applyFont="1" applyBorder="1" applyAlignment="1">
      <alignment horizontal="center" vertical="center"/>
    </xf>
    <xf fontId="5" fillId="0" borderId="52" numFmtId="0" xfId="0" applyFont="1" applyBorder="1" applyAlignment="1">
      <alignment horizontal="center" vertical="center"/>
    </xf>
    <xf fontId="5" fillId="0" borderId="53" numFmtId="0" xfId="0" applyFont="1" applyBorder="1" applyAlignment="1">
      <alignment horizontal="center" vertical="center"/>
    </xf>
    <xf fontId="5" fillId="4" borderId="54" numFmtId="0" xfId="0" applyFont="1" applyFill="1" applyBorder="1" applyAlignment="1">
      <alignment horizontal="center" vertical="center"/>
    </xf>
    <xf fontId="5" fillId="4" borderId="55" numFmtId="0" xfId="0" applyFont="1" applyFill="1" applyBorder="1" applyAlignment="1">
      <alignment horizontal="center" vertical="center"/>
    </xf>
    <xf fontId="5" fillId="5" borderId="56" numFmtId="0" xfId="0" applyFont="1" applyFill="1" applyBorder="1" applyAlignment="1">
      <alignment horizontal="center" vertical="center"/>
    </xf>
    <xf fontId="5" fillId="5" borderId="57" numFmtId="0" xfId="0" applyFont="1" applyFill="1" applyBorder="1" applyAlignment="1">
      <alignment horizontal="center" vertical="center"/>
    </xf>
    <xf fontId="5" fillId="4" borderId="58" numFmtId="0" xfId="0" applyFont="1" applyFill="1" applyBorder="1" applyAlignment="1">
      <alignment horizontal="center" vertical="center"/>
    </xf>
    <xf fontId="5" fillId="0" borderId="54" numFmtId="0" xfId="0" applyFont="1" applyBorder="1" applyAlignment="1">
      <alignment horizontal="center" vertical="center"/>
    </xf>
    <xf fontId="5" fillId="0" borderId="55" numFmtId="0" xfId="0" applyFont="1" applyBorder="1" applyAlignment="1">
      <alignment horizontal="center" vertical="center"/>
    </xf>
    <xf fontId="5" fillId="0" borderId="56" numFmtId="0" xfId="0" applyFont="1" applyBorder="1" applyAlignment="1">
      <alignment horizontal="center" vertical="center"/>
    </xf>
    <xf fontId="5" fillId="0" borderId="57" numFmtId="0" xfId="0" applyFont="1" applyBorder="1" applyAlignment="1">
      <alignment horizontal="center" vertical="center"/>
    </xf>
    <xf fontId="5" fillId="0" borderId="58" numFmtId="0" xfId="0" applyFont="1" applyBorder="1" applyAlignment="1">
      <alignment horizontal="center" vertical="center"/>
    </xf>
    <xf fontId="5" fillId="4" borderId="59" numFmtId="0" xfId="0" applyFont="1" applyFill="1" applyBorder="1" applyAlignment="1">
      <alignment horizontal="center" vertical="center"/>
    </xf>
    <xf fontId="5" fillId="4" borderId="60" numFmtId="0" xfId="0" applyFont="1" applyFill="1" applyBorder="1" applyAlignment="1">
      <alignment horizontal="center" vertical="center"/>
    </xf>
    <xf fontId="5" fillId="5" borderId="61" numFmtId="0" xfId="0" applyFont="1" applyFill="1" applyBorder="1" applyAlignment="1">
      <alignment horizontal="center" vertical="center"/>
    </xf>
    <xf fontId="5" fillId="5" borderId="62" numFmtId="0" xfId="0" applyFont="1" applyFill="1" applyBorder="1" applyAlignment="1">
      <alignment horizontal="center" vertical="center"/>
    </xf>
    <xf fontId="5" fillId="4" borderId="63" numFmtId="0" xfId="0" applyFont="1" applyFill="1" applyBorder="1" applyAlignment="1">
      <alignment horizontal="center" vertical="center"/>
    </xf>
    <xf fontId="4" fillId="2" borderId="64" numFmtId="0" xfId="0" applyFont="1" applyFill="1" applyBorder="1" applyAlignment="1">
      <alignment horizontal="center" vertical="center"/>
    </xf>
    <xf fontId="4" fillId="2" borderId="65" numFmtId="0" xfId="0" applyFont="1" applyFill="1" applyBorder="1" applyAlignment="1">
      <alignment horizontal="center" vertical="center"/>
    </xf>
    <xf fontId="5" fillId="3" borderId="66" numFmtId="0" xfId="0" applyFont="1" applyFill="1" applyBorder="1" applyAlignment="1">
      <alignment horizontal="center" vertical="center"/>
    </xf>
    <xf fontId="5" fillId="3" borderId="67" numFmtId="0" xfId="0" applyFont="1" applyFill="1" applyBorder="1" applyAlignment="1">
      <alignment horizontal="center" vertical="center"/>
    </xf>
    <xf fontId="5" fillId="3" borderId="68" numFmtId="0" xfId="0" applyFont="1" applyFill="1" applyBorder="1" applyAlignment="1">
      <alignment horizontal="center" vertical="center"/>
    </xf>
    <xf fontId="5" fillId="3" borderId="69" numFmtId="0" xfId="0" applyFont="1" applyFill="1" applyBorder="1" applyAlignment="1">
      <alignment horizontal="center" vertical="center"/>
    </xf>
    <xf fontId="5" fillId="3" borderId="70" numFmtId="0" xfId="0" applyFont="1" applyFill="1" applyBorder="1" applyAlignment="1">
      <alignment horizontal="center" vertical="center"/>
    </xf>
    <xf fontId="5" fillId="3" borderId="71" numFmtId="0" xfId="0" applyFont="1" applyFill="1" applyBorder="1" applyAlignment="1">
      <alignment horizontal="center" vertical="center"/>
    </xf>
    <xf fontId="5" fillId="3" borderId="72" numFmtId="0" xfId="0" applyFont="1" applyFill="1" applyBorder="1" applyAlignment="1">
      <alignment horizontal="center" vertical="center"/>
    </xf>
    <xf fontId="5" fillId="3" borderId="73" numFmtId="0" xfId="0" applyFont="1" applyFill="1" applyBorder="1" applyAlignment="1">
      <alignment horizontal="center" vertical="center"/>
    </xf>
    <xf fontId="5" fillId="3" borderId="74" numFmtId="0" xfId="0" applyFont="1" applyFill="1" applyBorder="1" applyAlignment="1">
      <alignment horizontal="center" vertical="center"/>
    </xf>
    <xf fontId="5" fillId="3" borderId="75" numFmtId="0" xfId="0" applyFont="1" applyFill="1" applyBorder="1" applyAlignment="1">
      <alignment horizontal="center" vertical="center"/>
    </xf>
    <xf fontId="5" fillId="3" borderId="76" numFmtId="0" xfId="0" applyFont="1" applyFill="1" applyBorder="1" applyAlignment="1">
      <alignment horizontal="center" vertical="center"/>
    </xf>
    <xf fontId="4" fillId="2" borderId="77" numFmtId="0" xfId="0" applyFont="1" applyFill="1" applyBorder="1" applyAlignment="1">
      <alignment horizontal="center" vertical="center"/>
    </xf>
    <xf fontId="5" fillId="2" borderId="77" numFmtId="0" xfId="0" applyFont="1" applyFill="1" applyBorder="1" applyAlignment="1">
      <alignment horizontal="center" vertical="center"/>
    </xf>
    <xf fontId="5" fillId="2" borderId="78" numFmtId="0" xfId="0" applyFont="1" applyFill="1" applyBorder="1" applyAlignment="1">
      <alignment vertical="center"/>
    </xf>
    <xf fontId="6" fillId="2" borderId="78" numFmtId="0" xfId="0" applyFont="1" applyFill="1" applyBorder="1" applyAlignment="1">
      <alignment vertical="center"/>
    </xf>
    <xf fontId="8" fillId="2" borderId="79" numFmtId="0" xfId="0" applyFont="1" applyFill="1" applyBorder="1" applyAlignment="1">
      <alignment horizontal="center" vertical="center" wrapText="1"/>
    </xf>
    <xf fontId="8" fillId="2" borderId="80" numFmtId="0" xfId="0" applyFont="1" applyFill="1" applyBorder="1" applyAlignment="1">
      <alignment horizontal="center" vertical="center" wrapText="1"/>
    </xf>
    <xf fontId="8" fillId="2" borderId="81" numFmtId="0" xfId="0" applyFont="1" applyFill="1" applyBorder="1" applyAlignment="1">
      <alignment horizontal="center" vertical="center" wrapText="1"/>
    </xf>
    <xf fontId="5" fillId="3" borderId="0" numFmtId="0" xfId="0" applyFont="1" applyFill="1" applyAlignment="1">
      <alignment horizontal="center" vertical="center"/>
    </xf>
    <xf fontId="9" fillId="2" borderId="0" numFmtId="0" xfId="0" applyFont="1" applyFill="1" applyAlignment="1">
      <alignment horizontal="left" vertical="center"/>
    </xf>
    <xf fontId="11" fillId="2" borderId="0" numFmtId="0" xfId="0" applyFont="1" applyFill="1" applyAlignment="1">
      <alignment vertical="center"/>
    </xf>
    <xf fontId="0" fillId="2" borderId="0" numFmtId="0" xfId="0" applyFill="1" applyAlignment="1">
      <alignment vertical="center"/>
    </xf>
    <xf fontId="0" fillId="2" borderId="82" numFmtId="0" xfId="0" applyFill="1" applyBorder="1" applyAlignment="1">
      <alignment vertical="center"/>
    </xf>
    <xf fontId="12" fillId="2" borderId="0" numFmtId="0" xfId="0" applyFont="1" applyFill="1" applyAlignment="1">
      <alignment horizontal="left" vertical="center"/>
    </xf>
    <xf fontId="13" fillId="2" borderId="8" numFmtId="0" xfId="0" applyFont="1" applyFill="1" applyBorder="1" applyAlignment="1">
      <alignment horizontal="center" vertical="center" wrapText="1"/>
    </xf>
    <xf fontId="13" fillId="2" borderId="9" numFmtId="0" xfId="0" applyFont="1" applyFill="1" applyBorder="1" applyAlignment="1">
      <alignment horizontal="center" vertical="center" wrapText="1"/>
    </xf>
    <xf fontId="13" fillId="2" borderId="83" numFmtId="0" xfId="0" applyFont="1" applyFill="1" applyBorder="1" applyAlignment="1">
      <alignment horizontal="center" vertical="center" wrapText="1"/>
    </xf>
    <xf fontId="13" fillId="2" borderId="11" numFmtId="0" xfId="0" applyFont="1" applyFill="1" applyBorder="1" applyAlignment="1">
      <alignment horizontal="center" vertical="center" wrapText="1"/>
    </xf>
    <xf fontId="14" fillId="2" borderId="23" numFmtId="0" xfId="0" applyFont="1" applyFill="1" applyBorder="1" applyAlignment="1">
      <alignment horizontal="center" vertical="center"/>
    </xf>
    <xf fontId="14" fillId="2" borderId="84" numFmtId="0" xfId="0" applyFont="1" applyFill="1" applyBorder="1" applyAlignment="1">
      <alignment horizontal="center" vertical="center" wrapText="1"/>
    </xf>
    <xf fontId="15" fillId="2" borderId="84" numFmtId="0" xfId="0" applyFont="1" applyFill="1" applyBorder="1" applyAlignment="1">
      <alignment horizontal="center" vertical="center" wrapText="1"/>
    </xf>
    <xf fontId="15" fillId="2" borderId="85" numFmtId="0" xfId="0" applyFont="1" applyFill="1" applyBorder="1" applyAlignment="1">
      <alignment vertical="center" wrapText="1"/>
    </xf>
    <xf fontId="15" fillId="2" borderId="77" numFmtId="0" xfId="0" applyFont="1" applyFill="1" applyBorder="1" applyAlignment="1">
      <alignment vertical="center" wrapText="1"/>
    </xf>
    <xf fontId="15" fillId="2" borderId="86" numFmtId="0" xfId="0" applyFont="1" applyFill="1" applyBorder="1" applyAlignment="1">
      <alignment vertical="center" wrapText="1"/>
    </xf>
    <xf fontId="16" fillId="2" borderId="12" numFmtId="0" xfId="0" applyFont="1" applyFill="1" applyBorder="1" applyAlignment="1">
      <alignment horizontal="center" vertical="center" wrapText="1"/>
    </xf>
    <xf fontId="16" fillId="2" borderId="13" numFmtId="0" xfId="0" applyFont="1" applyFill="1" applyBorder="1" applyAlignment="1">
      <alignment horizontal="center" vertical="center" wrapText="1"/>
    </xf>
    <xf fontId="16" fillId="2" borderId="10" numFmtId="0" xfId="0" applyFont="1" applyFill="1" applyBorder="1" applyAlignment="1">
      <alignment horizontal="center" vertical="center" wrapText="1"/>
    </xf>
    <xf fontId="16" fillId="2" borderId="14" numFmtId="0" xfId="0" applyFont="1" applyFill="1" applyBorder="1" applyAlignment="1">
      <alignment horizontal="center" vertical="center" wrapText="1"/>
    </xf>
    <xf fontId="14" fillId="2" borderId="36" numFmtId="0" xfId="0" applyFont="1" applyFill="1" applyBorder="1" applyAlignment="1">
      <alignment horizontal="center" vertical="center"/>
    </xf>
    <xf fontId="14" fillId="2" borderId="87" numFmtId="0" xfId="0" applyFont="1" applyFill="1" applyBorder="1" applyAlignment="1">
      <alignment horizontal="center" vertical="center" wrapText="1"/>
    </xf>
    <xf fontId="15" fillId="2" borderId="87" numFmtId="0" xfId="0" applyFont="1" applyFill="1" applyBorder="1" applyAlignment="1">
      <alignment horizontal="center" vertical="center" wrapText="1"/>
    </xf>
    <xf fontId="15" fillId="2" borderId="88" numFmtId="0" xfId="0" applyFont="1" applyFill="1" applyBorder="1" applyAlignment="1">
      <alignment vertical="center" wrapText="1"/>
    </xf>
    <xf fontId="15" fillId="2" borderId="0" numFmtId="0" xfId="0" applyFont="1" applyFill="1" applyAlignment="1">
      <alignment vertical="center" wrapText="1"/>
    </xf>
    <xf fontId="15" fillId="2" borderId="89" numFmtId="0" xfId="0" applyFont="1" applyFill="1" applyBorder="1" applyAlignment="1">
      <alignment vertical="center" wrapText="1"/>
    </xf>
    <xf fontId="12" fillId="2" borderId="90" numFmtId="0" xfId="0" applyFont="1" applyFill="1" applyBorder="1" applyAlignment="1">
      <alignment horizontal="center" vertical="center" wrapText="1"/>
    </xf>
    <xf fontId="12" fillId="2" borderId="87" numFmtId="0" xfId="0" applyFont="1" applyFill="1" applyBorder="1" applyAlignment="1">
      <alignment horizontal="center" vertical="center" wrapText="1"/>
    </xf>
    <xf fontId="12" fillId="2" borderId="91" numFmtId="0" xfId="0" applyFont="1" applyFill="1" applyBorder="1" applyAlignment="1">
      <alignment horizontal="center" vertical="center" wrapText="1"/>
    </xf>
    <xf fontId="12" fillId="2" borderId="92" numFmtId="0" xfId="0" applyFont="1" applyFill="1" applyBorder="1" applyAlignment="1">
      <alignment horizontal="center" vertical="center" wrapText="1"/>
    </xf>
    <xf fontId="12" fillId="2" borderId="82" numFmtId="0" xfId="0" applyFont="1" applyFill="1" applyBorder="1" applyAlignment="1">
      <alignment horizontal="left" vertical="center"/>
    </xf>
    <xf fontId="12" fillId="2" borderId="93" numFmtId="0" xfId="0" applyFont="1" applyFill="1" applyBorder="1" applyAlignment="1">
      <alignment horizontal="center" vertical="center"/>
    </xf>
    <xf fontId="12" fillId="2" borderId="94" numFmtId="0" xfId="0" applyFont="1" applyFill="1" applyBorder="1" applyAlignment="1">
      <alignment horizontal="center" vertical="center"/>
    </xf>
    <xf fontId="12" fillId="2" borderId="25" numFmtId="0" xfId="0" applyFont="1" applyFill="1" applyBorder="1" applyAlignment="1">
      <alignment horizontal="center" vertical="center"/>
    </xf>
    <xf fontId="12" fillId="2" borderId="30" numFmtId="0" xfId="0" applyFont="1" applyFill="1" applyBorder="1" applyAlignment="1">
      <alignment horizontal="center" vertical="center"/>
    </xf>
    <xf fontId="12" fillId="2" borderId="27" numFmtId="0" xfId="0" applyFont="1" applyFill="1" applyBorder="1" applyAlignment="1">
      <alignment horizontal="center" vertical="center"/>
    </xf>
    <xf fontId="12" fillId="2" borderId="95" numFmtId="0" xfId="0" applyFont="1" applyFill="1" applyBorder="1" applyAlignment="1">
      <alignment horizontal="center" vertical="center"/>
    </xf>
    <xf fontId="12" fillId="2" borderId="96" numFmtId="0" xfId="0" applyFont="1" applyFill="1" applyBorder="1" applyAlignment="1">
      <alignment horizontal="center" vertical="center"/>
    </xf>
    <xf fontId="12" fillId="2" borderId="97" numFmtId="0" xfId="0" applyFont="1" applyFill="1" applyBorder="1" applyAlignment="1">
      <alignment horizontal="center" vertical="center"/>
    </xf>
    <xf fontId="12" fillId="2" borderId="98" numFmtId="0" xfId="0" applyFont="1" applyFill="1" applyBorder="1" applyAlignment="1">
      <alignment horizontal="center" vertical="center"/>
    </xf>
    <xf fontId="14" fillId="2" borderId="99" numFmtId="0" xfId="0" applyFont="1" applyFill="1" applyBorder="1" applyAlignment="1">
      <alignment horizontal="center" vertical="center" wrapText="1"/>
    </xf>
    <xf fontId="15" fillId="2" borderId="99" numFmtId="0" xfId="0" applyFont="1" applyFill="1" applyBorder="1" applyAlignment="1">
      <alignment horizontal="center" vertical="center" wrapText="1"/>
    </xf>
    <xf fontId="15" fillId="2" borderId="100" numFmtId="0" xfId="0" applyFont="1" applyFill="1" applyBorder="1" applyAlignment="1">
      <alignment vertical="center" wrapText="1"/>
    </xf>
    <xf fontId="15" fillId="2" borderId="96" numFmtId="0" xfId="0" applyFont="1" applyFill="1" applyBorder="1" applyAlignment="1">
      <alignment vertical="center" wrapText="1"/>
    </xf>
    <xf fontId="15" fillId="2" borderId="101" numFmtId="0" xfId="0" applyFont="1" applyFill="1" applyBorder="1" applyAlignment="1">
      <alignment vertical="center" wrapText="1"/>
    </xf>
    <xf fontId="12" fillId="2" borderId="102" numFmtId="0" xfId="0" applyFont="1" applyFill="1" applyBorder="1" applyAlignment="1">
      <alignment horizontal="center" vertical="center"/>
    </xf>
    <xf fontId="12" fillId="2" borderId="103" numFmtId="0" xfId="0" applyFont="1" applyFill="1" applyBorder="1" applyAlignment="1">
      <alignment horizontal="center" vertical="center"/>
    </xf>
    <xf fontId="11" fillId="3" borderId="104" numFmtId="0" xfId="0" applyFont="1" applyFill="1" applyBorder="1" applyAlignment="1">
      <alignment horizontal="center" vertical="center"/>
    </xf>
    <xf fontId="11" fillId="3" borderId="105" numFmtId="0" xfId="0" applyFont="1" applyFill="1" applyBorder="1" applyAlignment="1">
      <alignment horizontal="center" vertical="center"/>
    </xf>
    <xf fontId="11" fillId="3" borderId="106" numFmtId="0" xfId="0" applyFont="1" applyFill="1" applyBorder="1" applyAlignment="1">
      <alignment horizontal="center" vertical="center"/>
    </xf>
    <xf fontId="11" fillId="3" borderId="107" numFmtId="0" xfId="0" applyFont="1" applyFill="1" applyBorder="1" applyAlignment="1">
      <alignment horizontal="center" vertical="center"/>
    </xf>
    <xf fontId="11" fillId="3" borderId="108" numFmtId="0" xfId="0" applyFont="1" applyFill="1" applyBorder="1" applyAlignment="1">
      <alignment horizontal="center" vertical="center"/>
    </xf>
    <xf fontId="12" fillId="2" borderId="109" numFmtId="0" xfId="0" applyFont="1" applyFill="1" applyBorder="1" applyAlignment="1">
      <alignment horizontal="center" vertical="center"/>
    </xf>
    <xf fontId="12" fillId="2" borderId="110" numFmtId="0" xfId="0" applyFont="1" applyFill="1" applyBorder="1" applyAlignment="1">
      <alignment horizontal="center" vertical="center"/>
    </xf>
    <xf fontId="16" fillId="3" borderId="111" numFmtId="0" xfId="0" applyFont="1" applyFill="1" applyBorder="1" applyAlignment="1">
      <alignment horizontal="center" vertical="center"/>
    </xf>
    <xf fontId="17" fillId="3" borderId="112" numFmtId="9" xfId="4" applyNumberFormat="1" applyFont="1" applyFill="1" applyBorder="1" applyAlignment="1">
      <alignment horizontal="center" vertical="center"/>
    </xf>
    <xf fontId="18" fillId="3" borderId="112" numFmtId="9" xfId="4" applyNumberFormat="1" applyFont="1" applyFill="1" applyBorder="1" applyAlignment="1">
      <alignment horizontal="center" vertical="center"/>
    </xf>
    <xf fontId="18" fillId="0" borderId="113" numFmtId="1" xfId="4" applyNumberFormat="1" applyFont="1" applyBorder="1" applyAlignment="1">
      <alignment vertical="center"/>
    </xf>
    <xf fontId="18" fillId="0" borderId="108" numFmtId="1" xfId="4" applyNumberFormat="1" applyFont="1" applyBorder="1" applyAlignment="1">
      <alignment vertical="center"/>
    </xf>
    <xf fontId="18" fillId="0" borderId="103" numFmtId="1" xfId="4" applyNumberFormat="1" applyFont="1" applyBorder="1" applyAlignment="1">
      <alignment vertical="center"/>
    </xf>
    <xf fontId="12" fillId="2" borderId="114" numFmtId="0" xfId="0" applyFont="1" applyFill="1" applyBorder="1" applyAlignment="1">
      <alignment horizontal="center" vertical="center"/>
    </xf>
    <xf fontId="12" fillId="2" borderId="115" numFmtId="0" xfId="0" applyFont="1" applyFill="1" applyBorder="1" applyAlignment="1">
      <alignment horizontal="center" vertical="center"/>
    </xf>
    <xf fontId="11" fillId="3" borderId="116" numFmtId="0" xfId="0" applyFont="1" applyFill="1" applyBorder="1" applyAlignment="1">
      <alignment horizontal="center" vertical="center"/>
    </xf>
    <xf fontId="11" fillId="3" borderId="117" numFmtId="0" xfId="0" applyFont="1" applyFill="1" applyBorder="1" applyAlignment="1">
      <alignment horizontal="center" vertical="center"/>
    </xf>
    <xf fontId="11" fillId="3" borderId="118" numFmtId="0" xfId="0" applyFont="1" applyFill="1" applyBorder="1" applyAlignment="1">
      <alignment horizontal="center" vertical="center"/>
    </xf>
    <xf fontId="11" fillId="3" borderId="119" numFmtId="0" xfId="0" applyFont="1" applyFill="1" applyBorder="1" applyAlignment="1">
      <alignment horizontal="center" vertical="center"/>
    </xf>
    <xf fontId="11" fillId="3" borderId="120" numFmtId="0" xfId="0" applyFont="1" applyFill="1" applyBorder="1" applyAlignment="1">
      <alignment horizontal="center" vertical="center"/>
    </xf>
    <xf fontId="12" fillId="2" borderId="121" numFmtId="0" xfId="0" applyFont="1" applyFill="1" applyBorder="1" applyAlignment="1">
      <alignment horizontal="center" vertical="center"/>
    </xf>
    <xf fontId="12" fillId="2" borderId="122" numFmtId="0" xfId="0" applyFont="1" applyFill="1" applyBorder="1" applyAlignment="1">
      <alignment horizontal="center" vertical="center"/>
    </xf>
    <xf fontId="16" fillId="3" borderId="123" numFmtId="0" xfId="0" applyFont="1" applyFill="1" applyBorder="1" applyAlignment="1">
      <alignment horizontal="center" vertical="center"/>
    </xf>
    <xf fontId="17" fillId="3" borderId="124" numFmtId="9" xfId="4" applyNumberFormat="1" applyFont="1" applyFill="1" applyBorder="1" applyAlignment="1">
      <alignment horizontal="center" vertical="center"/>
    </xf>
    <xf fontId="18" fillId="3" borderId="124" numFmtId="9" xfId="4" applyNumberFormat="1" applyFont="1" applyFill="1" applyBorder="1" applyAlignment="1">
      <alignment horizontal="center" vertical="center"/>
    </xf>
    <xf fontId="18" fillId="0" borderId="125" numFmtId="1" xfId="4" applyNumberFormat="1" applyFont="1" applyBorder="1" applyAlignment="1">
      <alignment vertical="center"/>
    </xf>
    <xf fontId="18" fillId="0" borderId="120" numFmtId="1" xfId="4" applyNumberFormat="1" applyFont="1" applyBorder="1" applyAlignment="1">
      <alignment vertical="center"/>
    </xf>
    <xf fontId="18" fillId="0" borderId="115" numFmtId="1" xfId="4" applyNumberFormat="1" applyFont="1" applyBorder="1" applyAlignment="1">
      <alignment vertical="center"/>
    </xf>
    <xf fontId="12" fillId="2" borderId="126" numFmtId="0" xfId="0" applyFont="1" applyFill="1" applyBorder="1" applyAlignment="1">
      <alignment horizontal="center" vertical="center"/>
    </xf>
    <xf fontId="12" fillId="2" borderId="127" numFmtId="0" xfId="0" applyFont="1" applyFill="1" applyBorder="1" applyAlignment="1">
      <alignment horizontal="center" vertical="center"/>
    </xf>
    <xf fontId="11" fillId="3" borderId="128" numFmtId="0" xfId="0" applyFont="1" applyFill="1" applyBorder="1" applyAlignment="1">
      <alignment horizontal="center" vertical="center"/>
    </xf>
    <xf fontId="11" fillId="3" borderId="129" numFmtId="0" xfId="0" applyFont="1" applyFill="1" applyBorder="1" applyAlignment="1">
      <alignment horizontal="center" vertical="center"/>
    </xf>
    <xf fontId="11" fillId="3" borderId="130" numFmtId="0" xfId="0" applyFont="1" applyFill="1" applyBorder="1" applyAlignment="1">
      <alignment horizontal="center" vertical="center"/>
    </xf>
    <xf fontId="11" fillId="3" borderId="131" numFmtId="0" xfId="0" applyFont="1" applyFill="1" applyBorder="1" applyAlignment="1">
      <alignment horizontal="center" vertical="center"/>
    </xf>
    <xf fontId="11" fillId="3" borderId="132" numFmtId="0" xfId="0" applyFont="1" applyFill="1" applyBorder="1" applyAlignment="1">
      <alignment horizontal="center" vertical="center"/>
    </xf>
    <xf fontId="12" fillId="2" borderId="133" numFmtId="0" xfId="0" applyFont="1" applyFill="1" applyBorder="1" applyAlignment="1">
      <alignment horizontal="center" vertical="center"/>
    </xf>
    <xf fontId="12" fillId="2" borderId="134" numFmtId="0" xfId="0" applyFont="1" applyFill="1" applyBorder="1" applyAlignment="1">
      <alignment horizontal="center" vertical="center"/>
    </xf>
    <xf fontId="16" fillId="3" borderId="135" numFmtId="0" xfId="0" applyFont="1" applyFill="1" applyBorder="1" applyAlignment="1">
      <alignment horizontal="center" vertical="center"/>
    </xf>
    <xf fontId="17" fillId="3" borderId="136" numFmtId="9" xfId="4" applyNumberFormat="1" applyFont="1" applyFill="1" applyBorder="1" applyAlignment="1">
      <alignment horizontal="center" vertical="center"/>
    </xf>
    <xf fontId="18" fillId="3" borderId="136" numFmtId="9" xfId="4" applyNumberFormat="1" applyFont="1" applyFill="1" applyBorder="1" applyAlignment="1">
      <alignment horizontal="center" vertical="center"/>
    </xf>
    <xf fontId="18" fillId="0" borderId="137" numFmtId="1" xfId="4" applyNumberFormat="1" applyFont="1" applyBorder="1" applyAlignment="1">
      <alignment vertical="center"/>
    </xf>
    <xf fontId="18" fillId="0" borderId="132" numFmtId="1" xfId="4" applyNumberFormat="1" applyFont="1" applyBorder="1" applyAlignment="1">
      <alignment vertical="center"/>
    </xf>
    <xf fontId="18" fillId="0" borderId="127" numFmtId="1" xfId="4" applyNumberFormat="1" applyFont="1" applyBorder="1" applyAlignment="1">
      <alignment vertical="center"/>
    </xf>
    <xf fontId="12" fillId="2" borderId="138" numFmtId="0" xfId="0" applyFont="1" applyFill="1" applyBorder="1" applyAlignment="1">
      <alignment horizontal="center" vertical="center"/>
    </xf>
    <xf fontId="12" fillId="2" borderId="139" numFmtId="0" xfId="0" applyFont="1" applyFill="1" applyBorder="1" applyAlignment="1">
      <alignment horizontal="center" vertical="center"/>
    </xf>
    <xf fontId="12" fillId="3" borderId="38" numFmtId="0" xfId="0" applyFont="1" applyFill="1" applyBorder="1" applyAlignment="1">
      <alignment horizontal="center" vertical="center"/>
    </xf>
    <xf fontId="12" fillId="3" borderId="43" numFmtId="0" xfId="0" applyFont="1" applyFill="1" applyBorder="1" applyAlignment="1">
      <alignment horizontal="center" vertical="center"/>
    </xf>
    <xf fontId="12" fillId="3" borderId="40" numFmtId="0" xfId="0" applyFont="1" applyFill="1" applyBorder="1" applyAlignment="1">
      <alignment horizontal="center" vertical="center"/>
    </xf>
    <xf fontId="12" fillId="3" borderId="140" numFmtId="0" xfId="0" applyFont="1" applyFill="1" applyBorder="1" applyAlignment="1">
      <alignment horizontal="center" vertical="center"/>
    </xf>
    <xf fontId="12" fillId="3" borderId="141" numFmtId="0" xfId="0" applyFont="1" applyFill="1" applyBorder="1" applyAlignment="1">
      <alignment horizontal="center" vertical="center"/>
    </xf>
    <xf fontId="12" fillId="2" borderId="142" numFmtId="0" xfId="0" applyFont="1" applyFill="1" applyBorder="1" applyAlignment="1">
      <alignment horizontal="center" vertical="center"/>
    </xf>
    <xf fontId="12" fillId="2" borderId="143" numFmtId="0" xfId="0" applyFont="1" applyFill="1" applyBorder="1" applyAlignment="1">
      <alignment horizontal="center" vertical="center"/>
    </xf>
    <xf fontId="16" fillId="3" borderId="144" numFmtId="0" xfId="0" applyFont="1" applyFill="1" applyBorder="1" applyAlignment="1">
      <alignment horizontal="center" vertical="center"/>
    </xf>
    <xf fontId="16" fillId="3" borderId="145" numFmtId="9" xfId="4" applyNumberFormat="1" applyFont="1" applyFill="1" applyBorder="1" applyAlignment="1">
      <alignment horizontal="center" vertical="center"/>
    </xf>
    <xf fontId="10" fillId="3" borderId="145" numFmtId="9" xfId="4" applyNumberFormat="1" applyFont="1" applyFill="1" applyBorder="1" applyAlignment="1">
      <alignment horizontal="center" vertical="center"/>
    </xf>
    <xf fontId="18" fillId="0" borderId="146" numFmtId="1" xfId="4" applyNumberFormat="1" applyFont="1" applyBorder="1" applyAlignment="1">
      <alignment vertical="center"/>
    </xf>
    <xf fontId="18" fillId="0" borderId="141" numFmtId="1" xfId="4" applyNumberFormat="1" applyFont="1" applyBorder="1" applyAlignment="1">
      <alignment vertical="center"/>
    </xf>
    <xf fontId="18" fillId="0" borderId="139" numFmtId="1" xfId="4" applyNumberFormat="1" applyFont="1" applyBorder="1" applyAlignment="1">
      <alignment vertical="center"/>
    </xf>
    <xf fontId="12" fillId="2" borderId="147" numFmtId="0" xfId="0" applyFont="1" applyFill="1" applyBorder="1" applyAlignment="1">
      <alignment horizontal="center" vertical="center"/>
    </xf>
    <xf fontId="12" fillId="2" borderId="148" numFmtId="0" xfId="0" applyFont="1" applyFill="1" applyBorder="1" applyAlignment="1">
      <alignment horizontal="center" vertical="center"/>
    </xf>
    <xf fontId="12" fillId="3" borderId="66" numFmtId="0" xfId="0" applyFont="1" applyFill="1" applyBorder="1" applyAlignment="1">
      <alignment horizontal="center" vertical="center"/>
    </xf>
    <xf fontId="12" fillId="3" borderId="71" numFmtId="0" xfId="0" applyFont="1" applyFill="1" applyBorder="1" applyAlignment="1">
      <alignment horizontal="center" vertical="center"/>
    </xf>
    <xf fontId="12" fillId="3" borderId="68" numFmtId="0" xfId="0" applyFont="1" applyFill="1" applyBorder="1" applyAlignment="1">
      <alignment horizontal="center" vertical="center"/>
    </xf>
    <xf fontId="12" fillId="3" borderId="149" numFmtId="0" xfId="0" applyFont="1" applyFill="1" applyBorder="1" applyAlignment="1">
      <alignment horizontal="center" vertical="center"/>
    </xf>
    <xf fontId="12" fillId="3" borderId="150" numFmtId="0" xfId="0" applyFont="1" applyFill="1" applyBorder="1" applyAlignment="1">
      <alignment horizontal="center" vertical="center"/>
    </xf>
    <xf fontId="12" fillId="2" borderId="151" numFmtId="0" xfId="0" applyFont="1" applyFill="1" applyBorder="1" applyAlignment="1">
      <alignment horizontal="center" vertical="center"/>
    </xf>
    <xf fontId="12" fillId="2" borderId="152" numFmtId="0" xfId="0" applyFont="1" applyFill="1" applyBorder="1" applyAlignment="1">
      <alignment horizontal="center" vertical="center"/>
    </xf>
    <xf fontId="12" fillId="3" borderId="153" numFmtId="0" xfId="0" applyFont="1" applyFill="1" applyBorder="1" applyAlignment="1">
      <alignment horizontal="center" vertical="center"/>
    </xf>
    <xf fontId="16" fillId="3" borderId="154" numFmtId="9" xfId="4" applyNumberFormat="1" applyFont="1" applyFill="1" applyBorder="1" applyAlignment="1">
      <alignment horizontal="center" vertical="center"/>
    </xf>
    <xf fontId="10" fillId="3" borderId="154" numFmtId="9" xfId="4" applyNumberFormat="1" applyFont="1" applyFill="1" applyBorder="1" applyAlignment="1">
      <alignment horizontal="center" vertical="center"/>
    </xf>
    <xf fontId="18" fillId="0" borderId="155" numFmtId="1" xfId="4" applyNumberFormat="1" applyFont="1" applyBorder="1" applyAlignment="1">
      <alignment vertical="center"/>
    </xf>
    <xf fontId="18" fillId="0" borderId="150" numFmtId="1" xfId="4" applyNumberFormat="1" applyFont="1" applyBorder="1" applyAlignment="1">
      <alignment vertical="center"/>
    </xf>
    <xf fontId="18" fillId="0" borderId="148" numFmtId="1" xfId="4" applyNumberFormat="1" applyFont="1" applyBorder="1" applyAlignment="1">
      <alignment vertical="center"/>
    </xf>
    <xf fontId="12" fillId="3" borderId="0" numFmtId="0" xfId="0" applyFont="1" applyFill="1" applyAlignment="1">
      <alignment horizontal="center" vertical="center"/>
    </xf>
    <xf fontId="16" fillId="3" borderId="0" numFmtId="0" xfId="0" applyFont="1" applyFill="1" applyAlignment="1">
      <alignment horizontal="center" vertical="center"/>
    </xf>
    <xf fontId="17" fillId="3" borderId="0" numFmtId="9" xfId="4" applyNumberFormat="1" applyFont="1" applyFill="1" applyAlignment="1">
      <alignment horizontal="center" vertical="center"/>
    </xf>
    <xf fontId="17" fillId="3" borderId="0" numFmtId="1" xfId="4" applyNumberFormat="1" applyFont="1" applyFill="1" applyAlignment="1">
      <alignment horizontal="center" vertical="center"/>
    </xf>
    <xf fontId="0" fillId="3" borderId="0" numFmtId="0" xfId="0" applyFill="1" applyAlignment="1">
      <alignment vertical="center"/>
    </xf>
    <xf fontId="17" fillId="3" borderId="112" numFmtId="3" xfId="4" applyNumberFormat="1" applyFont="1" applyFill="1" applyBorder="1" applyAlignment="1">
      <alignment horizontal="center" vertical="center"/>
    </xf>
    <xf fontId="18" fillId="3" borderId="112" numFmtId="1" xfId="4" applyNumberFormat="1" applyFont="1" applyFill="1" applyBorder="1" applyAlignment="1">
      <alignment horizontal="center" vertical="center"/>
    </xf>
    <xf fontId="17" fillId="3" borderId="124" numFmtId="3" xfId="4" applyNumberFormat="1" applyFont="1" applyFill="1" applyBorder="1" applyAlignment="1">
      <alignment horizontal="center" vertical="center"/>
    </xf>
    <xf fontId="18" fillId="3" borderId="124" numFmtId="1" xfId="4" applyNumberFormat="1" applyFont="1" applyFill="1" applyBorder="1" applyAlignment="1">
      <alignment horizontal="center" vertical="center"/>
    </xf>
    <xf fontId="17" fillId="3" borderId="136" numFmtId="3" xfId="4" applyNumberFormat="1" applyFont="1" applyFill="1" applyBorder="1" applyAlignment="1">
      <alignment horizontal="center" vertical="center"/>
    </xf>
    <xf fontId="18" fillId="3" borderId="136" numFmtId="1" xfId="4" applyNumberFormat="1" applyFont="1" applyFill="1" applyBorder="1" applyAlignment="1">
      <alignment horizontal="center" vertical="center"/>
    </xf>
    <xf fontId="16" fillId="3" borderId="145" numFmtId="3" xfId="4" applyNumberFormat="1" applyFont="1" applyFill="1" applyBorder="1" applyAlignment="1">
      <alignment horizontal="center" vertical="center"/>
    </xf>
    <xf fontId="10" fillId="3" borderId="145" numFmtId="1" xfId="4" applyNumberFormat="1" applyFont="1" applyFill="1" applyBorder="1" applyAlignment="1">
      <alignment horizontal="center" vertical="center"/>
    </xf>
    <xf fontId="16" fillId="3" borderId="154" numFmtId="3" xfId="4" applyNumberFormat="1" applyFont="1" applyFill="1" applyBorder="1" applyAlignment="1">
      <alignment horizontal="center" vertical="center"/>
    </xf>
    <xf fontId="10" fillId="3" borderId="154" numFmtId="1" xfId="4" applyNumberFormat="1" applyFont="1" applyFill="1" applyBorder="1" applyAlignment="1">
      <alignment horizontal="center" vertical="center"/>
    </xf>
    <xf fontId="12" fillId="3" borderId="0" numFmtId="0" xfId="0" applyFont="1" applyFill="1" applyAlignment="1">
      <alignment horizontal="left" vertical="center"/>
    </xf>
    <xf fontId="11" fillId="3" borderId="0" numFmtId="0" xfId="0" applyFont="1" applyFill="1" applyAlignment="1">
      <alignment vertical="center"/>
    </xf>
    <xf fontId="11" fillId="0" borderId="0" numFmtId="0" xfId="0" applyFont="1" applyAlignment="1">
      <alignment vertical="center"/>
    </xf>
    <xf fontId="6" fillId="0" borderId="0" numFmtId="0" xfId="0" applyFont="1" applyAlignment="1">
      <alignment vertical="center"/>
    </xf>
    <xf fontId="6" fillId="0" borderId="0" numFmtId="0" xfId="0" applyFont="1" applyAlignment="1">
      <alignment vertical="top"/>
    </xf>
    <xf fontId="8" fillId="2" borderId="13" numFmtId="0" xfId="0" applyFont="1" applyFill="1" applyBorder="1" applyAlignment="1">
      <alignment horizontal="center" vertical="center" wrapText="1"/>
    </xf>
    <xf fontId="8" fillId="2" borderId="156" numFmtId="0" xfId="0" applyFont="1" applyFill="1" applyBorder="1" applyAlignment="1">
      <alignment horizontal="center" vertical="center" wrapText="1"/>
    </xf>
    <xf fontId="5" fillId="0" borderId="0" numFmtId="0" xfId="0" applyFont="1" applyAlignment="1">
      <alignment horizontal="center" vertical="center"/>
    </xf>
    <xf fontId="7" fillId="0" borderId="0" numFmtId="0" xfId="0" applyFont="1" applyAlignment="1">
      <alignment horizontal="center" vertical="center"/>
    </xf>
    <xf fontId="10" fillId="2" borderId="89" numFmtId="0" xfId="0" applyFont="1" applyFill="1" applyBorder="1" applyAlignment="1">
      <alignment horizontal="center" vertical="center" wrapText="1"/>
    </xf>
    <xf fontId="10" fillId="2" borderId="0" numFmtId="0" xfId="0" applyFont="1" applyFill="1" applyAlignment="1">
      <alignment horizontal="center" vertical="center" wrapText="1"/>
    </xf>
    <xf fontId="4" fillId="2" borderId="157" numFmtId="0" xfId="0" applyFont="1" applyFill="1" applyBorder="1" applyAlignment="1">
      <alignment horizontal="center" vertical="center" wrapText="1"/>
    </xf>
    <xf fontId="4" fillId="2" borderId="158" numFmtId="0" xfId="0" applyFont="1" applyFill="1" applyBorder="1" applyAlignment="1">
      <alignment horizontal="center" vertical="center" wrapText="1"/>
    </xf>
    <xf fontId="4" fillId="2" borderId="159" numFmtId="0" xfId="0" applyFont="1" applyFill="1" applyBorder="1" applyAlignment="1">
      <alignment horizontal="center" vertical="center" wrapText="1"/>
    </xf>
    <xf fontId="4" fillId="2" borderId="160" numFmtId="0" xfId="0" applyFont="1" applyFill="1" applyBorder="1" applyAlignment="1">
      <alignment horizontal="center" vertical="center"/>
    </xf>
    <xf fontId="6" fillId="0" borderId="0" numFmtId="0" xfId="0" applyFont="1" applyAlignment="1">
      <alignment vertical="center" wrapText="1"/>
    </xf>
    <xf fontId="5" fillId="0" borderId="161" numFmtId="0" xfId="0" applyFont="1" applyBorder="1" applyAlignment="1">
      <alignment horizontal="center" vertical="center"/>
    </xf>
    <xf fontId="5" fillId="0" borderId="45" numFmtId="0" xfId="0" applyFont="1" applyBorder="1" applyAlignment="1">
      <alignment horizontal="center" vertical="center"/>
    </xf>
    <xf fontId="5" fillId="0" borderId="46" numFmtId="0" xfId="0" applyFont="1" applyBorder="1" applyAlignment="1">
      <alignment horizontal="center" vertical="center"/>
    </xf>
    <xf fontId="5" fillId="0" borderId="47" numFmtId="0" xfId="0" applyFont="1" applyBorder="1" applyAlignment="1">
      <alignment horizontal="center" vertical="center"/>
    </xf>
    <xf fontId="5" fillId="0" borderId="44" numFmtId="0" xfId="0" applyFont="1" applyBorder="1" applyAlignment="1">
      <alignment horizontal="center" vertical="center"/>
    </xf>
    <xf fontId="5" fillId="0" borderId="48" numFmtId="0" xfId="0" applyFont="1" applyBorder="1" applyAlignment="1">
      <alignment horizontal="center" vertical="center"/>
    </xf>
    <xf fontId="6" fillId="0" borderId="0" numFmtId="0" xfId="0" applyFont="1" applyAlignment="1">
      <alignment horizontal="center" vertical="center"/>
    </xf>
    <xf fontId="5" fillId="0" borderId="162" numFmtId="0" xfId="0" applyFont="1" applyBorder="1" applyAlignment="1">
      <alignment horizontal="center" vertical="center"/>
    </xf>
    <xf fontId="5" fillId="0" borderId="73" numFmtId="0" xfId="0" applyFont="1" applyBorder="1" applyAlignment="1">
      <alignment horizontal="center" vertical="center"/>
    </xf>
    <xf fontId="5" fillId="0" borderId="74" numFmtId="0" xfId="0" applyFont="1" applyBorder="1" applyAlignment="1">
      <alignment horizontal="center" vertical="center"/>
    </xf>
    <xf fontId="5" fillId="0" borderId="75" numFmtId="0" xfId="0" applyFont="1" applyBorder="1" applyAlignment="1">
      <alignment horizontal="center" vertical="center"/>
    </xf>
    <xf fontId="5" fillId="0" borderId="72" numFmtId="0" xfId="0" applyFont="1" applyBorder="1" applyAlignment="1">
      <alignment horizontal="center" vertical="center"/>
    </xf>
    <xf fontId="5" fillId="0" borderId="76" numFmtId="0" xfId="0" applyFont="1" applyBorder="1" applyAlignment="1">
      <alignment horizontal="center" vertical="center"/>
    </xf>
    <xf fontId="8" fillId="2" borderId="163" numFmtId="0" xfId="0" applyFont="1" applyFill="1" applyBorder="1" applyAlignment="1">
      <alignment horizontal="center" vertical="center" wrapText="1"/>
    </xf>
    <xf fontId="15" fillId="2" borderId="23" numFmtId="0" xfId="0" applyFont="1" applyFill="1" applyBorder="1" applyAlignment="1">
      <alignment horizontal="center" vertical="center"/>
    </xf>
    <xf fontId="15" fillId="2" borderId="164" numFmtId="0" xfId="0" applyFont="1" applyFill="1" applyBorder="1" applyAlignment="1">
      <alignment horizontal="center" vertical="center" wrapText="1"/>
    </xf>
    <xf fontId="15" fillId="2" borderId="165" numFmtId="0" xfId="0" applyFont="1" applyFill="1" applyBorder="1" applyAlignment="1">
      <alignment horizontal="center" vertical="center" wrapText="1"/>
    </xf>
    <xf fontId="15" fillId="2" borderId="36" numFmtId="0" xfId="0" applyFont="1" applyFill="1" applyBorder="1" applyAlignment="1">
      <alignment horizontal="center" vertical="center"/>
    </xf>
    <xf fontId="15" fillId="2" borderId="166" numFmtId="0" xfId="0" applyFont="1" applyFill="1" applyBorder="1" applyAlignment="1">
      <alignment horizontal="center" vertical="center" wrapText="1"/>
    </xf>
    <xf fontId="15" fillId="2" borderId="167" numFmtId="0" xfId="0" applyFont="1" applyFill="1" applyBorder="1" applyAlignment="1">
      <alignment horizontal="center" vertical="center" wrapText="1"/>
    </xf>
    <xf fontId="4" fillId="2" borderId="168" numFmtId="0" xfId="0" applyFont="1" applyFill="1" applyBorder="1" applyAlignment="1">
      <alignment horizontal="center" vertical="center" wrapText="1"/>
    </xf>
    <xf fontId="4" fillId="2" borderId="14" numFmtId="0" xfId="0" applyFont="1" applyFill="1" applyBorder="1" applyAlignment="1">
      <alignment horizontal="center" vertical="center" wrapText="1"/>
    </xf>
    <xf fontId="4" fillId="2" borderId="93" numFmtId="0" xfId="0" applyFont="1" applyFill="1" applyBorder="1" applyAlignment="1">
      <alignment horizontal="center" vertical="center"/>
    </xf>
    <xf fontId="4" fillId="2" borderId="94" numFmtId="0" xfId="0" applyFont="1" applyFill="1" applyBorder="1" applyAlignment="1">
      <alignment horizontal="center" vertical="center"/>
    </xf>
    <xf fontId="4" fillId="2" borderId="96" numFmtId="0" xfId="0" applyFont="1" applyFill="1" applyBorder="1" applyAlignment="1">
      <alignment horizontal="center" vertical="center"/>
    </xf>
    <xf fontId="4" fillId="2" borderId="97" numFmtId="0" xfId="0" applyFont="1" applyFill="1" applyBorder="1" applyAlignment="1">
      <alignment horizontal="center" vertical="center"/>
    </xf>
    <xf fontId="4" fillId="2" borderId="98" numFmtId="0" xfId="0" applyFont="1" applyFill="1" applyBorder="1" applyAlignment="1">
      <alignment horizontal="center" vertical="center"/>
    </xf>
    <xf fontId="15" fillId="2" borderId="27" numFmtId="0" xfId="0" applyFont="1" applyFill="1" applyBorder="1" applyAlignment="1">
      <alignment horizontal="center" vertical="center" wrapText="1"/>
    </xf>
    <xf fontId="15" fillId="2" borderId="30" numFmtId="0" xfId="0" applyFont="1" applyFill="1" applyBorder="1" applyAlignment="1">
      <alignment horizontal="center" vertical="center" wrapText="1"/>
    </xf>
    <xf fontId="4" fillId="2" borderId="102" numFmtId="0" xfId="0" applyFont="1" applyFill="1" applyBorder="1" applyAlignment="1">
      <alignment horizontal="center" vertical="center"/>
    </xf>
    <xf fontId="4" fillId="2" borderId="103" numFmtId="0" xfId="0" applyFont="1" applyFill="1" applyBorder="1" applyAlignment="1">
      <alignment horizontal="center" vertical="center"/>
    </xf>
    <xf fontId="5" fillId="0" borderId="108" numFmtId="0" xfId="0" applyFont="1" applyBorder="1" applyAlignment="1">
      <alignment horizontal="center" vertical="center"/>
    </xf>
    <xf fontId="5" fillId="0" borderId="169" numFmtId="0" xfId="0" applyFont="1" applyBorder="1" applyAlignment="1">
      <alignment horizontal="center" vertical="center"/>
    </xf>
    <xf fontId="4" fillId="2" borderId="170" numFmtId="0" xfId="0" applyFont="1" applyFill="1" applyBorder="1" applyAlignment="1">
      <alignment horizontal="center" vertical="center"/>
    </xf>
    <xf fontId="4" fillId="2" borderId="171" numFmtId="0" xfId="0" applyFont="1" applyFill="1" applyBorder="1" applyAlignment="1">
      <alignment horizontal="center" vertical="center"/>
    </xf>
    <xf fontId="10" fillId="0" borderId="111" numFmtId="0" xfId="0" applyFont="1" applyBorder="1" applyAlignment="1">
      <alignment horizontal="center" vertical="center"/>
    </xf>
    <xf fontId="4" fillId="2" borderId="114" numFmtId="0" xfId="0" applyFont="1" applyFill="1" applyBorder="1" applyAlignment="1">
      <alignment horizontal="center" vertical="center"/>
    </xf>
    <xf fontId="4" fillId="2" borderId="115" numFmtId="0" xfId="0" applyFont="1" applyFill="1" applyBorder="1" applyAlignment="1">
      <alignment horizontal="center" vertical="center"/>
    </xf>
    <xf fontId="5" fillId="0" borderId="120" numFmtId="0" xfId="0" applyFont="1" applyBorder="1" applyAlignment="1">
      <alignment horizontal="center" vertical="center"/>
    </xf>
    <xf fontId="5" fillId="0" borderId="172" numFmtId="0" xfId="0" applyFont="1" applyBorder="1" applyAlignment="1">
      <alignment horizontal="center" vertical="center"/>
    </xf>
    <xf fontId="4" fillId="2" borderId="173" numFmtId="0" xfId="0" applyFont="1" applyFill="1" applyBorder="1" applyAlignment="1">
      <alignment horizontal="center" vertical="center"/>
    </xf>
    <xf fontId="4" fillId="2" borderId="174" numFmtId="0" xfId="0" applyFont="1" applyFill="1" applyBorder="1" applyAlignment="1">
      <alignment horizontal="center" vertical="center"/>
    </xf>
    <xf fontId="10" fillId="0" borderId="123" numFmtId="0" xfId="0" applyFont="1" applyBorder="1" applyAlignment="1">
      <alignment horizontal="center" vertical="center"/>
    </xf>
    <xf fontId="4" fillId="2" borderId="126" numFmtId="0" xfId="0" applyFont="1" applyFill="1" applyBorder="1" applyAlignment="1">
      <alignment horizontal="center" vertical="center"/>
    </xf>
    <xf fontId="4" fillId="2" borderId="127" numFmtId="0" xfId="0" applyFont="1" applyFill="1" applyBorder="1" applyAlignment="1">
      <alignment horizontal="center" vertical="center"/>
    </xf>
    <xf fontId="5" fillId="0" borderId="59" numFmtId="0" xfId="0" applyFont="1" applyBorder="1" applyAlignment="1">
      <alignment horizontal="center" vertical="center"/>
    </xf>
    <xf fontId="5" fillId="0" borderId="60" numFmtId="0" xfId="0" applyFont="1" applyBorder="1" applyAlignment="1">
      <alignment horizontal="center" vertical="center"/>
    </xf>
    <xf fontId="5" fillId="0" borderId="61" numFmtId="0" xfId="0" applyFont="1" applyBorder="1" applyAlignment="1">
      <alignment horizontal="center" vertical="center"/>
    </xf>
    <xf fontId="5" fillId="0" borderId="62" numFmtId="0" xfId="0" applyFont="1" applyBorder="1" applyAlignment="1">
      <alignment horizontal="center" vertical="center"/>
    </xf>
    <xf fontId="5" fillId="0" borderId="63" numFmtId="0" xfId="0" applyFont="1" applyBorder="1" applyAlignment="1">
      <alignment horizontal="center" vertical="center"/>
    </xf>
    <xf fontId="5" fillId="0" borderId="132" numFmtId="0" xfId="0" applyFont="1" applyBorder="1" applyAlignment="1">
      <alignment horizontal="center" vertical="center"/>
    </xf>
    <xf fontId="5" fillId="0" borderId="175" numFmtId="0" xfId="0" applyFont="1" applyBorder="1" applyAlignment="1">
      <alignment horizontal="center" vertical="center"/>
    </xf>
    <xf fontId="4" fillId="2" borderId="176" numFmtId="0" xfId="0" applyFont="1" applyFill="1" applyBorder="1" applyAlignment="1">
      <alignment horizontal="center" vertical="center"/>
    </xf>
    <xf fontId="4" fillId="2" borderId="177" numFmtId="0" xfId="0" applyFont="1" applyFill="1" applyBorder="1" applyAlignment="1">
      <alignment horizontal="center" vertical="center"/>
    </xf>
    <xf fontId="10" fillId="0" borderId="178" numFmtId="0" xfId="0" applyFont="1" applyBorder="1" applyAlignment="1">
      <alignment horizontal="center" vertical="center"/>
    </xf>
    <xf fontId="4" fillId="2" borderId="138" numFmtId="0" xfId="0" applyFont="1" applyFill="1" applyBorder="1" applyAlignment="1">
      <alignment horizontal="center" vertical="center"/>
    </xf>
    <xf fontId="4" fillId="2" borderId="139" numFmtId="0" xfId="0" applyFont="1" applyFill="1" applyBorder="1" applyAlignment="1">
      <alignment horizontal="center" vertical="center"/>
    </xf>
    <xf fontId="4" fillId="0" borderId="161" numFmtId="0" xfId="0" applyFont="1" applyBorder="1" applyAlignment="1">
      <alignment horizontal="center" vertical="center"/>
    </xf>
    <xf fontId="4" fillId="0" borderId="45" numFmtId="0" xfId="0" applyFont="1" applyBorder="1" applyAlignment="1">
      <alignment horizontal="center" vertical="center"/>
    </xf>
    <xf fontId="4" fillId="0" borderId="46" numFmtId="0" xfId="0" applyFont="1" applyBorder="1" applyAlignment="1">
      <alignment horizontal="center" vertical="center"/>
    </xf>
    <xf fontId="4" fillId="0" borderId="47" numFmtId="0" xfId="0" applyFont="1" applyBorder="1" applyAlignment="1">
      <alignment horizontal="center" vertical="center"/>
    </xf>
    <xf fontId="4" fillId="0" borderId="44" numFmtId="0" xfId="0" applyFont="1" applyBorder="1" applyAlignment="1">
      <alignment horizontal="center" vertical="center"/>
    </xf>
    <xf fontId="4" fillId="0" borderId="141" numFmtId="0" xfId="0" applyFont="1" applyBorder="1" applyAlignment="1">
      <alignment horizontal="center" vertical="center"/>
    </xf>
    <xf fontId="4" fillId="0" borderId="48" numFmtId="0" xfId="0" applyFont="1" applyBorder="1" applyAlignment="1">
      <alignment horizontal="center" vertical="center"/>
    </xf>
    <xf fontId="4" fillId="2" borderId="179" numFmtId="0" xfId="0" applyFont="1" applyFill="1" applyBorder="1" applyAlignment="1">
      <alignment horizontal="center" vertical="center"/>
    </xf>
    <xf fontId="4" fillId="2" borderId="180" numFmtId="0" xfId="0" applyFont="1" applyFill="1" applyBorder="1" applyAlignment="1">
      <alignment horizontal="center" vertical="center"/>
    </xf>
    <xf fontId="10" fillId="0" borderId="36" numFmtId="0" xfId="0" applyFont="1" applyBorder="1" applyAlignment="1">
      <alignment horizontal="center" vertical="center"/>
    </xf>
    <xf fontId="4" fillId="2" borderId="147" numFmtId="0" xfId="0" applyFont="1" applyFill="1" applyBorder="1" applyAlignment="1">
      <alignment horizontal="center" vertical="center"/>
    </xf>
    <xf fontId="4" fillId="2" borderId="148" numFmtId="0" xfId="0" applyFont="1" applyFill="1" applyBorder="1" applyAlignment="1">
      <alignment horizontal="center" vertical="center"/>
    </xf>
    <xf fontId="4" fillId="0" borderId="162" numFmtId="0" xfId="0" applyFont="1" applyBorder="1" applyAlignment="1">
      <alignment horizontal="center" vertical="center"/>
    </xf>
    <xf fontId="4" fillId="0" borderId="73" numFmtId="0" xfId="0" applyFont="1" applyBorder="1" applyAlignment="1">
      <alignment horizontal="center" vertical="center"/>
    </xf>
    <xf fontId="4" fillId="0" borderId="74" numFmtId="0" xfId="0" applyFont="1" applyBorder="1" applyAlignment="1">
      <alignment horizontal="center" vertical="center"/>
    </xf>
    <xf fontId="4" fillId="0" borderId="75" numFmtId="0" xfId="0" applyFont="1" applyBorder="1" applyAlignment="1">
      <alignment horizontal="center" vertical="center"/>
    </xf>
    <xf fontId="4" fillId="0" borderId="72" numFmtId="0" xfId="0" applyFont="1" applyBorder="1" applyAlignment="1">
      <alignment horizontal="center" vertical="center"/>
    </xf>
    <xf fontId="4" fillId="0" borderId="150" numFmtId="0" xfId="0" applyFont="1" applyBorder="1" applyAlignment="1">
      <alignment horizontal="center" vertical="center"/>
    </xf>
    <xf fontId="4" fillId="0" borderId="76" numFmtId="0" xfId="0" applyFont="1" applyBorder="1" applyAlignment="1">
      <alignment horizontal="center" vertical="center"/>
    </xf>
    <xf fontId="4" fillId="2" borderId="181" numFmtId="0" xfId="0" applyFont="1" applyFill="1" applyBorder="1" applyAlignment="1">
      <alignment horizontal="center" vertical="center"/>
    </xf>
    <xf fontId="4" fillId="2" borderId="182" numFmtId="0" xfId="0" applyFont="1" applyFill="1" applyBorder="1" applyAlignment="1">
      <alignment horizontal="center" vertical="center"/>
    </xf>
    <xf fontId="10" fillId="0" borderId="64" numFmtId="0" xfId="0" applyFont="1" applyBorder="1" applyAlignment="1">
      <alignment horizontal="center" vertical="center"/>
    </xf>
    <xf fontId="4" fillId="3" borderId="77" numFmtId="0" xfId="0" applyFont="1" applyFill="1" applyBorder="1" applyAlignment="1">
      <alignment horizontal="left" vertical="center"/>
    </xf>
    <xf fontId="5" fillId="3" borderId="77" numFmtId="0" xfId="0" applyFont="1" applyFill="1" applyBorder="1" applyAlignment="1">
      <alignment vertical="center"/>
    </xf>
    <xf fontId="5" fillId="3" borderId="0" numFmtId="0" xfId="0" applyFont="1" applyFill="1" applyAlignment="1">
      <alignment vertical="center"/>
    </xf>
    <xf fontId="6" fillId="3" borderId="0" numFmtId="0" xfId="0" applyFont="1" applyFill="1" applyAlignment="1">
      <alignment vertical="center"/>
    </xf>
    <xf fontId="4" fillId="3" borderId="0" numFmtId="0" xfId="0" applyFont="1" applyFill="1" applyAlignment="1">
      <alignment horizontal="left" vertical="center"/>
    </xf>
    <xf fontId="8" fillId="3" borderId="0" numFmtId="0" xfId="0" applyFont="1" applyFill="1" applyAlignment="1">
      <alignment vertical="center" wrapText="1"/>
    </xf>
    <xf fontId="15" fillId="3" borderId="183" numFmtId="0" xfId="0" applyFont="1" applyFill="1" applyBorder="1" applyAlignment="1">
      <alignment vertical="center"/>
    </xf>
    <xf fontId="15" fillId="2" borderId="184" numFmtId="0" xfId="0" applyFont="1" applyFill="1" applyBorder="1" applyAlignment="1">
      <alignment horizontal="center" vertical="center" wrapText="1"/>
    </xf>
    <xf fontId="15" fillId="3" borderId="185" numFmtId="0" xfId="0" applyFont="1" applyFill="1" applyBorder="1" applyAlignment="1">
      <alignment vertical="center" wrapText="1"/>
    </xf>
    <xf fontId="15" fillId="3" borderId="0" numFmtId="0" xfId="0" applyFont="1" applyFill="1" applyAlignment="1">
      <alignment vertical="center" wrapText="1"/>
    </xf>
    <xf fontId="10" fillId="3" borderId="0" numFmtId="0" xfId="0" applyFont="1" applyFill="1" applyAlignment="1">
      <alignment vertical="center" wrapText="1"/>
    </xf>
    <xf fontId="15" fillId="2" borderId="186" numFmtId="0" xfId="0" applyFont="1" applyFill="1" applyBorder="1" applyAlignment="1">
      <alignment horizontal="center" vertical="center" wrapText="1"/>
    </xf>
    <xf fontId="4" fillId="3" borderId="0" numFmtId="0" xfId="0" applyFont="1" applyFill="1" applyAlignment="1">
      <alignment vertical="center" wrapText="1"/>
    </xf>
    <xf fontId="4" fillId="3" borderId="0" numFmtId="0" xfId="0" applyFont="1" applyFill="1" applyAlignment="1">
      <alignment vertical="center"/>
    </xf>
    <xf fontId="4" fillId="3" borderId="0" numFmtId="0" xfId="0" applyFont="1" applyFill="1" applyAlignment="1">
      <alignment horizontal="center" vertical="center"/>
    </xf>
    <xf fontId="15" fillId="2" borderId="187" numFmtId="0" xfId="0" applyFont="1" applyFill="1" applyBorder="1" applyAlignment="1">
      <alignment horizontal="center" vertical="center" wrapText="1"/>
    </xf>
    <xf fontId="10" fillId="3" borderId="183" numFmtId="0" xfId="0" applyFont="1" applyFill="1" applyBorder="1" applyAlignment="1">
      <alignment horizontal="center" vertical="center"/>
    </xf>
    <xf fontId="18" fillId="3" borderId="188" numFmtId="3" xfId="4" applyNumberFormat="1" applyFont="1" applyFill="1" applyBorder="1" applyAlignment="1">
      <alignment horizontal="center" vertical="center"/>
    </xf>
    <xf fontId="18" fillId="3" borderId="0" numFmtId="1" xfId="4" applyNumberFormat="1" applyFont="1" applyFill="1" applyAlignment="1">
      <alignment horizontal="center" vertical="center"/>
    </xf>
    <xf fontId="18" fillId="3" borderId="0" numFmtId="1" xfId="4" applyNumberFormat="1" applyFont="1" applyFill="1" applyAlignment="1">
      <alignment vertical="center" wrapText="1"/>
    </xf>
    <xf fontId="18" fillId="3" borderId="189" numFmtId="3" xfId="4" applyNumberFormat="1" applyFont="1" applyFill="1" applyBorder="1" applyAlignment="1">
      <alignment horizontal="center" vertical="center"/>
    </xf>
    <xf fontId="18" fillId="3" borderId="190" numFmtId="3" xfId="4" applyNumberFormat="1" applyFont="1" applyFill="1" applyBorder="1" applyAlignment="1">
      <alignment horizontal="center" vertical="center"/>
    </xf>
    <xf fontId="10" fillId="3" borderId="191" numFmtId="3" xfId="4" applyNumberFormat="1" applyFont="1" applyFill="1" applyBorder="1" applyAlignment="1">
      <alignment horizontal="center" vertical="center"/>
    </xf>
    <xf fontId="10" fillId="3" borderId="192" numFmtId="3" xfId="4" applyNumberFormat="1" applyFont="1" applyFill="1" applyBorder="1" applyAlignment="1">
      <alignment horizontal="center" vertical="center"/>
    </xf>
    <xf fontId="4" fillId="0" borderId="0" numFmtId="0" xfId="0" applyFont="1" applyAlignment="1">
      <alignment vertical="center"/>
    </xf>
    <xf fontId="10" fillId="0" borderId="0" numFmtId="0" xfId="0" applyFont="1" applyAlignment="1">
      <alignment horizontal="center" vertical="center"/>
    </xf>
    <xf fontId="5" fillId="0" borderId="77" numFmtId="0" xfId="0" applyFont="1" applyBorder="1" applyAlignment="1">
      <alignment vertical="center"/>
    </xf>
    <xf fontId="4" fillId="0" borderId="77" numFmtId="0" xfId="0" applyFont="1" applyBorder="1" applyAlignment="1">
      <alignment horizontal="left" vertical="center"/>
    </xf>
    <xf fontId="5" fillId="0" borderId="0" numFmtId="0" xfId="0" applyFont="1" applyAlignment="1">
      <alignment vertical="center"/>
    </xf>
    <xf fontId="4" fillId="0" borderId="0" numFmtId="0" xfId="0" applyFont="1" applyAlignment="1">
      <alignment horizontal="left" vertical="center"/>
    </xf>
    <xf fontId="5" fillId="6" borderId="38" numFmtId="0" xfId="0" applyFont="1" applyFill="1" applyBorder="1" applyAlignment="1">
      <alignment horizontal="center" vertical="center"/>
    </xf>
    <xf fontId="5" fillId="6" borderId="39" numFmtId="0" xfId="0" applyFont="1" applyFill="1" applyBorder="1" applyAlignment="1">
      <alignment horizontal="center" vertical="center"/>
    </xf>
    <xf fontId="5" fillId="6" borderId="40" numFmtId="0" xfId="0" applyFont="1" applyFill="1" applyBorder="1" applyAlignment="1">
      <alignment horizontal="center" vertical="center"/>
    </xf>
    <xf fontId="5" fillId="6" borderId="41" numFmtId="0" xfId="0" applyFont="1" applyFill="1" applyBorder="1" applyAlignment="1">
      <alignment horizontal="center" vertical="center"/>
    </xf>
    <xf fontId="5" fillId="6" borderId="42" numFmtId="0" xfId="0" applyFont="1" applyFill="1" applyBorder="1" applyAlignment="1">
      <alignment horizontal="center" vertical="center"/>
    </xf>
    <xf fontId="5" fillId="6" borderId="43" numFmtId="0" xfId="0" applyFont="1" applyFill="1" applyBorder="1" applyAlignment="1">
      <alignment horizontal="center" vertical="center"/>
    </xf>
    <xf fontId="5" fillId="6" borderId="44" numFmtId="0" xfId="0" applyFont="1" applyFill="1" applyBorder="1" applyAlignment="1">
      <alignment horizontal="center" vertical="center"/>
    </xf>
    <xf fontId="5" fillId="6" borderId="45" numFmtId="0" xfId="0" applyFont="1" applyFill="1" applyBorder="1" applyAlignment="1">
      <alignment horizontal="center" vertical="center"/>
    </xf>
    <xf fontId="5" fillId="6" borderId="46" numFmtId="0" xfId="0" applyFont="1" applyFill="1" applyBorder="1" applyAlignment="1">
      <alignment horizontal="center" vertical="center"/>
    </xf>
    <xf fontId="5" fillId="6" borderId="47" numFmtId="0" xfId="0" applyFont="1" applyFill="1" applyBorder="1" applyAlignment="1">
      <alignment horizontal="center" vertical="center"/>
    </xf>
    <xf fontId="5" fillId="6" borderId="48" numFmtId="0" xfId="0" applyFont="1" applyFill="1" applyBorder="1" applyAlignment="1">
      <alignment horizontal="center" vertical="center"/>
    </xf>
    <xf fontId="8" fillId="2" borderId="83" numFmtId="0" xfId="0" applyFont="1" applyFill="1" applyBorder="1" applyAlignment="1">
      <alignment horizontal="center" vertical="center" wrapText="1"/>
    </xf>
    <xf fontId="4" fillId="2" borderId="90" numFmtId="0" xfId="0" applyFont="1" applyFill="1" applyBorder="1" applyAlignment="1">
      <alignment horizontal="center" vertical="center" wrapText="1"/>
    </xf>
    <xf fontId="4" fillId="2" borderId="87" numFmtId="0" xfId="0" applyFont="1" applyFill="1" applyBorder="1" applyAlignment="1">
      <alignment horizontal="center" vertical="center" wrapText="1"/>
    </xf>
    <xf fontId="4" fillId="2" borderId="91" numFmtId="0" xfId="0" applyFont="1" applyFill="1" applyBorder="1" applyAlignment="1">
      <alignment horizontal="center" vertical="center" wrapText="1"/>
    </xf>
    <xf fontId="4" fillId="2" borderId="92" numFmtId="0" xfId="0" applyFont="1" applyFill="1" applyBorder="1" applyAlignment="1">
      <alignment horizontal="center" vertical="center" wrapText="1"/>
    </xf>
    <xf fontId="4" fillId="2" borderId="82" numFmtId="0" xfId="0" applyFont="1" applyFill="1" applyBorder="1" applyAlignment="1">
      <alignment horizontal="left" vertical="center"/>
    </xf>
    <xf fontId="4" fillId="2" borderId="95" numFmtId="0" xfId="0" applyFont="1" applyFill="1" applyBorder="1" applyAlignment="1">
      <alignment horizontal="center" vertical="center"/>
    </xf>
    <xf fontId="5" fillId="3" borderId="104" numFmtId="0" xfId="0" applyFont="1" applyFill="1" applyBorder="1" applyAlignment="1">
      <alignment horizontal="center" vertical="center"/>
    </xf>
    <xf fontId="5" fillId="3" borderId="105" numFmtId="0" xfId="0" applyFont="1" applyFill="1" applyBorder="1" applyAlignment="1">
      <alignment horizontal="center" vertical="center"/>
    </xf>
    <xf fontId="5" fillId="3" borderId="106" numFmtId="0" xfId="0" applyFont="1" applyFill="1" applyBorder="1" applyAlignment="1">
      <alignment horizontal="center" vertical="center"/>
    </xf>
    <xf fontId="5" fillId="3" borderId="107" numFmtId="0" xfId="0" applyFont="1" applyFill="1" applyBorder="1" applyAlignment="1">
      <alignment horizontal="center" vertical="center"/>
    </xf>
    <xf fontId="5" fillId="3" borderId="108" numFmtId="0" xfId="0" applyFont="1" applyFill="1" applyBorder="1" applyAlignment="1">
      <alignment horizontal="center" vertical="center"/>
    </xf>
    <xf fontId="4" fillId="2" borderId="109" numFmtId="0" xfId="0" applyFont="1" applyFill="1" applyBorder="1" applyAlignment="1">
      <alignment horizontal="center" vertical="center"/>
    </xf>
    <xf fontId="4" fillId="2" borderId="110" numFmtId="0" xfId="0" applyFont="1" applyFill="1" applyBorder="1" applyAlignment="1">
      <alignment horizontal="center" vertical="center"/>
    </xf>
    <xf fontId="10" fillId="3" borderId="111" numFmtId="0" xfId="0" applyFont="1" applyFill="1" applyBorder="1" applyAlignment="1">
      <alignment horizontal="center" vertical="center"/>
    </xf>
    <xf fontId="18" fillId="3" borderId="193" numFmtId="1" xfId="4" applyNumberFormat="1" applyFont="1" applyFill="1" applyBorder="1" applyAlignment="1">
      <alignment horizontal="center" vertical="center"/>
    </xf>
    <xf fontId="18" fillId="3" borderId="194" numFmtId="1" xfId="4" applyNumberFormat="1" applyFont="1" applyFill="1" applyBorder="1" applyAlignment="1">
      <alignment horizontal="center" vertical="center"/>
    </xf>
    <xf fontId="18" fillId="3" borderId="171" numFmtId="1" xfId="4" applyNumberFormat="1" applyFont="1" applyFill="1" applyBorder="1" applyAlignment="1">
      <alignment horizontal="center" vertical="center"/>
    </xf>
    <xf fontId="5" fillId="3" borderId="116" numFmtId="0" xfId="0" applyFont="1" applyFill="1" applyBorder="1" applyAlignment="1">
      <alignment horizontal="center" vertical="center"/>
    </xf>
    <xf fontId="5" fillId="3" borderId="117" numFmtId="0" xfId="0" applyFont="1" applyFill="1" applyBorder="1" applyAlignment="1">
      <alignment horizontal="center" vertical="center"/>
    </xf>
    <xf fontId="5" fillId="3" borderId="118" numFmtId="0" xfId="0" applyFont="1" applyFill="1" applyBorder="1" applyAlignment="1">
      <alignment horizontal="center" vertical="center"/>
    </xf>
    <xf fontId="5" fillId="3" borderId="119" numFmtId="0" xfId="0" applyFont="1" applyFill="1" applyBorder="1" applyAlignment="1">
      <alignment horizontal="center" vertical="center"/>
    </xf>
    <xf fontId="5" fillId="3" borderId="120" numFmtId="0" xfId="0" applyFont="1" applyFill="1" applyBorder="1" applyAlignment="1">
      <alignment horizontal="center" vertical="center"/>
    </xf>
    <xf fontId="4" fillId="2" borderId="121" numFmtId="0" xfId="0" applyFont="1" applyFill="1" applyBorder="1" applyAlignment="1">
      <alignment horizontal="center" vertical="center"/>
    </xf>
    <xf fontId="4" fillId="2" borderId="122" numFmtId="0" xfId="0" applyFont="1" applyFill="1" applyBorder="1" applyAlignment="1">
      <alignment horizontal="center" vertical="center"/>
    </xf>
    <xf fontId="10" fillId="3" borderId="123" numFmtId="0" xfId="0" applyFont="1" applyFill="1" applyBorder="1" applyAlignment="1">
      <alignment horizontal="center" vertical="center"/>
    </xf>
    <xf fontId="18" fillId="3" borderId="195" numFmtId="1" xfId="4" applyNumberFormat="1" applyFont="1" applyFill="1" applyBorder="1" applyAlignment="1">
      <alignment horizontal="center" vertical="center"/>
    </xf>
    <xf fontId="18" fillId="3" borderId="196" numFmtId="1" xfId="4" applyNumberFormat="1" applyFont="1" applyFill="1" applyBorder="1" applyAlignment="1">
      <alignment horizontal="center" vertical="center"/>
    </xf>
    <xf fontId="18" fillId="3" borderId="174" numFmtId="1" xfId="4" applyNumberFormat="1" applyFont="1" applyFill="1" applyBorder="1" applyAlignment="1">
      <alignment horizontal="center" vertical="center"/>
    </xf>
    <xf fontId="5" fillId="3" borderId="128" numFmtId="0" xfId="0" applyFont="1" applyFill="1" applyBorder="1" applyAlignment="1">
      <alignment horizontal="center" vertical="center"/>
    </xf>
    <xf fontId="5" fillId="3" borderId="129" numFmtId="0" xfId="0" applyFont="1" applyFill="1" applyBorder="1" applyAlignment="1">
      <alignment horizontal="center" vertical="center"/>
    </xf>
    <xf fontId="5" fillId="3" borderId="130" numFmtId="0" xfId="0" applyFont="1" applyFill="1" applyBorder="1" applyAlignment="1">
      <alignment horizontal="center" vertical="center"/>
    </xf>
    <xf fontId="5" fillId="3" borderId="131" numFmtId="0" xfId="0" applyFont="1" applyFill="1" applyBorder="1" applyAlignment="1">
      <alignment horizontal="center" vertical="center"/>
    </xf>
    <xf fontId="5" fillId="3" borderId="132" numFmtId="0" xfId="0" applyFont="1" applyFill="1" applyBorder="1" applyAlignment="1">
      <alignment horizontal="center" vertical="center"/>
    </xf>
    <xf fontId="4" fillId="2" borderId="133" numFmtId="0" xfId="0" applyFont="1" applyFill="1" applyBorder="1" applyAlignment="1">
      <alignment horizontal="center" vertical="center"/>
    </xf>
    <xf fontId="4" fillId="2" borderId="134" numFmtId="0" xfId="0" applyFont="1" applyFill="1" applyBorder="1" applyAlignment="1">
      <alignment horizontal="center" vertical="center"/>
    </xf>
    <xf fontId="10" fillId="3" borderId="135" numFmtId="0" xfId="0" applyFont="1" applyFill="1" applyBorder="1" applyAlignment="1">
      <alignment horizontal="center" vertical="center"/>
    </xf>
    <xf fontId="18" fillId="3" borderId="197" numFmtId="1" xfId="4" applyNumberFormat="1" applyFont="1" applyFill="1" applyBorder="1" applyAlignment="1">
      <alignment horizontal="center" vertical="center"/>
    </xf>
    <xf fontId="18" fillId="3" borderId="198" numFmtId="1" xfId="4" applyNumberFormat="1" applyFont="1" applyFill="1" applyBorder="1" applyAlignment="1">
      <alignment horizontal="center" vertical="center"/>
    </xf>
    <xf fontId="18" fillId="3" borderId="199" numFmtId="1" xfId="4" applyNumberFormat="1" applyFont="1" applyFill="1" applyBorder="1" applyAlignment="1">
      <alignment horizontal="center" vertical="center"/>
    </xf>
    <xf fontId="4" fillId="3" borderId="38" numFmtId="0" xfId="0" applyFont="1" applyFill="1" applyBorder="1" applyAlignment="1">
      <alignment horizontal="center" vertical="center"/>
    </xf>
    <xf fontId="4" fillId="3" borderId="43" numFmtId="0" xfId="0" applyFont="1" applyFill="1" applyBorder="1" applyAlignment="1">
      <alignment horizontal="center" vertical="center"/>
    </xf>
    <xf fontId="4" fillId="3" borderId="40" numFmtId="0" xfId="0" applyFont="1" applyFill="1" applyBorder="1" applyAlignment="1">
      <alignment horizontal="center" vertical="center"/>
    </xf>
    <xf fontId="4" fillId="3" borderId="140" numFmtId="0" xfId="0" applyFont="1" applyFill="1" applyBorder="1" applyAlignment="1">
      <alignment horizontal="center" vertical="center"/>
    </xf>
    <xf fontId="4" fillId="3" borderId="141" numFmtId="0" xfId="0" applyFont="1" applyFill="1" applyBorder="1" applyAlignment="1">
      <alignment horizontal="center" vertical="center"/>
    </xf>
    <xf fontId="4" fillId="2" borderId="142" numFmtId="0" xfId="0" applyFont="1" applyFill="1" applyBorder="1" applyAlignment="1">
      <alignment horizontal="center" vertical="center"/>
    </xf>
    <xf fontId="4" fillId="2" borderId="143" numFmtId="0" xfId="0" applyFont="1" applyFill="1" applyBorder="1" applyAlignment="1">
      <alignment horizontal="center" vertical="center"/>
    </xf>
    <xf fontId="10" fillId="3" borderId="144" numFmtId="0" xfId="0" applyFont="1" applyFill="1" applyBorder="1" applyAlignment="1">
      <alignment horizontal="center" vertical="center"/>
    </xf>
    <xf fontId="10" fillId="3" borderId="200" numFmtId="1" xfId="4" applyNumberFormat="1" applyFont="1" applyFill="1" applyBorder="1" applyAlignment="1">
      <alignment vertical="center"/>
    </xf>
    <xf fontId="10" fillId="3" borderId="201" numFmtId="1" xfId="4" applyNumberFormat="1" applyFont="1" applyFill="1" applyBorder="1" applyAlignment="1">
      <alignment vertical="center"/>
    </xf>
    <xf fontId="10" fillId="3" borderId="143" numFmtId="1" xfId="4" applyNumberFormat="1" applyFont="1" applyFill="1" applyBorder="1" applyAlignment="1">
      <alignment vertical="center"/>
    </xf>
    <xf fontId="4" fillId="3" borderId="66" numFmtId="0" xfId="0" applyFont="1" applyFill="1" applyBorder="1" applyAlignment="1">
      <alignment horizontal="center" vertical="center"/>
    </xf>
    <xf fontId="4" fillId="3" borderId="71" numFmtId="0" xfId="0" applyFont="1" applyFill="1" applyBorder="1" applyAlignment="1">
      <alignment horizontal="center" vertical="center"/>
    </xf>
    <xf fontId="4" fillId="3" borderId="68" numFmtId="0" xfId="0" applyFont="1" applyFill="1" applyBorder="1" applyAlignment="1">
      <alignment horizontal="center" vertical="center"/>
    </xf>
    <xf fontId="4" fillId="3" borderId="149" numFmtId="0" xfId="0" applyFont="1" applyFill="1" applyBorder="1" applyAlignment="1">
      <alignment horizontal="center" vertical="center"/>
    </xf>
    <xf fontId="4" fillId="3" borderId="150" numFmtId="0" xfId="0" applyFont="1" applyFill="1" applyBorder="1" applyAlignment="1">
      <alignment horizontal="center" vertical="center"/>
    </xf>
    <xf fontId="4" fillId="2" borderId="151" numFmtId="0" xfId="0" applyFont="1" applyFill="1" applyBorder="1" applyAlignment="1">
      <alignment horizontal="center" vertical="center"/>
    </xf>
    <xf fontId="4" fillId="2" borderId="152" numFmtId="0" xfId="0" applyFont="1" applyFill="1" applyBorder="1" applyAlignment="1">
      <alignment horizontal="center" vertical="center"/>
    </xf>
    <xf fontId="4" fillId="3" borderId="153" numFmtId="0" xfId="0" applyFont="1" applyFill="1" applyBorder="1" applyAlignment="1">
      <alignment horizontal="center" vertical="center"/>
    </xf>
    <xf fontId="10" fillId="3" borderId="202" numFmtId="1" xfId="4" applyNumberFormat="1" applyFont="1" applyFill="1" applyBorder="1" applyAlignment="1">
      <alignment vertical="center"/>
    </xf>
    <xf fontId="10" fillId="3" borderId="203" numFmtId="1" xfId="4" applyNumberFormat="1" applyFont="1" applyFill="1" applyBorder="1" applyAlignment="1">
      <alignment vertical="center"/>
    </xf>
    <xf fontId="10" fillId="3" borderId="152" numFmtId="1" xfId="4" applyNumberFormat="1" applyFont="1" applyFill="1" applyBorder="1" applyAlignment="1">
      <alignment vertical="center"/>
    </xf>
    <xf fontId="10" fillId="3" borderId="0" numFmtId="0" xfId="0" applyFont="1" applyFill="1" applyAlignment="1">
      <alignment horizontal="center" vertical="center"/>
    </xf>
    <xf fontId="18" fillId="3" borderId="0" numFmtId="9" xfId="4" applyNumberFormat="1" applyFont="1" applyFill="1" applyAlignment="1">
      <alignment horizontal="center" vertical="center"/>
    </xf>
    <xf fontId="11" fillId="0" borderId="0" numFmtId="0" xfId="0" applyFont="1" applyAlignment="1">
      <alignment horizontal="center" vertical="center"/>
    </xf>
    <xf fontId="11" fillId="0" borderId="0" numFmtId="0" xfId="0" applyFont="1" applyAlignment="1">
      <alignment vertical="center" wrapText="1"/>
    </xf>
    <xf fontId="14" fillId="2" borderId="85" numFmtId="0" xfId="0" applyFont="1" applyFill="1" applyBorder="1" applyAlignment="1">
      <alignment vertical="center" wrapText="1"/>
    </xf>
    <xf fontId="14" fillId="2" borderId="77" numFmtId="0" xfId="0" applyFont="1" applyFill="1" applyBorder="1" applyAlignment="1">
      <alignment vertical="center" wrapText="1"/>
    </xf>
    <xf fontId="14" fillId="2" borderId="86" numFmtId="0" xfId="0" applyFont="1" applyFill="1" applyBorder="1" applyAlignment="1">
      <alignment vertical="center" wrapText="1"/>
    </xf>
    <xf fontId="14" fillId="2" borderId="88" numFmtId="0" xfId="0" applyFont="1" applyFill="1" applyBorder="1" applyAlignment="1">
      <alignment vertical="center" wrapText="1"/>
    </xf>
    <xf fontId="14" fillId="2" borderId="0" numFmtId="0" xfId="0" applyFont="1" applyFill="1" applyAlignment="1">
      <alignment vertical="center" wrapText="1"/>
    </xf>
    <xf fontId="14" fillId="2" borderId="89" numFmtId="0" xfId="0" applyFont="1" applyFill="1" applyBorder="1" applyAlignment="1">
      <alignment vertical="center" wrapText="1"/>
    </xf>
    <xf fontId="14" fillId="2" borderId="100" numFmtId="0" xfId="0" applyFont="1" applyFill="1" applyBorder="1" applyAlignment="1">
      <alignment vertical="center" wrapText="1"/>
    </xf>
    <xf fontId="14" fillId="2" borderId="96" numFmtId="0" xfId="0" applyFont="1" applyFill="1" applyBorder="1" applyAlignment="1">
      <alignment vertical="center" wrapText="1"/>
    </xf>
    <xf fontId="14" fillId="2" borderId="101" numFmtId="0" xfId="0" applyFont="1" applyFill="1" applyBorder="1" applyAlignment="1">
      <alignment vertical="center" wrapText="1"/>
    </xf>
    <xf fontId="17" fillId="3" borderId="193" numFmtId="1" xfId="4" applyNumberFormat="1" applyFont="1" applyFill="1" applyBorder="1" applyAlignment="1">
      <alignment horizontal="center" vertical="center"/>
    </xf>
    <xf fontId="17" fillId="3" borderId="194" numFmtId="1" xfId="4" applyNumberFormat="1" applyFont="1" applyFill="1" applyBorder="1" applyAlignment="1">
      <alignment horizontal="center" vertical="center"/>
    </xf>
    <xf fontId="17" fillId="3" borderId="171" numFmtId="1" xfId="4" applyNumberFormat="1" applyFont="1" applyFill="1" applyBorder="1" applyAlignment="1">
      <alignment horizontal="center" vertical="center"/>
    </xf>
    <xf fontId="17" fillId="3" borderId="195" numFmtId="1" xfId="4" applyNumberFormat="1" applyFont="1" applyFill="1" applyBorder="1" applyAlignment="1">
      <alignment horizontal="center" vertical="center"/>
    </xf>
    <xf fontId="17" fillId="3" borderId="196" numFmtId="1" xfId="4" applyNumberFormat="1" applyFont="1" applyFill="1" applyBorder="1" applyAlignment="1">
      <alignment horizontal="center" vertical="center"/>
    </xf>
    <xf fontId="17" fillId="3" borderId="174" numFmtId="1" xfId="4" applyNumberFormat="1" applyFont="1" applyFill="1" applyBorder="1" applyAlignment="1">
      <alignment horizontal="center" vertical="center"/>
    </xf>
    <xf fontId="17" fillId="3" borderId="197" numFmtId="1" xfId="4" applyNumberFormat="1" applyFont="1" applyFill="1" applyBorder="1" applyAlignment="1">
      <alignment horizontal="center" vertical="center"/>
    </xf>
    <xf fontId="17" fillId="3" borderId="198" numFmtId="1" xfId="4" applyNumberFormat="1" applyFont="1" applyFill="1" applyBorder="1" applyAlignment="1">
      <alignment horizontal="center" vertical="center"/>
    </xf>
    <xf fontId="17" fillId="3" borderId="199" numFmtId="1" xfId="4" applyNumberFormat="1" applyFont="1" applyFill="1" applyBorder="1" applyAlignment="1">
      <alignment horizontal="center" vertical="center"/>
    </xf>
    <xf fontId="16" fillId="3" borderId="200" numFmtId="1" xfId="4" applyNumberFormat="1" applyFont="1" applyFill="1" applyBorder="1" applyAlignment="1">
      <alignment vertical="center"/>
    </xf>
    <xf fontId="16" fillId="3" borderId="201" numFmtId="1" xfId="4" applyNumberFormat="1" applyFont="1" applyFill="1" applyBorder="1" applyAlignment="1">
      <alignment vertical="center"/>
    </xf>
    <xf fontId="16" fillId="3" borderId="143" numFmtId="1" xfId="4" applyNumberFormat="1" applyFont="1" applyFill="1" applyBorder="1" applyAlignment="1">
      <alignment vertical="center"/>
    </xf>
    <xf fontId="16" fillId="3" borderId="202" numFmtId="1" xfId="4" applyNumberFormat="1" applyFont="1" applyFill="1" applyBorder="1" applyAlignment="1">
      <alignment vertical="center"/>
    </xf>
    <xf fontId="16" fillId="3" borderId="203" numFmtId="1" xfId="4" applyNumberFormat="1" applyFont="1" applyFill="1" applyBorder="1" applyAlignment="1">
      <alignment vertical="center"/>
    </xf>
    <xf fontId="16" fillId="3" borderId="152" numFmtId="1" xfId="4" applyNumberFormat="1" applyFont="1" applyFill="1" applyBorder="1" applyAlignment="1">
      <alignment vertical="center"/>
    </xf>
    <xf fontId="17" fillId="3" borderId="112" numFmtId="1" xfId="4" applyNumberFormat="1" applyFont="1" applyFill="1" applyBorder="1" applyAlignment="1">
      <alignment horizontal="center" vertical="center"/>
    </xf>
    <xf fontId="17" fillId="3" borderId="124" numFmtId="1" xfId="4" applyNumberFormat="1" applyFont="1" applyFill="1" applyBorder="1" applyAlignment="1">
      <alignment horizontal="center" vertical="center"/>
    </xf>
    <xf fontId="17" fillId="3" borderId="136" numFmtId="1" xfId="4" applyNumberFormat="1" applyFont="1" applyFill="1" applyBorder="1" applyAlignment="1">
      <alignment horizontal="center" vertical="center"/>
    </xf>
    <xf fontId="16" fillId="3" borderId="145" numFmtId="1" xfId="4" applyNumberFormat="1" applyFont="1" applyFill="1" applyBorder="1" applyAlignment="1">
      <alignment horizontal="center" vertical="center"/>
    </xf>
    <xf fontId="16" fillId="3" borderId="154" numFmtId="1" xfId="4" applyNumberFormat="1" applyFont="1" applyFill="1" applyBorder="1" applyAlignment="1">
      <alignment horizontal="center" vertical="center"/>
    </xf>
    <xf fontId="12" fillId="0" borderId="0" numFmtId="0" xfId="0" applyFont="1" applyAlignment="1">
      <alignment horizontal="left" vertical="center"/>
    </xf>
    <xf fontId="4" fillId="2" borderId="204" numFmtId="0" xfId="0" applyFont="1" applyFill="1" applyBorder="1" applyAlignment="1">
      <alignment horizontal="center" vertical="center"/>
    </xf>
    <xf fontId="4" fillId="2" borderId="205" numFmtId="0" xfId="0" applyFont="1" applyFill="1" applyBorder="1" applyAlignment="1">
      <alignment horizontal="center" vertical="center"/>
    </xf>
    <xf fontId="4" fillId="2" borderId="206" numFmtId="0" xfId="0" applyFont="1" applyFill="1" applyBorder="1" applyAlignment="1">
      <alignment horizontal="center" vertical="center"/>
    </xf>
    <xf fontId="4" fillId="2" borderId="207" numFmtId="0" xfId="0" applyFont="1" applyFill="1" applyBorder="1" applyAlignment="1">
      <alignment horizontal="center" vertical="center"/>
    </xf>
    <xf fontId="4" fillId="2" borderId="208" numFmtId="0" xfId="0" applyFont="1" applyFill="1" applyBorder="1" applyAlignment="1">
      <alignment horizontal="center" vertical="center"/>
    </xf>
    <xf fontId="4" fillId="2" borderId="209" numFmtId="0" xfId="0" applyFont="1" applyFill="1" applyBorder="1" applyAlignment="1">
      <alignment horizontal="center" vertical="center"/>
    </xf>
    <xf fontId="13" fillId="2" borderId="163" numFmtId="0" xfId="0" applyFont="1" applyFill="1" applyBorder="1" applyAlignment="1">
      <alignment horizontal="center" vertical="center" wrapText="1"/>
    </xf>
    <xf fontId="14" fillId="2" borderId="164" numFmtId="0" xfId="0" applyFont="1" applyFill="1" applyBorder="1" applyAlignment="1">
      <alignment horizontal="center" vertical="center" wrapText="1"/>
    </xf>
    <xf fontId="14" fillId="2" borderId="165" numFmtId="0" xfId="0" applyFont="1" applyFill="1" applyBorder="1" applyAlignment="1">
      <alignment horizontal="center" vertical="center" wrapText="1"/>
    </xf>
    <xf fontId="14" fillId="2" borderId="210" numFmtId="0" xfId="0" applyFont="1" applyFill="1" applyBorder="1" applyAlignment="1">
      <alignment horizontal="center" vertical="center" wrapText="1"/>
    </xf>
    <xf fontId="14" fillId="2" borderId="211" numFmtId="0" xfId="0" applyFont="1" applyFill="1" applyBorder="1" applyAlignment="1">
      <alignment vertical="center" wrapText="1"/>
    </xf>
    <xf fontId="14" fillId="2" borderId="166" numFmtId="0" xfId="0" applyFont="1" applyFill="1" applyBorder="1" applyAlignment="1">
      <alignment horizontal="center" vertical="center" wrapText="1"/>
    </xf>
    <xf fontId="14" fillId="2" borderId="167" numFmtId="0" xfId="0" applyFont="1" applyFill="1" applyBorder="1" applyAlignment="1">
      <alignment horizontal="center" vertical="center" wrapText="1"/>
    </xf>
    <xf fontId="14" fillId="2" borderId="212" numFmtId="0" xfId="0" applyFont="1" applyFill="1" applyBorder="1" applyAlignment="1">
      <alignment horizontal="center" vertical="center" wrapText="1"/>
    </xf>
    <xf fontId="14" fillId="2" borderId="16" numFmtId="0" xfId="0" applyFont="1" applyFill="1" applyBorder="1" applyAlignment="1">
      <alignment vertical="center" wrapText="1"/>
    </xf>
    <xf fontId="12" fillId="2" borderId="157" numFmtId="0" xfId="0" applyFont="1" applyFill="1" applyBorder="1" applyAlignment="1">
      <alignment horizontal="center" vertical="center" wrapText="1"/>
    </xf>
    <xf fontId="12" fillId="2" borderId="158" numFmtId="0" xfId="0" applyFont="1" applyFill="1" applyBorder="1" applyAlignment="1">
      <alignment horizontal="center" vertical="center" wrapText="1"/>
    </xf>
    <xf fontId="12" fillId="2" borderId="20" numFmtId="0" xfId="0" applyFont="1" applyFill="1" applyBorder="1" applyAlignment="1">
      <alignment horizontal="center" vertical="center" wrapText="1"/>
    </xf>
    <xf fontId="12" fillId="2" borderId="21" numFmtId="0" xfId="0" applyFont="1" applyFill="1" applyBorder="1" applyAlignment="1">
      <alignment horizontal="center" vertical="center" wrapText="1"/>
    </xf>
    <xf fontId="12" fillId="2" borderId="159" numFmtId="0" xfId="0" applyFont="1" applyFill="1" applyBorder="1" applyAlignment="1">
      <alignment horizontal="center" vertical="center" wrapText="1"/>
    </xf>
    <xf fontId="12" fillId="2" borderId="0" numFmtId="0" xfId="0" applyFont="1" applyFill="1" applyAlignment="1">
      <alignment horizontal="center" vertical="center" wrapText="1"/>
    </xf>
    <xf fontId="12" fillId="2" borderId="22" numFmtId="0" xfId="0" applyFont="1" applyFill="1" applyBorder="1" applyAlignment="1">
      <alignment horizontal="center" vertical="center" wrapText="1"/>
    </xf>
    <xf fontId="12" fillId="2" borderId="168" numFmtId="0" xfId="0" applyFont="1" applyFill="1" applyBorder="1" applyAlignment="1">
      <alignment horizontal="center" vertical="center" wrapText="1"/>
    </xf>
    <xf fontId="12" fillId="2" borderId="14" numFmtId="0" xfId="0" applyFont="1" applyFill="1" applyBorder="1" applyAlignment="1">
      <alignment horizontal="center" vertical="center" wrapText="1"/>
    </xf>
    <xf fontId="12" fillId="2" borderId="160" numFmtId="0" xfId="0" applyFont="1" applyFill="1" applyBorder="1" applyAlignment="1">
      <alignment horizontal="center" vertical="center"/>
    </xf>
    <xf fontId="12" fillId="2" borderId="32" numFmtId="0" xfId="0" applyFont="1" applyFill="1" applyBorder="1" applyAlignment="1">
      <alignment horizontal="center" vertical="center"/>
    </xf>
    <xf fontId="12" fillId="2" borderId="33" numFmtId="0" xfId="0" applyFont="1" applyFill="1" applyBorder="1" applyAlignment="1">
      <alignment horizontal="center" vertical="center"/>
    </xf>
    <xf fontId="12" fillId="2" borderId="34" numFmtId="0" xfId="0" applyFont="1" applyFill="1" applyBorder="1" applyAlignment="1">
      <alignment horizontal="center" vertical="center"/>
    </xf>
    <xf fontId="12" fillId="2" borderId="31" numFmtId="0" xfId="0" applyFont="1" applyFill="1" applyBorder="1" applyAlignment="1">
      <alignment horizontal="center" vertical="center"/>
    </xf>
    <xf fontId="12" fillId="2" borderId="35" numFmtId="0" xfId="0" applyFont="1" applyFill="1" applyBorder="1" applyAlignment="1">
      <alignment horizontal="center" vertical="center"/>
    </xf>
    <xf fontId="14" fillId="2" borderId="27" numFmtId="0" xfId="0" applyFont="1" applyFill="1" applyBorder="1" applyAlignment="1">
      <alignment horizontal="center" vertical="center" wrapText="1"/>
    </xf>
    <xf fontId="14" fillId="2" borderId="30" numFmtId="0" xfId="0" applyFont="1" applyFill="1" applyBorder="1" applyAlignment="1">
      <alignment horizontal="center" vertical="center" wrapText="1"/>
    </xf>
    <xf fontId="14" fillId="2" borderId="213" numFmtId="0" xfId="0" applyFont="1" applyFill="1" applyBorder="1" applyAlignment="1">
      <alignment horizontal="center" vertical="center" wrapText="1"/>
    </xf>
    <xf fontId="14" fillId="2" borderId="26" numFmtId="0" xfId="0" applyFont="1" applyFill="1" applyBorder="1" applyAlignment="1">
      <alignment vertical="center" wrapText="1"/>
    </xf>
    <xf fontId="11" fillId="0" borderId="49" numFmtId="0" xfId="0" applyFont="1" applyBorder="1" applyAlignment="1">
      <alignment horizontal="center" vertical="center"/>
    </xf>
    <xf fontId="11" fillId="0" borderId="50" numFmtId="0" xfId="0" applyFont="1" applyBorder="1" applyAlignment="1">
      <alignment horizontal="center" vertical="center"/>
    </xf>
    <xf fontId="11" fillId="0" borderId="51" numFmtId="0" xfId="0" applyFont="1" applyBorder="1" applyAlignment="1">
      <alignment horizontal="center" vertical="center"/>
    </xf>
    <xf fontId="11" fillId="0" borderId="52" numFmtId="0" xfId="0" applyFont="1" applyBorder="1" applyAlignment="1">
      <alignment horizontal="center" vertical="center"/>
    </xf>
    <xf fontId="11" fillId="0" borderId="53" numFmtId="0" xfId="0" applyFont="1" applyBorder="1" applyAlignment="1">
      <alignment horizontal="center" vertical="center"/>
    </xf>
    <xf fontId="11" fillId="0" borderId="108" numFmtId="0" xfId="0" applyFont="1" applyBorder="1" applyAlignment="1">
      <alignment horizontal="center" vertical="center"/>
    </xf>
    <xf fontId="11" fillId="0" borderId="169" numFmtId="0" xfId="0" applyFont="1" applyBorder="1" applyAlignment="1">
      <alignment horizontal="center" vertical="center"/>
    </xf>
    <xf fontId="12" fillId="2" borderId="170" numFmtId="0" xfId="0" applyFont="1" applyFill="1" applyBorder="1" applyAlignment="1">
      <alignment horizontal="center" vertical="center"/>
    </xf>
    <xf fontId="12" fillId="2" borderId="171" numFmtId="0" xfId="0" applyFont="1" applyFill="1" applyBorder="1" applyAlignment="1">
      <alignment horizontal="center" vertical="center"/>
    </xf>
    <xf fontId="16" fillId="0" borderId="111" numFmtId="0" xfId="0" applyFont="1" applyBorder="1" applyAlignment="1">
      <alignment horizontal="center" vertical="center"/>
    </xf>
    <xf fontId="17" fillId="0" borderId="214" numFmtId="1" xfId="4" applyNumberFormat="1" applyFont="1" applyBorder="1" applyAlignment="1">
      <alignment horizontal="center" vertical="center"/>
    </xf>
    <xf fontId="17" fillId="0" borderId="215" numFmtId="1" xfId="4" applyNumberFormat="1" applyFont="1" applyBorder="1" applyAlignment="1">
      <alignment horizontal="center" vertical="center"/>
    </xf>
    <xf fontId="17" fillId="0" borderId="216" numFmtId="1" xfId="4" applyNumberFormat="1" applyFont="1" applyBorder="1" applyAlignment="1">
      <alignment horizontal="center" vertical="center"/>
    </xf>
    <xf fontId="17" fillId="0" borderId="194" numFmtId="1" xfId="4" applyNumberFormat="1" applyFont="1" applyBorder="1" applyAlignment="1">
      <alignment vertical="center" wrapText="1"/>
    </xf>
    <xf fontId="17" fillId="0" borderId="171" numFmtId="1" xfId="4" applyNumberFormat="1" applyFont="1" applyBorder="1" applyAlignment="1">
      <alignment vertical="center" wrapText="1"/>
    </xf>
    <xf fontId="11" fillId="0" borderId="54" numFmtId="0" xfId="0" applyFont="1" applyBorder="1" applyAlignment="1">
      <alignment horizontal="center" vertical="center"/>
    </xf>
    <xf fontId="11" fillId="0" borderId="55" numFmtId="0" xfId="0" applyFont="1" applyBorder="1" applyAlignment="1">
      <alignment horizontal="center" vertical="center"/>
    </xf>
    <xf fontId="11" fillId="0" borderId="56" numFmtId="0" xfId="0" applyFont="1" applyBorder="1" applyAlignment="1">
      <alignment horizontal="center" vertical="center"/>
    </xf>
    <xf fontId="11" fillId="0" borderId="57" numFmtId="0" xfId="0" applyFont="1" applyBorder="1" applyAlignment="1">
      <alignment horizontal="center" vertical="center"/>
    </xf>
    <xf fontId="11" fillId="0" borderId="58" numFmtId="0" xfId="0" applyFont="1" applyBorder="1" applyAlignment="1">
      <alignment horizontal="center" vertical="center"/>
    </xf>
    <xf fontId="11" fillId="0" borderId="120" numFmtId="0" xfId="0" applyFont="1" applyBorder="1" applyAlignment="1">
      <alignment horizontal="center" vertical="center"/>
    </xf>
    <xf fontId="11" fillId="0" borderId="172" numFmtId="0" xfId="0" applyFont="1" applyBorder="1" applyAlignment="1">
      <alignment horizontal="center" vertical="center"/>
    </xf>
    <xf fontId="12" fillId="2" borderId="173" numFmtId="0" xfId="0" applyFont="1" applyFill="1" applyBorder="1" applyAlignment="1">
      <alignment horizontal="center" vertical="center"/>
    </xf>
    <xf fontId="12" fillId="2" borderId="174" numFmtId="0" xfId="0" applyFont="1" applyFill="1" applyBorder="1" applyAlignment="1">
      <alignment horizontal="center" vertical="center"/>
    </xf>
    <xf fontId="16" fillId="0" borderId="123" numFmtId="0" xfId="0" applyFont="1" applyBorder="1" applyAlignment="1">
      <alignment horizontal="center" vertical="center"/>
    </xf>
    <xf fontId="17" fillId="0" borderId="217" numFmtId="1" xfId="4" applyNumberFormat="1" applyFont="1" applyBorder="1" applyAlignment="1">
      <alignment horizontal="center" vertical="center"/>
    </xf>
    <xf fontId="17" fillId="0" borderId="218" numFmtId="1" xfId="4" applyNumberFormat="1" applyFont="1" applyBorder="1" applyAlignment="1">
      <alignment horizontal="center" vertical="center"/>
    </xf>
    <xf fontId="17" fillId="0" borderId="219" numFmtId="1" xfId="4" applyNumberFormat="1" applyFont="1" applyBorder="1" applyAlignment="1">
      <alignment horizontal="center" vertical="center"/>
    </xf>
    <xf fontId="17" fillId="0" borderId="196" numFmtId="1" xfId="4" applyNumberFormat="1" applyFont="1" applyBorder="1" applyAlignment="1">
      <alignment vertical="center" wrapText="1"/>
    </xf>
    <xf fontId="17" fillId="0" borderId="174" numFmtId="1" xfId="4" applyNumberFormat="1" applyFont="1" applyBorder="1" applyAlignment="1">
      <alignment vertical="center" wrapText="1"/>
    </xf>
    <xf fontId="11" fillId="0" borderId="59" numFmtId="0" xfId="0" applyFont="1" applyBorder="1" applyAlignment="1">
      <alignment horizontal="center" vertical="center"/>
    </xf>
    <xf fontId="11" fillId="0" borderId="60" numFmtId="0" xfId="0" applyFont="1" applyBorder="1" applyAlignment="1">
      <alignment horizontal="center" vertical="center"/>
    </xf>
    <xf fontId="11" fillId="0" borderId="61" numFmtId="0" xfId="0" applyFont="1" applyBorder="1" applyAlignment="1">
      <alignment horizontal="center" vertical="center"/>
    </xf>
    <xf fontId="11" fillId="0" borderId="62" numFmtId="0" xfId="0" applyFont="1" applyBorder="1" applyAlignment="1">
      <alignment horizontal="center" vertical="center"/>
    </xf>
    <xf fontId="11" fillId="0" borderId="63" numFmtId="0" xfId="0" applyFont="1" applyBorder="1" applyAlignment="1">
      <alignment horizontal="center" vertical="center"/>
    </xf>
    <xf fontId="11" fillId="0" borderId="132" numFmtId="0" xfId="0" applyFont="1" applyBorder="1" applyAlignment="1">
      <alignment horizontal="center" vertical="center"/>
    </xf>
    <xf fontId="11" fillId="0" borderId="175" numFmtId="0" xfId="0" applyFont="1" applyBorder="1" applyAlignment="1">
      <alignment horizontal="center" vertical="center"/>
    </xf>
    <xf fontId="12" fillId="2" borderId="176" numFmtId="0" xfId="0" applyFont="1" applyFill="1" applyBorder="1" applyAlignment="1">
      <alignment horizontal="center" vertical="center"/>
    </xf>
    <xf fontId="12" fillId="2" borderId="177" numFmtId="0" xfId="0" applyFont="1" applyFill="1" applyBorder="1" applyAlignment="1">
      <alignment horizontal="center" vertical="center"/>
    </xf>
    <xf fontId="16" fillId="0" borderId="178" numFmtId="0" xfId="0" applyFont="1" applyBorder="1" applyAlignment="1">
      <alignment horizontal="center" vertical="center"/>
    </xf>
    <xf fontId="17" fillId="0" borderId="220" numFmtId="1" xfId="4" applyNumberFormat="1" applyFont="1" applyBorder="1" applyAlignment="1">
      <alignment horizontal="center" vertical="center"/>
    </xf>
    <xf fontId="17" fillId="0" borderId="221" numFmtId="1" xfId="4" applyNumberFormat="1" applyFont="1" applyBorder="1" applyAlignment="1">
      <alignment horizontal="center" vertical="center"/>
    </xf>
    <xf fontId="17" fillId="0" borderId="222" numFmtId="1" xfId="4" applyNumberFormat="1" applyFont="1" applyBorder="1" applyAlignment="1">
      <alignment horizontal="center" vertical="center"/>
    </xf>
    <xf fontId="17" fillId="0" borderId="223" numFmtId="1" xfId="4" applyNumberFormat="1" applyFont="1" applyBorder="1" applyAlignment="1">
      <alignment vertical="center" wrapText="1"/>
    </xf>
    <xf fontId="17" fillId="0" borderId="177" numFmtId="1" xfId="4" applyNumberFormat="1" applyFont="1" applyBorder="1" applyAlignment="1">
      <alignment vertical="center" wrapText="1"/>
    </xf>
    <xf fontId="12" fillId="0" borderId="161" numFmtId="0" xfId="0" applyFont="1" applyBorder="1" applyAlignment="1">
      <alignment horizontal="center" vertical="center"/>
    </xf>
    <xf fontId="12" fillId="0" borderId="45" numFmtId="0" xfId="0" applyFont="1" applyBorder="1" applyAlignment="1">
      <alignment horizontal="center" vertical="center"/>
    </xf>
    <xf fontId="12" fillId="0" borderId="46" numFmtId="0" xfId="0" applyFont="1" applyBorder="1" applyAlignment="1">
      <alignment horizontal="center" vertical="center"/>
    </xf>
    <xf fontId="12" fillId="0" borderId="47" numFmtId="0" xfId="0" applyFont="1" applyBorder="1" applyAlignment="1">
      <alignment horizontal="center" vertical="center"/>
    </xf>
    <xf fontId="12" fillId="0" borderId="44" numFmtId="0" xfId="0" applyFont="1" applyBorder="1" applyAlignment="1">
      <alignment horizontal="center" vertical="center"/>
    </xf>
    <xf fontId="12" fillId="0" borderId="141" numFmtId="0" xfId="0" applyFont="1" applyBorder="1" applyAlignment="1">
      <alignment horizontal="center" vertical="center"/>
    </xf>
    <xf fontId="12" fillId="0" borderId="48" numFmtId="0" xfId="0" applyFont="1" applyBorder="1" applyAlignment="1">
      <alignment horizontal="center" vertical="center"/>
    </xf>
    <xf fontId="12" fillId="2" borderId="179" numFmtId="0" xfId="0" applyFont="1" applyFill="1" applyBorder="1" applyAlignment="1">
      <alignment horizontal="center" vertical="center"/>
    </xf>
    <xf fontId="12" fillId="2" borderId="180" numFmtId="0" xfId="0" applyFont="1" applyFill="1" applyBorder="1" applyAlignment="1">
      <alignment horizontal="center" vertical="center"/>
    </xf>
    <xf fontId="16" fillId="0" borderId="36" numFmtId="0" xfId="0" applyFont="1" applyBorder="1" applyAlignment="1">
      <alignment horizontal="center" vertical="center"/>
    </xf>
    <xf fontId="16" fillId="0" borderId="40" numFmtId="1" xfId="4" applyNumberFormat="1" applyFont="1" applyBorder="1" applyAlignment="1">
      <alignment horizontal="center" vertical="center"/>
    </xf>
    <xf fontId="16" fillId="0" borderId="224" numFmtId="1" xfId="4" applyNumberFormat="1" applyFont="1" applyBorder="1" applyAlignment="1">
      <alignment horizontal="center" vertical="center"/>
    </xf>
    <xf fontId="16" fillId="0" borderId="39" numFmtId="1" xfId="4" applyNumberFormat="1" applyFont="1" applyBorder="1" applyAlignment="1">
      <alignment horizontal="center" vertical="center"/>
    </xf>
    <xf fontId="16" fillId="0" borderId="141" numFmtId="1" xfId="4" applyNumberFormat="1" applyFont="1" applyBorder="1" applyAlignment="1">
      <alignment vertical="center" wrapText="1"/>
    </xf>
    <xf fontId="16" fillId="0" borderId="139" numFmtId="1" xfId="4" applyNumberFormat="1" applyFont="1" applyBorder="1" applyAlignment="1">
      <alignment vertical="center" wrapText="1"/>
    </xf>
    <xf fontId="12" fillId="0" borderId="162" numFmtId="0" xfId="0" applyFont="1" applyBorder="1" applyAlignment="1">
      <alignment horizontal="center" vertical="center"/>
    </xf>
    <xf fontId="12" fillId="0" borderId="73" numFmtId="0" xfId="0" applyFont="1" applyBorder="1" applyAlignment="1">
      <alignment horizontal="center" vertical="center"/>
    </xf>
    <xf fontId="12" fillId="0" borderId="74" numFmtId="0" xfId="0" applyFont="1" applyBorder="1" applyAlignment="1">
      <alignment horizontal="center" vertical="center"/>
    </xf>
    <xf fontId="12" fillId="0" borderId="75" numFmtId="0" xfId="0" applyFont="1" applyBorder="1" applyAlignment="1">
      <alignment horizontal="center" vertical="center"/>
    </xf>
    <xf fontId="12" fillId="0" borderId="72" numFmtId="0" xfId="0" applyFont="1" applyBorder="1" applyAlignment="1">
      <alignment horizontal="center" vertical="center"/>
    </xf>
    <xf fontId="12" fillId="0" borderId="150" numFmtId="0" xfId="0" applyFont="1" applyBorder="1" applyAlignment="1">
      <alignment horizontal="center" vertical="center"/>
    </xf>
    <xf fontId="12" fillId="0" borderId="76" numFmtId="0" xfId="0" applyFont="1" applyBorder="1" applyAlignment="1">
      <alignment horizontal="center" vertical="center"/>
    </xf>
    <xf fontId="12" fillId="2" borderId="181" numFmtId="0" xfId="0" applyFont="1" applyFill="1" applyBorder="1" applyAlignment="1">
      <alignment horizontal="center" vertical="center"/>
    </xf>
    <xf fontId="12" fillId="2" borderId="182" numFmtId="0" xfId="0" applyFont="1" applyFill="1" applyBorder="1" applyAlignment="1">
      <alignment horizontal="center" vertical="center"/>
    </xf>
    <xf fontId="16" fillId="0" borderId="64" numFmtId="0" xfId="0" applyFont="1" applyBorder="1" applyAlignment="1">
      <alignment horizontal="center" vertical="center"/>
    </xf>
    <xf fontId="16" fillId="0" borderId="68" numFmtId="1" xfId="4" applyNumberFormat="1" applyFont="1" applyBorder="1" applyAlignment="1">
      <alignment horizontal="center" vertical="center"/>
    </xf>
    <xf fontId="16" fillId="0" borderId="225" numFmtId="1" xfId="4" applyNumberFormat="1" applyFont="1" applyBorder="1" applyAlignment="1">
      <alignment horizontal="center" vertical="center"/>
    </xf>
    <xf fontId="16" fillId="0" borderId="67" numFmtId="1" xfId="4" applyNumberFormat="1" applyFont="1" applyBorder="1" applyAlignment="1">
      <alignment horizontal="center" vertical="center"/>
    </xf>
    <xf fontId="16" fillId="0" borderId="150" numFmtId="1" xfId="4" applyNumberFormat="1" applyFont="1" applyBorder="1" applyAlignment="1">
      <alignment vertical="center" wrapText="1"/>
    </xf>
    <xf fontId="16" fillId="0" borderId="148" numFmtId="1" xfId="4" applyNumberFormat="1" applyFont="1" applyBorder="1" applyAlignment="1">
      <alignment vertical="center" wrapText="1"/>
    </xf>
    <xf fontId="12" fillId="3" borderId="77" numFmtId="0" xfId="0" applyFont="1" applyFill="1" applyBorder="1" applyAlignment="1">
      <alignment horizontal="left" vertical="center"/>
    </xf>
    <xf fontId="11" fillId="3" borderId="77" numFmtId="0" xfId="0" applyFont="1" applyFill="1" applyBorder="1" applyAlignment="1">
      <alignment vertical="center"/>
    </xf>
    <xf fontId="13" fillId="3" borderId="0" numFmtId="0" xfId="0" applyFont="1" applyFill="1" applyAlignment="1">
      <alignment vertical="center" wrapText="1"/>
    </xf>
    <xf fontId="14" fillId="3" borderId="183" numFmtId="0" xfId="0" applyFont="1" applyFill="1" applyBorder="1" applyAlignment="1">
      <alignment vertical="center"/>
    </xf>
    <xf fontId="14" fillId="3" borderId="184" numFmtId="0" xfId="0" applyFont="1" applyFill="1" applyBorder="1" applyAlignment="1">
      <alignment horizontal="center" vertical="center" wrapText="1"/>
    </xf>
    <xf fontId="15" fillId="3" borderId="184" numFmtId="0" xfId="0" applyFont="1" applyFill="1" applyBorder="1" applyAlignment="1">
      <alignment horizontal="center" vertical="center" wrapText="1"/>
    </xf>
    <xf fontId="14" fillId="3" borderId="185" numFmtId="0" xfId="0" applyFont="1" applyFill="1" applyBorder="1" applyAlignment="1">
      <alignment vertical="center" wrapText="1"/>
    </xf>
    <xf fontId="14" fillId="3" borderId="0" numFmtId="0" xfId="0" applyFont="1" applyFill="1" applyAlignment="1">
      <alignment vertical="center" wrapText="1"/>
    </xf>
    <xf fontId="16" fillId="3" borderId="0" numFmtId="0" xfId="0" applyFont="1" applyFill="1" applyAlignment="1">
      <alignment vertical="center" wrapText="1"/>
    </xf>
    <xf fontId="14" fillId="3" borderId="186" numFmtId="0" xfId="0" applyFont="1" applyFill="1" applyBorder="1" applyAlignment="1">
      <alignment horizontal="center" vertical="center" wrapText="1"/>
    </xf>
    <xf fontId="15" fillId="3" borderId="186" numFmtId="0" xfId="0" applyFont="1" applyFill="1" applyBorder="1" applyAlignment="1">
      <alignment horizontal="center" vertical="center" wrapText="1"/>
    </xf>
    <xf fontId="12" fillId="3" borderId="0" numFmtId="0" xfId="0" applyFont="1" applyFill="1" applyAlignment="1">
      <alignment vertical="center" wrapText="1"/>
    </xf>
    <xf fontId="12" fillId="3" borderId="0" numFmtId="0" xfId="0" applyFont="1" applyFill="1" applyAlignment="1">
      <alignment vertical="center"/>
    </xf>
    <xf fontId="14" fillId="3" borderId="187" numFmtId="0" xfId="0" applyFont="1" applyFill="1" applyBorder="1" applyAlignment="1">
      <alignment horizontal="center" vertical="center" wrapText="1"/>
    </xf>
    <xf fontId="15" fillId="3" borderId="187" numFmtId="0" xfId="0" applyFont="1" applyFill="1" applyBorder="1" applyAlignment="1">
      <alignment horizontal="center" vertical="center" wrapText="1"/>
    </xf>
    <xf fontId="11" fillId="3" borderId="0" numFmtId="0" xfId="0" applyFont="1" applyFill="1" applyAlignment="1">
      <alignment horizontal="center" vertical="center"/>
    </xf>
    <xf fontId="16" fillId="3" borderId="183" numFmtId="0" xfId="0" applyFont="1" applyFill="1" applyBorder="1" applyAlignment="1">
      <alignment horizontal="center" vertical="center"/>
    </xf>
    <xf fontId="17" fillId="3" borderId="188" numFmtId="3" xfId="4" applyNumberFormat="1" applyFont="1" applyFill="1" applyBorder="1" applyAlignment="1">
      <alignment horizontal="center" vertical="center"/>
    </xf>
    <xf fontId="17" fillId="3" borderId="185" numFmtId="1" xfId="4" applyNumberFormat="1" applyFont="1" applyFill="1" applyBorder="1" applyAlignment="1">
      <alignment horizontal="center" vertical="center"/>
    </xf>
    <xf fontId="17" fillId="3" borderId="0" numFmtId="1" xfId="4" applyNumberFormat="1" applyFont="1" applyFill="1" applyAlignment="1">
      <alignment vertical="center" wrapText="1"/>
    </xf>
    <xf fontId="17" fillId="3" borderId="189" numFmtId="3" xfId="4" applyNumberFormat="1" applyFont="1" applyFill="1" applyBorder="1" applyAlignment="1">
      <alignment horizontal="center" vertical="center"/>
    </xf>
    <xf fontId="17" fillId="3" borderId="190" numFmtId="3" xfId="4" applyNumberFormat="1" applyFont="1" applyFill="1" applyBorder="1" applyAlignment="1">
      <alignment horizontal="center" vertical="center"/>
    </xf>
    <xf fontId="16" fillId="3" borderId="191" numFmtId="3" xfId="4" applyNumberFormat="1" applyFont="1" applyFill="1" applyBorder="1" applyAlignment="1">
      <alignment horizontal="center" vertical="center"/>
    </xf>
    <xf fontId="16" fillId="3" borderId="192" numFmtId="3" xfId="4" applyNumberFormat="1" applyFont="1" applyFill="1" applyBorder="1" applyAlignment="1">
      <alignment horizontal="center" vertical="center"/>
    </xf>
    <xf fontId="12" fillId="0" borderId="0" numFmtId="0" xfId="0" applyFont="1" applyAlignment="1">
      <alignment vertical="center"/>
    </xf>
    <xf fontId="16" fillId="0" borderId="0" numFmtId="0" xfId="0" applyFont="1" applyAlignment="1">
      <alignment horizontal="center" vertical="center"/>
    </xf>
    <xf fontId="11" fillId="0" borderId="77" numFmtId="0" xfId="0" applyFont="1" applyBorder="1" applyAlignment="1">
      <alignment vertical="center"/>
    </xf>
    <xf fontId="12" fillId="0" borderId="77" numFmtId="0" xfId="0" applyFont="1" applyBorder="1" applyAlignment="1">
      <alignment horizontal="left" vertical="center"/>
    </xf>
    <xf fontId="19" fillId="0" borderId="0" numFmtId="0" xfId="0" applyFont="1" applyAlignment="1">
      <alignment vertical="center"/>
    </xf>
    <xf fontId="20" fillId="2" borderId="1" numFmtId="0" xfId="0" applyFont="1" applyFill="1" applyBorder="1" applyAlignment="1">
      <alignment horizontal="left" vertical="center"/>
    </xf>
    <xf fontId="21" fillId="3" borderId="2" numFmtId="0" xfId="0" applyFont="1" applyFill="1" applyBorder="1" applyAlignment="1">
      <alignment vertical="center"/>
    </xf>
    <xf fontId="21" fillId="3" borderId="3" numFmtId="0" xfId="0" applyFont="1" applyFill="1" applyBorder="1" applyAlignment="1">
      <alignment vertical="center"/>
    </xf>
    <xf fontId="19" fillId="3" borderId="3" numFmtId="0" xfId="0" applyFont="1" applyFill="1" applyBorder="1" applyAlignment="1">
      <alignment vertical="center"/>
    </xf>
    <xf fontId="19" fillId="3" borderId="4" numFmtId="0" xfId="0" applyFont="1" applyFill="1" applyBorder="1" applyAlignment="1">
      <alignment vertical="center"/>
    </xf>
    <xf fontId="20" fillId="2" borderId="5" numFmtId="0" xfId="0" applyFont="1" applyFill="1" applyBorder="1" applyAlignment="1">
      <alignment horizontal="right" vertical="center"/>
    </xf>
    <xf fontId="21" fillId="3" borderId="6" numFmtId="49" xfId="0" applyNumberFormat="1" applyFont="1" applyFill="1" applyBorder="1" applyAlignment="1">
      <alignment vertical="center"/>
    </xf>
    <xf fontId="21" fillId="3" borderId="4" numFmtId="0" xfId="0" applyFont="1" applyFill="1" applyBorder="1" applyAlignment="1">
      <alignment vertical="center"/>
    </xf>
    <xf fontId="21" fillId="2" borderId="1" numFmtId="0" xfId="0" applyFont="1" applyFill="1" applyBorder="1" applyAlignment="1">
      <alignment vertical="center"/>
    </xf>
    <xf fontId="19" fillId="2" borderId="1" numFmtId="0" xfId="0" applyFont="1" applyFill="1" applyBorder="1" applyAlignment="1">
      <alignment vertical="center"/>
    </xf>
    <xf fontId="20" fillId="2" borderId="0" numFmtId="0" xfId="0" applyFont="1" applyFill="1" applyAlignment="1">
      <alignment horizontal="left" vertical="center"/>
    </xf>
    <xf fontId="21" fillId="2" borderId="0" numFmtId="0" xfId="0" applyFont="1" applyFill="1" applyAlignment="1">
      <alignment vertical="center"/>
    </xf>
    <xf fontId="19" fillId="2" borderId="0" numFmtId="0" xfId="0" applyFont="1" applyFill="1" applyAlignment="1">
      <alignment vertical="center"/>
    </xf>
    <xf fontId="22" fillId="2" borderId="0" numFmtId="0" xfId="0" applyFont="1" applyFill="1" applyAlignment="1">
      <alignment horizontal="left" vertical="center"/>
    </xf>
    <xf fontId="23" fillId="2" borderId="8" numFmtId="0" xfId="0" applyFont="1" applyFill="1" applyBorder="1" applyAlignment="1">
      <alignment horizontal="center" vertical="center" wrapText="1"/>
    </xf>
    <xf fontId="23" fillId="2" borderId="9" numFmtId="0" xfId="0" applyFont="1" applyFill="1" applyBorder="1" applyAlignment="1">
      <alignment horizontal="center" vertical="center" wrapText="1"/>
    </xf>
    <xf fontId="23" fillId="2" borderId="11" numFmtId="0" xfId="0" applyFont="1" applyFill="1" applyBorder="1" applyAlignment="1">
      <alignment horizontal="center" vertical="center" wrapText="1"/>
    </xf>
    <xf fontId="21" fillId="0" borderId="0" numFmtId="0" xfId="0" applyFont="1" applyAlignment="1">
      <alignment horizontal="center" vertical="center"/>
    </xf>
    <xf fontId="22" fillId="0" borderId="0" numFmtId="0" xfId="0" applyFont="1" applyAlignment="1">
      <alignment horizontal="center" vertical="center"/>
    </xf>
    <xf fontId="24" fillId="2" borderId="12" numFmtId="0" xfId="0" applyFont="1" applyFill="1" applyBorder="1" applyAlignment="1">
      <alignment horizontal="center" vertical="center" wrapText="1"/>
    </xf>
    <xf fontId="24" fillId="2" borderId="13" numFmtId="0" xfId="0" applyFont="1" applyFill="1" applyBorder="1" applyAlignment="1">
      <alignment horizontal="center" vertical="center" wrapText="1"/>
    </xf>
    <xf fontId="24" fillId="2" borderId="10" numFmtId="0" xfId="0" applyFont="1" applyFill="1" applyBorder="1" applyAlignment="1">
      <alignment horizontal="center" vertical="center" wrapText="1"/>
    </xf>
    <xf fontId="24" fillId="2" borderId="89" numFmtId="0" xfId="0" applyFont="1" applyFill="1" applyBorder="1" applyAlignment="1">
      <alignment horizontal="center" vertical="center" wrapText="1"/>
    </xf>
    <xf fontId="20" fillId="2" borderId="157" numFmtId="0" xfId="0" applyFont="1" applyFill="1" applyBorder="1" applyAlignment="1">
      <alignment horizontal="center" vertical="center" wrapText="1"/>
    </xf>
    <xf fontId="20" fillId="2" borderId="158" numFmtId="0" xfId="0" applyFont="1" applyFill="1" applyBorder="1" applyAlignment="1">
      <alignment horizontal="center" vertical="center" wrapText="1"/>
    </xf>
    <xf fontId="20" fillId="2" borderId="20" numFmtId="0" xfId="0" applyFont="1" applyFill="1" applyBorder="1" applyAlignment="1">
      <alignment horizontal="center" vertical="center" wrapText="1"/>
    </xf>
    <xf fontId="20" fillId="2" borderId="21" numFmtId="0" xfId="0" applyFont="1" applyFill="1" applyBorder="1" applyAlignment="1">
      <alignment horizontal="center" vertical="center" wrapText="1"/>
    </xf>
    <xf fontId="20" fillId="2" borderId="159" numFmtId="0" xfId="0" applyFont="1" applyFill="1" applyBorder="1" applyAlignment="1">
      <alignment horizontal="center" vertical="center" wrapText="1"/>
    </xf>
    <xf fontId="20" fillId="2" borderId="22" numFmtId="0" xfId="0" applyFont="1" applyFill="1" applyBorder="1" applyAlignment="1">
      <alignment horizontal="center" vertical="center" wrapText="1"/>
    </xf>
    <xf fontId="20" fillId="2" borderId="23" numFmtId="0" xfId="0" applyFont="1" applyFill="1" applyBorder="1" applyAlignment="1">
      <alignment horizontal="center" vertical="center"/>
    </xf>
    <xf fontId="20" fillId="2" borderId="24" numFmtId="0" xfId="0" applyFont="1" applyFill="1" applyBorder="1" applyAlignment="1">
      <alignment horizontal="center" vertical="center"/>
    </xf>
    <xf fontId="20" fillId="2" borderId="160" numFmtId="0" xfId="0" applyFont="1" applyFill="1" applyBorder="1" applyAlignment="1">
      <alignment horizontal="center" vertical="center"/>
    </xf>
    <xf fontId="20" fillId="2" borderId="32" numFmtId="0" xfId="0" applyFont="1" applyFill="1" applyBorder="1" applyAlignment="1">
      <alignment horizontal="center" vertical="center"/>
    </xf>
    <xf fontId="20" fillId="2" borderId="33" numFmtId="0" xfId="0" applyFont="1" applyFill="1" applyBorder="1" applyAlignment="1">
      <alignment horizontal="center" vertical="center"/>
    </xf>
    <xf fontId="20" fillId="2" borderId="34" numFmtId="0" xfId="0" applyFont="1" applyFill="1" applyBorder="1" applyAlignment="1">
      <alignment horizontal="center" vertical="center"/>
    </xf>
    <xf fontId="20" fillId="2" borderId="31" numFmtId="0" xfId="0" applyFont="1" applyFill="1" applyBorder="1" applyAlignment="1">
      <alignment horizontal="center" vertical="center"/>
    </xf>
    <xf fontId="20" fillId="2" borderId="35" numFmtId="0" xfId="0" applyFont="1" applyFill="1" applyBorder="1" applyAlignment="1">
      <alignment horizontal="center" vertical="center"/>
    </xf>
    <xf fontId="19" fillId="0" borderId="0" numFmtId="0" xfId="0" applyFont="1" applyAlignment="1">
      <alignment vertical="center" wrapText="1"/>
    </xf>
    <xf fontId="20" fillId="2" borderId="36" numFmtId="0" xfId="0" applyFont="1" applyFill="1" applyBorder="1" applyAlignment="1">
      <alignment horizontal="center" vertical="center"/>
    </xf>
    <xf fontId="20" fillId="2" borderId="37" numFmtId="0" xfId="0" applyFont="1" applyFill="1" applyBorder="1" applyAlignment="1">
      <alignment horizontal="center" vertical="center"/>
    </xf>
    <xf fontId="21" fillId="0" borderId="161" numFmtId="0" xfId="0" applyFont="1" applyBorder="1" applyAlignment="1">
      <alignment horizontal="center" vertical="center"/>
    </xf>
    <xf fontId="21" fillId="0" borderId="45" numFmtId="0" xfId="0" applyFont="1" applyBorder="1" applyAlignment="1">
      <alignment horizontal="center" vertical="center"/>
    </xf>
    <xf fontId="21" fillId="0" borderId="46" numFmtId="0" xfId="0" applyFont="1" applyBorder="1" applyAlignment="1">
      <alignment horizontal="center" vertical="center"/>
    </xf>
    <xf fontId="21" fillId="0" borderId="47" numFmtId="0" xfId="0" applyFont="1" applyBorder="1" applyAlignment="1">
      <alignment horizontal="center" vertical="center"/>
    </xf>
    <xf fontId="21" fillId="0" borderId="44" numFmtId="0" xfId="0" applyFont="1" applyBorder="1" applyAlignment="1">
      <alignment horizontal="center" vertical="center"/>
    </xf>
    <xf fontId="21" fillId="0" borderId="48" numFmtId="0" xfId="0" applyFont="1" applyBorder="1" applyAlignment="1">
      <alignment horizontal="center" vertical="center"/>
    </xf>
    <xf fontId="19" fillId="0" borderId="0" numFmtId="0" xfId="0" applyFont="1" applyAlignment="1">
      <alignment horizontal="center" vertical="center"/>
    </xf>
    <xf fontId="20" fillId="2" borderId="64" numFmtId="0" xfId="0" applyFont="1" applyFill="1" applyBorder="1" applyAlignment="1">
      <alignment horizontal="center" vertical="center"/>
    </xf>
    <xf fontId="20" fillId="2" borderId="65" numFmtId="0" xfId="0" applyFont="1" applyFill="1" applyBorder="1" applyAlignment="1">
      <alignment horizontal="center" vertical="center"/>
    </xf>
    <xf fontId="21" fillId="0" borderId="162" numFmtId="0" xfId="0" applyFont="1" applyBorder="1" applyAlignment="1">
      <alignment horizontal="center" vertical="center"/>
    </xf>
    <xf fontId="21" fillId="0" borderId="73" numFmtId="0" xfId="0" applyFont="1" applyBorder="1" applyAlignment="1">
      <alignment horizontal="center" vertical="center"/>
    </xf>
    <xf fontId="21" fillId="0" borderId="74" numFmtId="0" xfId="0" applyFont="1" applyBorder="1" applyAlignment="1">
      <alignment horizontal="center" vertical="center"/>
    </xf>
    <xf fontId="21" fillId="0" borderId="75" numFmtId="0" xfId="0" applyFont="1" applyBorder="1" applyAlignment="1">
      <alignment horizontal="center" vertical="center"/>
    </xf>
    <xf fontId="21" fillId="0" borderId="72" numFmtId="0" xfId="0" applyFont="1" applyBorder="1" applyAlignment="1">
      <alignment horizontal="center" vertical="center"/>
    </xf>
    <xf fontId="21" fillId="0" borderId="76" numFmtId="0" xfId="0" applyFont="1" applyBorder="1" applyAlignment="1">
      <alignment horizontal="center" vertical="center"/>
    </xf>
    <xf fontId="20" fillId="2" borderId="0" numFmtId="0" xfId="0" applyFont="1" applyFill="1" applyAlignment="1">
      <alignment horizontal="center" vertical="center"/>
    </xf>
    <xf fontId="21" fillId="3" borderId="2" numFmtId="49" xfId="0" applyNumberFormat="1" applyFont="1" applyFill="1" applyBorder="1" applyAlignment="1">
      <alignment vertical="center"/>
    </xf>
    <xf fontId="20" fillId="2" borderId="226" numFmtId="0" xfId="0" applyFont="1" applyFill="1" applyBorder="1" applyAlignment="1">
      <alignment horizontal="left" vertical="center"/>
    </xf>
    <xf fontId="19" fillId="3" borderId="227" numFmtId="0" xfId="0" applyFont="1" applyFill="1" applyBorder="1" applyAlignment="1">
      <alignment vertical="center"/>
    </xf>
    <xf fontId="20" fillId="2" borderId="1" numFmtId="0" xfId="0" applyFont="1" applyFill="1" applyBorder="1" applyAlignment="1">
      <alignment horizontal="right" vertical="center"/>
    </xf>
    <xf fontId="21" fillId="3" borderId="3" numFmtId="49" xfId="0" applyNumberFormat="1" applyFont="1" applyFill="1" applyBorder="1" applyAlignment="1">
      <alignment vertical="center"/>
    </xf>
    <xf fontId="21" fillId="2" borderId="3" numFmtId="0" xfId="0" applyFont="1" applyFill="1" applyBorder="1" applyAlignment="1">
      <alignment vertical="center"/>
    </xf>
    <xf fontId="21" fillId="2" borderId="228" numFmtId="0" xfId="0" applyFont="1" applyFill="1" applyBorder="1" applyAlignment="1">
      <alignment vertical="center"/>
    </xf>
    <xf fontId="25" fillId="2" borderId="23" numFmtId="0" xfId="0" applyFont="1" applyFill="1" applyBorder="1" applyAlignment="1">
      <alignment horizontal="center" vertical="center"/>
    </xf>
    <xf fontId="25" fillId="2" borderId="84" numFmtId="0" xfId="0" applyFont="1" applyFill="1" applyBorder="1" applyAlignment="1">
      <alignment horizontal="center" vertical="center" wrapText="1"/>
    </xf>
    <xf fontId="25" fillId="2" borderId="164" numFmtId="0" xfId="0" applyFont="1" applyFill="1" applyBorder="1" applyAlignment="1">
      <alignment horizontal="center" vertical="center" wrapText="1"/>
    </xf>
    <xf fontId="25" fillId="2" borderId="165" numFmtId="0" xfId="0" applyFont="1" applyFill="1" applyBorder="1" applyAlignment="1">
      <alignment horizontal="center" vertical="center" wrapText="1"/>
    </xf>
    <xf fontId="25" fillId="2" borderId="85" numFmtId="0" xfId="0" applyFont="1" applyFill="1" applyBorder="1" applyAlignment="1">
      <alignment vertical="center" wrapText="1"/>
    </xf>
    <xf fontId="25" fillId="2" borderId="77" numFmtId="0" xfId="0" applyFont="1" applyFill="1" applyBorder="1" applyAlignment="1">
      <alignment vertical="center" wrapText="1"/>
    </xf>
    <xf fontId="25" fillId="2" borderId="86" numFmtId="0" xfId="0" applyFont="1" applyFill="1" applyBorder="1" applyAlignment="1">
      <alignment vertical="center" wrapText="1"/>
    </xf>
    <xf fontId="24" fillId="2" borderId="14" numFmtId="0" xfId="0" applyFont="1" applyFill="1" applyBorder="1" applyAlignment="1">
      <alignment horizontal="center" vertical="center" wrapText="1"/>
    </xf>
    <xf fontId="25" fillId="2" borderId="36" numFmtId="0" xfId="0" applyFont="1" applyFill="1" applyBorder="1" applyAlignment="1">
      <alignment horizontal="center" vertical="center"/>
    </xf>
    <xf fontId="25" fillId="2" borderId="87" numFmtId="0" xfId="0" applyFont="1" applyFill="1" applyBorder="1" applyAlignment="1">
      <alignment horizontal="center" vertical="center" wrapText="1"/>
    </xf>
    <xf fontId="25" fillId="2" borderId="166" numFmtId="0" xfId="0" applyFont="1" applyFill="1" applyBorder="1" applyAlignment="1">
      <alignment horizontal="center" vertical="center" wrapText="1"/>
    </xf>
    <xf fontId="25" fillId="2" borderId="167" numFmtId="0" xfId="0" applyFont="1" applyFill="1" applyBorder="1" applyAlignment="1">
      <alignment horizontal="center" vertical="center" wrapText="1"/>
    </xf>
    <xf fontId="25" fillId="2" borderId="88" numFmtId="0" xfId="0" applyFont="1" applyFill="1" applyBorder="1" applyAlignment="1">
      <alignment vertical="center" wrapText="1"/>
    </xf>
    <xf fontId="25" fillId="2" borderId="0" numFmtId="0" xfId="0" applyFont="1" applyFill="1" applyAlignment="1">
      <alignment vertical="center" wrapText="1"/>
    </xf>
    <xf fontId="25" fillId="2" borderId="89" numFmtId="0" xfId="0" applyFont="1" applyFill="1" applyBorder="1" applyAlignment="1">
      <alignment vertical="center" wrapText="1"/>
    </xf>
    <xf fontId="20" fillId="2" borderId="168" numFmtId="0" xfId="0" applyFont="1" applyFill="1" applyBorder="1" applyAlignment="1">
      <alignment horizontal="center" vertical="center" wrapText="1"/>
    </xf>
    <xf fontId="20" fillId="2" borderId="14" numFmtId="0" xfId="0" applyFont="1" applyFill="1" applyBorder="1" applyAlignment="1">
      <alignment horizontal="center" vertical="center" wrapText="1"/>
    </xf>
    <xf fontId="20" fillId="2" borderId="93" numFmtId="0" xfId="0" applyFont="1" applyFill="1" applyBorder="1" applyAlignment="1">
      <alignment horizontal="center" vertical="center"/>
    </xf>
    <xf fontId="20" fillId="2" borderId="94" numFmtId="0" xfId="0" applyFont="1" applyFill="1" applyBorder="1" applyAlignment="1">
      <alignment horizontal="center" vertical="center"/>
    </xf>
    <xf fontId="20" fillId="2" borderId="97" numFmtId="0" xfId="0" applyFont="1" applyFill="1" applyBorder="1" applyAlignment="1">
      <alignment horizontal="center" vertical="center"/>
    </xf>
    <xf fontId="20" fillId="2" borderId="98" numFmtId="0" xfId="0" applyFont="1" applyFill="1" applyBorder="1" applyAlignment="1">
      <alignment horizontal="center" vertical="center"/>
    </xf>
    <xf fontId="25" fillId="2" borderId="99" numFmtId="0" xfId="0" applyFont="1" applyFill="1" applyBorder="1" applyAlignment="1">
      <alignment horizontal="center" vertical="center" wrapText="1"/>
    </xf>
    <xf fontId="25" fillId="2" borderId="27" numFmtId="0" xfId="0" applyFont="1" applyFill="1" applyBorder="1" applyAlignment="1">
      <alignment horizontal="center" vertical="center" wrapText="1"/>
    </xf>
    <xf fontId="25" fillId="2" borderId="30" numFmtId="0" xfId="0" applyFont="1" applyFill="1" applyBorder="1" applyAlignment="1">
      <alignment horizontal="center" vertical="center" wrapText="1"/>
    </xf>
    <xf fontId="25" fillId="2" borderId="100" numFmtId="0" xfId="0" applyFont="1" applyFill="1" applyBorder="1" applyAlignment="1">
      <alignment vertical="center" wrapText="1"/>
    </xf>
    <xf fontId="25" fillId="2" borderId="96" numFmtId="0" xfId="0" applyFont="1" applyFill="1" applyBorder="1" applyAlignment="1">
      <alignment vertical="center" wrapText="1"/>
    </xf>
    <xf fontId="25" fillId="2" borderId="101" numFmtId="0" xfId="0" applyFont="1" applyFill="1" applyBorder="1" applyAlignment="1">
      <alignment vertical="center" wrapText="1"/>
    </xf>
    <xf fontId="20" fillId="2" borderId="102" numFmtId="0" xfId="0" applyFont="1" applyFill="1" applyBorder="1" applyAlignment="1">
      <alignment horizontal="center" vertical="center"/>
    </xf>
    <xf fontId="20" fillId="2" borderId="103" numFmtId="0" xfId="0" applyFont="1" applyFill="1" applyBorder="1" applyAlignment="1">
      <alignment horizontal="center" vertical="center"/>
    </xf>
    <xf fontId="21" fillId="0" borderId="49" numFmtId="0" xfId="0" applyFont="1" applyBorder="1" applyAlignment="1">
      <alignment horizontal="center" vertical="center"/>
    </xf>
    <xf fontId="21" fillId="0" borderId="50" numFmtId="0" xfId="0" applyFont="1" applyBorder="1" applyAlignment="1">
      <alignment horizontal="center" vertical="center"/>
    </xf>
    <xf fontId="21" fillId="0" borderId="51" numFmtId="0" xfId="0" applyFont="1" applyBorder="1" applyAlignment="1">
      <alignment horizontal="center" vertical="center"/>
    </xf>
    <xf fontId="21" fillId="0" borderId="52" numFmtId="0" xfId="0" applyFont="1" applyBorder="1" applyAlignment="1">
      <alignment horizontal="center" vertical="center"/>
    </xf>
    <xf fontId="21" fillId="0" borderId="53" numFmtId="0" xfId="0" applyFont="1" applyBorder="1" applyAlignment="1">
      <alignment horizontal="center" vertical="center"/>
    </xf>
    <xf fontId="21" fillId="0" borderId="169" numFmtId="0" xfId="0" applyFont="1" applyBorder="1" applyAlignment="1">
      <alignment horizontal="center" vertical="center"/>
    </xf>
    <xf fontId="20" fillId="2" borderId="170" numFmtId="0" xfId="0" applyFont="1" applyFill="1" applyBorder="1" applyAlignment="1">
      <alignment horizontal="center" vertical="center"/>
    </xf>
    <xf fontId="20" fillId="2" borderId="171" numFmtId="0" xfId="0" applyFont="1" applyFill="1" applyBorder="1" applyAlignment="1">
      <alignment horizontal="center" vertical="center"/>
    </xf>
    <xf fontId="24" fillId="0" borderId="111" numFmtId="0" xfId="0" applyFont="1" applyBorder="1" applyAlignment="1">
      <alignment horizontal="center" vertical="center"/>
    </xf>
    <xf fontId="26" fillId="3" borderId="112" numFmtId="9" xfId="4" applyNumberFormat="1" applyFont="1" applyFill="1" applyBorder="1" applyAlignment="1">
      <alignment horizontal="center" vertical="center"/>
    </xf>
    <xf fontId="26" fillId="0" borderId="113" numFmtId="1" xfId="4" applyNumberFormat="1" applyFont="1" applyBorder="1" applyAlignment="1">
      <alignment vertical="center"/>
    </xf>
    <xf fontId="26" fillId="0" borderId="108" numFmtId="1" xfId="4" applyNumberFormat="1" applyFont="1" applyBorder="1" applyAlignment="1">
      <alignment vertical="center"/>
    </xf>
    <xf fontId="26" fillId="0" borderId="103" numFmtId="1" xfId="4" applyNumberFormat="1" applyFont="1" applyBorder="1" applyAlignment="1">
      <alignment vertical="center"/>
    </xf>
    <xf fontId="20" fillId="2" borderId="114" numFmtId="0" xfId="0" applyFont="1" applyFill="1" applyBorder="1" applyAlignment="1">
      <alignment horizontal="center" vertical="center"/>
    </xf>
    <xf fontId="20" fillId="2" borderId="115" numFmtId="0" xfId="0" applyFont="1" applyFill="1" applyBorder="1" applyAlignment="1">
      <alignment horizontal="center" vertical="center"/>
    </xf>
    <xf fontId="21" fillId="0" borderId="54" numFmtId="0" xfId="0" applyFont="1" applyBorder="1" applyAlignment="1">
      <alignment horizontal="center" vertical="center"/>
    </xf>
    <xf fontId="21" fillId="0" borderId="55" numFmtId="0" xfId="0" applyFont="1" applyBorder="1" applyAlignment="1">
      <alignment horizontal="center" vertical="center"/>
    </xf>
    <xf fontId="21" fillId="0" borderId="56" numFmtId="0" xfId="0" applyFont="1" applyBorder="1" applyAlignment="1">
      <alignment horizontal="center" vertical="center"/>
    </xf>
    <xf fontId="21" fillId="0" borderId="57" numFmtId="0" xfId="0" applyFont="1" applyBorder="1" applyAlignment="1">
      <alignment horizontal="center" vertical="center"/>
    </xf>
    <xf fontId="21" fillId="0" borderId="58" numFmtId="0" xfId="0" applyFont="1" applyBorder="1" applyAlignment="1">
      <alignment horizontal="center" vertical="center"/>
    </xf>
    <xf fontId="21" fillId="0" borderId="172" numFmtId="0" xfId="0" applyFont="1" applyBorder="1" applyAlignment="1">
      <alignment horizontal="center" vertical="center"/>
    </xf>
    <xf fontId="20" fillId="2" borderId="173" numFmtId="0" xfId="0" applyFont="1" applyFill="1" applyBorder="1" applyAlignment="1">
      <alignment horizontal="center" vertical="center"/>
    </xf>
    <xf fontId="20" fillId="2" borderId="174" numFmtId="0" xfId="0" applyFont="1" applyFill="1" applyBorder="1" applyAlignment="1">
      <alignment horizontal="center" vertical="center"/>
    </xf>
    <xf fontId="24" fillId="0" borderId="123" numFmtId="0" xfId="0" applyFont="1" applyBorder="1" applyAlignment="1">
      <alignment horizontal="center" vertical="center"/>
    </xf>
    <xf fontId="26" fillId="3" borderId="124" numFmtId="9" xfId="4" applyNumberFormat="1" applyFont="1" applyFill="1" applyBorder="1" applyAlignment="1">
      <alignment horizontal="center" vertical="center"/>
    </xf>
    <xf fontId="26" fillId="0" borderId="125" numFmtId="1" xfId="4" applyNumberFormat="1" applyFont="1" applyBorder="1" applyAlignment="1">
      <alignment vertical="center"/>
    </xf>
    <xf fontId="26" fillId="0" borderId="120" numFmtId="1" xfId="4" applyNumberFormat="1" applyFont="1" applyBorder="1" applyAlignment="1">
      <alignment vertical="center"/>
    </xf>
    <xf fontId="26" fillId="0" borderId="115" numFmtId="1" xfId="4" applyNumberFormat="1" applyFont="1" applyBorder="1" applyAlignment="1">
      <alignment vertical="center"/>
    </xf>
    <xf fontId="20" fillId="2" borderId="126" numFmtId="0" xfId="0" applyFont="1" applyFill="1" applyBorder="1" applyAlignment="1">
      <alignment horizontal="center" vertical="center"/>
    </xf>
    <xf fontId="20" fillId="2" borderId="127" numFmtId="0" xfId="0" applyFont="1" applyFill="1" applyBorder="1" applyAlignment="1">
      <alignment horizontal="center" vertical="center"/>
    </xf>
    <xf fontId="21" fillId="0" borderId="59" numFmtId="0" xfId="0" applyFont="1" applyBorder="1" applyAlignment="1">
      <alignment horizontal="center" vertical="center"/>
    </xf>
    <xf fontId="21" fillId="0" borderId="60" numFmtId="0" xfId="0" applyFont="1" applyBorder="1" applyAlignment="1">
      <alignment horizontal="center" vertical="center"/>
    </xf>
    <xf fontId="21" fillId="0" borderId="61" numFmtId="0" xfId="0" applyFont="1" applyBorder="1" applyAlignment="1">
      <alignment horizontal="center" vertical="center"/>
    </xf>
    <xf fontId="21" fillId="0" borderId="62" numFmtId="0" xfId="0" applyFont="1" applyBorder="1" applyAlignment="1">
      <alignment horizontal="center" vertical="center"/>
    </xf>
    <xf fontId="21" fillId="0" borderId="63" numFmtId="0" xfId="0" applyFont="1" applyBorder="1" applyAlignment="1">
      <alignment horizontal="center" vertical="center"/>
    </xf>
    <xf fontId="21" fillId="0" borderId="175" numFmtId="0" xfId="0" applyFont="1" applyBorder="1" applyAlignment="1">
      <alignment horizontal="center" vertical="center"/>
    </xf>
    <xf fontId="20" fillId="2" borderId="176" numFmtId="0" xfId="0" applyFont="1" applyFill="1" applyBorder="1" applyAlignment="1">
      <alignment horizontal="center" vertical="center"/>
    </xf>
    <xf fontId="20" fillId="2" borderId="177" numFmtId="0" xfId="0" applyFont="1" applyFill="1" applyBorder="1" applyAlignment="1">
      <alignment horizontal="center" vertical="center"/>
    </xf>
    <xf fontId="24" fillId="0" borderId="178" numFmtId="0" xfId="0" applyFont="1" applyBorder="1" applyAlignment="1">
      <alignment horizontal="center" vertical="center"/>
    </xf>
    <xf fontId="26" fillId="3" borderId="136" numFmtId="9" xfId="4" applyNumberFormat="1" applyFont="1" applyFill="1" applyBorder="1" applyAlignment="1">
      <alignment horizontal="center" vertical="center"/>
    </xf>
    <xf fontId="26" fillId="0" borderId="137" numFmtId="1" xfId="4" applyNumberFormat="1" applyFont="1" applyBorder="1" applyAlignment="1">
      <alignment vertical="center"/>
    </xf>
    <xf fontId="26" fillId="0" borderId="132" numFmtId="1" xfId="4" applyNumberFormat="1" applyFont="1" applyBorder="1" applyAlignment="1">
      <alignment vertical="center"/>
    </xf>
    <xf fontId="26" fillId="0" borderId="127" numFmtId="1" xfId="4" applyNumberFormat="1" applyFont="1" applyBorder="1" applyAlignment="1">
      <alignment vertical="center"/>
    </xf>
    <xf fontId="20" fillId="2" borderId="138" numFmtId="0" xfId="0" applyFont="1" applyFill="1" applyBorder="1" applyAlignment="1">
      <alignment horizontal="center" vertical="center"/>
    </xf>
    <xf fontId="20" fillId="2" borderId="139" numFmtId="0" xfId="0" applyFont="1" applyFill="1" applyBorder="1" applyAlignment="1">
      <alignment horizontal="center" vertical="center"/>
    </xf>
    <xf fontId="20" fillId="0" borderId="161" numFmtId="0" xfId="0" applyFont="1" applyBorder="1" applyAlignment="1">
      <alignment horizontal="center" vertical="center"/>
    </xf>
    <xf fontId="20" fillId="0" borderId="45" numFmtId="0" xfId="0" applyFont="1" applyBorder="1" applyAlignment="1">
      <alignment horizontal="center" vertical="center"/>
    </xf>
    <xf fontId="20" fillId="0" borderId="46" numFmtId="0" xfId="0" applyFont="1" applyBorder="1" applyAlignment="1">
      <alignment horizontal="center" vertical="center"/>
    </xf>
    <xf fontId="20" fillId="0" borderId="47" numFmtId="0" xfId="0" applyFont="1" applyBorder="1" applyAlignment="1">
      <alignment horizontal="center" vertical="center"/>
    </xf>
    <xf fontId="20" fillId="0" borderId="44" numFmtId="0" xfId="0" applyFont="1" applyBorder="1" applyAlignment="1">
      <alignment horizontal="center" vertical="center"/>
    </xf>
    <xf fontId="20" fillId="0" borderId="48" numFmtId="0" xfId="0" applyFont="1" applyBorder="1" applyAlignment="1">
      <alignment horizontal="center" vertical="center"/>
    </xf>
    <xf fontId="20" fillId="2" borderId="179" numFmtId="0" xfId="0" applyFont="1" applyFill="1" applyBorder="1" applyAlignment="1">
      <alignment horizontal="center" vertical="center"/>
    </xf>
    <xf fontId="20" fillId="2" borderId="180" numFmtId="0" xfId="0" applyFont="1" applyFill="1" applyBorder="1" applyAlignment="1">
      <alignment horizontal="center" vertical="center"/>
    </xf>
    <xf fontId="24" fillId="0" borderId="36" numFmtId="0" xfId="0" applyFont="1" applyBorder="1" applyAlignment="1">
      <alignment horizontal="center" vertical="center"/>
    </xf>
    <xf fontId="24" fillId="3" borderId="145" numFmtId="9" xfId="4" applyNumberFormat="1" applyFont="1" applyFill="1" applyBorder="1" applyAlignment="1">
      <alignment horizontal="center" vertical="center"/>
    </xf>
    <xf fontId="26" fillId="0" borderId="146" numFmtId="1" xfId="4" applyNumberFormat="1" applyFont="1" applyBorder="1" applyAlignment="1">
      <alignment vertical="center"/>
    </xf>
    <xf fontId="26" fillId="0" borderId="141" numFmtId="1" xfId="4" applyNumberFormat="1" applyFont="1" applyBorder="1" applyAlignment="1">
      <alignment vertical="center"/>
    </xf>
    <xf fontId="26" fillId="0" borderId="139" numFmtId="1" xfId="4" applyNumberFormat="1" applyFont="1" applyBorder="1" applyAlignment="1">
      <alignment vertical="center"/>
    </xf>
    <xf fontId="20" fillId="2" borderId="147" numFmtId="0" xfId="0" applyFont="1" applyFill="1" applyBorder="1" applyAlignment="1">
      <alignment horizontal="center" vertical="center"/>
    </xf>
    <xf fontId="20" fillId="2" borderId="148" numFmtId="0" xfId="0" applyFont="1" applyFill="1" applyBorder="1" applyAlignment="1">
      <alignment horizontal="center" vertical="center"/>
    </xf>
    <xf fontId="20" fillId="0" borderId="162" numFmtId="0" xfId="0" applyFont="1" applyBorder="1" applyAlignment="1">
      <alignment horizontal="center" vertical="center"/>
    </xf>
    <xf fontId="20" fillId="0" borderId="73" numFmtId="0" xfId="0" applyFont="1" applyBorder="1" applyAlignment="1">
      <alignment horizontal="center" vertical="center"/>
    </xf>
    <xf fontId="20" fillId="0" borderId="74" numFmtId="0" xfId="0" applyFont="1" applyBorder="1" applyAlignment="1">
      <alignment horizontal="center" vertical="center"/>
    </xf>
    <xf fontId="20" fillId="0" borderId="75" numFmtId="0" xfId="0" applyFont="1" applyBorder="1" applyAlignment="1">
      <alignment horizontal="center" vertical="center"/>
    </xf>
    <xf fontId="20" fillId="0" borderId="72" numFmtId="0" xfId="0" applyFont="1" applyBorder="1" applyAlignment="1">
      <alignment horizontal="center" vertical="center"/>
    </xf>
    <xf fontId="20" fillId="0" borderId="76" numFmtId="0" xfId="0" applyFont="1" applyBorder="1" applyAlignment="1">
      <alignment horizontal="center" vertical="center"/>
    </xf>
    <xf fontId="20" fillId="2" borderId="181" numFmtId="0" xfId="0" applyFont="1" applyFill="1" applyBorder="1" applyAlignment="1">
      <alignment horizontal="center" vertical="center"/>
    </xf>
    <xf fontId="20" fillId="2" borderId="182" numFmtId="0" xfId="0" applyFont="1" applyFill="1" applyBorder="1" applyAlignment="1">
      <alignment horizontal="center" vertical="center"/>
    </xf>
    <xf fontId="24" fillId="0" borderId="64" numFmtId="0" xfId="0" applyFont="1" applyBorder="1" applyAlignment="1">
      <alignment horizontal="center" vertical="center"/>
    </xf>
    <xf fontId="24" fillId="3" borderId="154" numFmtId="9" xfId="4" applyNumberFormat="1" applyFont="1" applyFill="1" applyBorder="1" applyAlignment="1">
      <alignment horizontal="center" vertical="center"/>
    </xf>
    <xf fontId="26" fillId="0" borderId="155" numFmtId="1" xfId="4" applyNumberFormat="1" applyFont="1" applyBorder="1" applyAlignment="1">
      <alignment vertical="center"/>
    </xf>
    <xf fontId="26" fillId="0" borderId="150" numFmtId="1" xfId="4" applyNumberFormat="1" applyFont="1" applyBorder="1" applyAlignment="1">
      <alignment vertical="center"/>
    </xf>
    <xf fontId="26" fillId="0" borderId="148" numFmtId="1" xfId="4" applyNumberFormat="1" applyFont="1" applyBorder="1" applyAlignment="1">
      <alignment vertical="center"/>
    </xf>
    <xf fontId="20" fillId="3" borderId="77" numFmtId="0" xfId="0" applyFont="1" applyFill="1" applyBorder="1" applyAlignment="1">
      <alignment horizontal="left" vertical="center"/>
    </xf>
    <xf fontId="21" fillId="3" borderId="77" numFmtId="0" xfId="0" applyFont="1" applyFill="1" applyBorder="1" applyAlignment="1">
      <alignment vertical="center"/>
    </xf>
    <xf fontId="21" fillId="3" borderId="0" numFmtId="0" xfId="0" applyFont="1" applyFill="1" applyAlignment="1">
      <alignment vertical="center"/>
    </xf>
    <xf fontId="19" fillId="3" borderId="0" numFmtId="0" xfId="0" applyFont="1" applyFill="1" applyAlignment="1">
      <alignment vertical="center"/>
    </xf>
    <xf fontId="20" fillId="3" borderId="0" numFmtId="0" xfId="0" applyFont="1" applyFill="1" applyAlignment="1">
      <alignment horizontal="left" vertical="center"/>
    </xf>
    <xf fontId="23" fillId="3" borderId="0" numFmtId="0" xfId="0" applyFont="1" applyFill="1" applyAlignment="1">
      <alignment vertical="center" wrapText="1"/>
    </xf>
    <xf fontId="25" fillId="3" borderId="183" numFmtId="0" xfId="0" applyFont="1" applyFill="1" applyBorder="1" applyAlignment="1">
      <alignment vertical="center"/>
    </xf>
    <xf fontId="25" fillId="2" borderId="184" numFmtId="0" xfId="0" applyFont="1" applyFill="1" applyBorder="1" applyAlignment="1">
      <alignment horizontal="center" vertical="center" wrapText="1"/>
    </xf>
    <xf fontId="25" fillId="3" borderId="185" numFmtId="0" xfId="0" applyFont="1" applyFill="1" applyBorder="1" applyAlignment="1">
      <alignment vertical="center" wrapText="1"/>
    </xf>
    <xf fontId="25" fillId="3" borderId="0" numFmtId="0" xfId="0" applyFont="1" applyFill="1" applyAlignment="1">
      <alignment vertical="center" wrapText="1"/>
    </xf>
    <xf fontId="24" fillId="3" borderId="0" numFmtId="0" xfId="0" applyFont="1" applyFill="1" applyAlignment="1">
      <alignment vertical="center" wrapText="1"/>
    </xf>
    <xf fontId="25" fillId="2" borderId="186" numFmtId="0" xfId="0" applyFont="1" applyFill="1" applyBorder="1" applyAlignment="1">
      <alignment horizontal="center" vertical="center" wrapText="1"/>
    </xf>
    <xf fontId="20" fillId="3" borderId="0" numFmtId="0" xfId="0" applyFont="1" applyFill="1" applyAlignment="1">
      <alignment vertical="center" wrapText="1"/>
    </xf>
    <xf fontId="20" fillId="3" borderId="0" numFmtId="0" xfId="0" applyFont="1" applyFill="1" applyAlignment="1">
      <alignment vertical="center"/>
    </xf>
    <xf fontId="20" fillId="3" borderId="0" numFmtId="0" xfId="0" applyFont="1" applyFill="1" applyAlignment="1">
      <alignment horizontal="center" vertical="center"/>
    </xf>
    <xf fontId="25" fillId="2" borderId="187" numFmtId="0" xfId="0" applyFont="1" applyFill="1" applyBorder="1" applyAlignment="1">
      <alignment horizontal="center" vertical="center" wrapText="1"/>
    </xf>
    <xf fontId="21" fillId="3" borderId="0" numFmtId="0" xfId="0" applyFont="1" applyFill="1" applyAlignment="1">
      <alignment horizontal="center" vertical="center"/>
    </xf>
    <xf fontId="24" fillId="3" borderId="183" numFmtId="0" xfId="0" applyFont="1" applyFill="1" applyBorder="1" applyAlignment="1">
      <alignment horizontal="center" vertical="center"/>
    </xf>
    <xf fontId="26" fillId="3" borderId="188" numFmtId="3" xfId="4" applyNumberFormat="1" applyFont="1" applyFill="1" applyBorder="1" applyAlignment="1">
      <alignment horizontal="center" vertical="center"/>
    </xf>
    <xf fontId="26" fillId="3" borderId="0" numFmtId="1" xfId="4" applyNumberFormat="1" applyFont="1" applyFill="1" applyAlignment="1">
      <alignment horizontal="center" vertical="center"/>
    </xf>
    <xf fontId="26" fillId="3" borderId="0" numFmtId="1" xfId="4" applyNumberFormat="1" applyFont="1" applyFill="1" applyAlignment="1">
      <alignment vertical="center" wrapText="1"/>
    </xf>
    <xf fontId="26" fillId="3" borderId="189" numFmtId="3" xfId="4" applyNumberFormat="1" applyFont="1" applyFill="1" applyBorder="1" applyAlignment="1">
      <alignment horizontal="center" vertical="center"/>
    </xf>
    <xf fontId="26" fillId="3" borderId="190" numFmtId="3" xfId="4" applyNumberFormat="1" applyFont="1" applyFill="1" applyBorder="1" applyAlignment="1">
      <alignment horizontal="center" vertical="center"/>
    </xf>
    <xf fontId="24" fillId="3" borderId="191" numFmtId="3" xfId="4" applyNumberFormat="1" applyFont="1" applyFill="1" applyBorder="1" applyAlignment="1">
      <alignment horizontal="center" vertical="center"/>
    </xf>
    <xf fontId="24" fillId="3" borderId="192" numFmtId="3" xfId="4" applyNumberFormat="1" applyFont="1" applyFill="1" applyBorder="1" applyAlignment="1">
      <alignment horizontal="center" vertical="center"/>
    </xf>
    <xf fontId="19" fillId="0" borderId="0" numFmtId="0" xfId="0" applyFont="1" applyAlignment="1">
      <alignment vertical="top"/>
    </xf>
    <xf fontId="5" fillId="3" borderId="0" numFmtId="0" xfId="0" applyFont="1" applyFill="1" applyAlignment="1">
      <alignment vertical="top"/>
    </xf>
    <xf fontId="20" fillId="0" borderId="0" numFmtId="0" xfId="0" applyFont="1" applyAlignment="1">
      <alignment horizontal="left" vertical="center"/>
    </xf>
    <xf fontId="21" fillId="0" borderId="0" numFmtId="0" xfId="0" applyFont="1" applyAlignment="1">
      <alignment vertical="center"/>
    </xf>
    <xf fontId="8" fillId="2" borderId="0" numFmtId="0" xfId="0" applyFont="1" applyFill="1" applyAlignment="1">
      <alignment horizontal="center" vertical="center" wrapText="1"/>
    </xf>
    <xf fontId="10" fillId="2" borderId="92" numFmtId="0" xfId="0" applyFont="1" applyFill="1" applyBorder="1" applyAlignment="1">
      <alignment horizontal="center" vertical="center" wrapText="1"/>
    </xf>
    <xf fontId="4" fillId="2" borderId="167" numFmtId="0" xfId="0" applyFont="1" applyFill="1" applyBorder="1" applyAlignment="1">
      <alignment horizontal="center" vertical="center" wrapText="1"/>
    </xf>
    <xf fontId="4" fillId="2" borderId="88" numFmtId="0" xfId="0" applyFont="1" applyFill="1" applyBorder="1" applyAlignment="1">
      <alignment horizontal="center" vertical="center" wrapText="1"/>
    </xf>
    <xf fontId="4" fillId="2" borderId="89" numFmtId="0" xfId="0" applyFont="1" applyFill="1" applyBorder="1" applyAlignment="1">
      <alignment horizontal="center" vertical="center" wrapText="1"/>
    </xf>
    <xf fontId="5" fillId="3" borderId="140" numFmtId="0" xfId="0" applyFont="1" applyFill="1" applyBorder="1" applyAlignment="1">
      <alignment horizontal="center" vertical="center"/>
    </xf>
    <xf fontId="5" fillId="3" borderId="149" numFmtId="0" xfId="0" applyFont="1" applyFill="1" applyBorder="1" applyAlignment="1">
      <alignment horizontal="center" vertical="center"/>
    </xf>
    <xf fontId="8" fillId="2" borderId="77" numFmtId="0" xfId="0" applyFont="1" applyFill="1" applyBorder="1" applyAlignment="1">
      <alignment horizontal="center" vertical="center" wrapText="1"/>
    </xf>
    <xf fontId="5" fillId="3" borderId="229" numFmtId="0" xfId="0" applyFont="1" applyFill="1" applyBorder="1" applyAlignment="1">
      <alignment horizontal="center" vertical="center"/>
    </xf>
    <xf fontId="5" fillId="3" borderId="230" numFmtId="0" xfId="0" applyFont="1" applyFill="1" applyBorder="1" applyAlignment="1">
      <alignment horizontal="center" vertical="center"/>
    </xf>
    <xf fontId="4" fillId="2" borderId="231" numFmtId="0" xfId="0" applyFont="1" applyFill="1" applyBorder="1" applyAlignment="1">
      <alignment horizontal="center" vertical="center"/>
    </xf>
    <xf fontId="4" fillId="2" borderId="232" numFmtId="0" xfId="0" applyFont="1" applyFill="1" applyBorder="1" applyAlignment="1">
      <alignment horizontal="center" vertical="center"/>
    </xf>
    <xf fontId="10" fillId="3" borderId="204" numFmtId="0" xfId="0" applyFont="1" applyFill="1" applyBorder="1" applyAlignment="1">
      <alignment horizontal="center" vertical="center"/>
    </xf>
    <xf fontId="18" fillId="3" borderId="113" numFmtId="1" xfId="4" applyNumberFormat="1" applyFont="1" applyFill="1" applyBorder="1" applyAlignment="1">
      <alignment horizontal="center" vertical="center"/>
    </xf>
    <xf fontId="18" fillId="3" borderId="103" numFmtId="1" xfId="4" applyNumberFormat="1" applyFont="1" applyFill="1" applyBorder="1" applyAlignment="1">
      <alignment horizontal="center" vertical="center"/>
    </xf>
    <xf fontId="5" fillId="3" borderId="233" numFmtId="0" xfId="0" applyFont="1" applyFill="1" applyBorder="1" applyAlignment="1">
      <alignment horizontal="center" vertical="center"/>
    </xf>
    <xf fontId="5" fillId="3" borderId="234" numFmtId="0" xfId="0" applyFont="1" applyFill="1" applyBorder="1" applyAlignment="1">
      <alignment horizontal="center" vertical="center"/>
    </xf>
    <xf fontId="4" fillId="2" borderId="235" numFmtId="0" xfId="0" applyFont="1" applyFill="1" applyBorder="1" applyAlignment="1">
      <alignment horizontal="center" vertical="center"/>
    </xf>
    <xf fontId="4" fillId="2" borderId="236" numFmtId="0" xfId="0" applyFont="1" applyFill="1" applyBorder="1" applyAlignment="1">
      <alignment horizontal="center" vertical="center"/>
    </xf>
    <xf fontId="10" fillId="3" borderId="206" numFmtId="0" xfId="0" applyFont="1" applyFill="1" applyBorder="1" applyAlignment="1">
      <alignment horizontal="center" vertical="center"/>
    </xf>
    <xf fontId="18" fillId="3" borderId="125" numFmtId="1" xfId="4" applyNumberFormat="1" applyFont="1" applyFill="1" applyBorder="1" applyAlignment="1">
      <alignment horizontal="center" vertical="center"/>
    </xf>
    <xf fontId="18" fillId="3" borderId="115" numFmtId="1" xfId="4" applyNumberFormat="1" applyFont="1" applyFill="1" applyBorder="1" applyAlignment="1">
      <alignment horizontal="center" vertical="center"/>
    </xf>
    <xf fontId="5" fillId="3" borderId="237" numFmtId="0" xfId="0" applyFont="1" applyFill="1" applyBorder="1" applyAlignment="1">
      <alignment horizontal="center" vertical="center"/>
    </xf>
    <xf fontId="5" fillId="3" borderId="238" numFmtId="0" xfId="0" applyFont="1" applyFill="1" applyBorder="1" applyAlignment="1">
      <alignment horizontal="center" vertical="center"/>
    </xf>
    <xf fontId="4" fillId="2" borderId="239" numFmtId="0" xfId="0" applyFont="1" applyFill="1" applyBorder="1" applyAlignment="1">
      <alignment horizontal="center" vertical="center"/>
    </xf>
    <xf fontId="4" fillId="2" borderId="240" numFmtId="0" xfId="0" applyFont="1" applyFill="1" applyBorder="1" applyAlignment="1">
      <alignment horizontal="center" vertical="center"/>
    </xf>
    <xf fontId="10" fillId="3" borderId="208" numFmtId="0" xfId="0" applyFont="1" applyFill="1" applyBorder="1" applyAlignment="1">
      <alignment horizontal="center" vertical="center"/>
    </xf>
    <xf fontId="18" fillId="3" borderId="137" numFmtId="1" xfId="4" applyNumberFormat="1" applyFont="1" applyFill="1" applyBorder="1" applyAlignment="1">
      <alignment horizontal="center" vertical="center"/>
    </xf>
    <xf fontId="18" fillId="3" borderId="127" numFmtId="1" xfId="4" applyNumberFormat="1" applyFont="1" applyFill="1" applyBorder="1" applyAlignment="1">
      <alignment horizontal="center" vertical="center"/>
    </xf>
    <xf fontId="5" fillId="3" borderId="141" numFmtId="0" xfId="0" applyFont="1" applyFill="1" applyBorder="1" applyAlignment="1">
      <alignment horizontal="center" vertical="center"/>
    </xf>
    <xf fontId="10" fillId="3" borderId="36" numFmtId="0" xfId="0" applyFont="1" applyFill="1" applyBorder="1" applyAlignment="1">
      <alignment horizontal="center" vertical="center"/>
    </xf>
    <xf fontId="18" fillId="3" borderId="145" numFmtId="9" xfId="4" applyNumberFormat="1" applyFont="1" applyFill="1" applyBorder="1" applyAlignment="1">
      <alignment horizontal="center" vertical="center"/>
    </xf>
    <xf fontId="18" fillId="3" borderId="145" numFmtId="1" xfId="4" applyNumberFormat="1" applyFont="1" applyFill="1" applyBorder="1" applyAlignment="1">
      <alignment horizontal="center" vertical="center"/>
    </xf>
    <xf fontId="10" fillId="3" borderId="241" numFmtId="1" xfId="4" applyNumberFormat="1" applyFont="1" applyFill="1" applyBorder="1" applyAlignment="1">
      <alignment vertical="center"/>
    </xf>
    <xf fontId="10" fillId="3" borderId="139" numFmtId="1" xfId="4" applyNumberFormat="1" applyFont="1" applyFill="1" applyBorder="1" applyAlignment="1">
      <alignment vertical="center"/>
    </xf>
    <xf fontId="5" fillId="3" borderId="150" numFmtId="0" xfId="0" applyFont="1" applyFill="1" applyBorder="1" applyAlignment="1">
      <alignment horizontal="center" vertical="center"/>
    </xf>
    <xf fontId="18" fillId="3" borderId="154" numFmtId="9" xfId="4" applyNumberFormat="1" applyFont="1" applyFill="1" applyBorder="1" applyAlignment="1">
      <alignment horizontal="center" vertical="center"/>
    </xf>
    <xf fontId="18" fillId="3" borderId="154" numFmtId="1" xfId="4" applyNumberFormat="1" applyFont="1" applyFill="1" applyBorder="1" applyAlignment="1">
      <alignment horizontal="center" vertical="center"/>
    </xf>
    <xf fontId="10" fillId="3" borderId="155" numFmtId="1" xfId="4" applyNumberFormat="1" applyFont="1" applyFill="1" applyBorder="1" applyAlignment="1">
      <alignment vertical="center"/>
    </xf>
    <xf fontId="10" fillId="3" borderId="148" numFmtId="1" xfId="4" applyNumberFormat="1" applyFont="1" applyFill="1" applyBorder="1" applyAlignment="1">
      <alignment vertical="center"/>
    </xf>
    <xf fontId="7" fillId="2" borderId="77" numFmtId="0" xfId="0" applyFont="1" applyFill="1" applyBorder="1" applyAlignment="1">
      <alignment horizontal="left" vertical="center"/>
    </xf>
    <xf fontId="5" fillId="2" borderId="77" numFmtId="0" xfId="0" applyFont="1" applyFill="1" applyBorder="1" applyAlignment="1">
      <alignment vertical="center"/>
    </xf>
    <xf fontId="6" fillId="2" borderId="77" numFmtId="0" xfId="0" applyFont="1" applyFill="1" applyBorder="1" applyAlignment="1">
      <alignment vertical="center"/>
    </xf>
    <xf fontId="4" fillId="3" borderId="77" numFmtId="0" xfId="0" applyFont="1" applyFill="1" applyBorder="1" applyAlignment="1">
      <alignment horizontal="center" vertical="center"/>
    </xf>
    <xf fontId="10" fillId="3" borderId="77" numFmtId="0" xfId="0" applyFont="1" applyFill="1" applyBorder="1" applyAlignment="1">
      <alignment horizontal="center" vertical="center"/>
    </xf>
    <xf fontId="18" fillId="3" borderId="77" numFmtId="9" xfId="4" applyNumberFormat="1" applyFont="1" applyFill="1" applyBorder="1" applyAlignment="1">
      <alignment horizontal="center" vertical="center"/>
    </xf>
    <xf fontId="18" fillId="3" borderId="77" numFmtId="1" xfId="4" applyNumberFormat="1" applyFont="1" applyFill="1" applyBorder="1" applyAlignment="1">
      <alignment horizontal="center" vertical="center"/>
    </xf>
    <xf fontId="12" fillId="2" borderId="5" numFmtId="0" xfId="0" applyFont="1" applyFill="1" applyBorder="1" applyAlignment="1">
      <alignment horizontal="left" vertical="center"/>
    </xf>
    <xf fontId="5" fillId="3" borderId="6" numFmtId="0" xfId="0" applyFont="1" applyFill="1" applyBorder="1" applyAlignment="1">
      <alignment vertical="center"/>
    </xf>
    <xf fontId="5" fillId="3" borderId="228" numFmtId="0" xfId="0" applyFont="1" applyFill="1" applyBorder="1" applyAlignment="1">
      <alignment vertical="center"/>
    </xf>
    <xf fontId="6" fillId="3" borderId="228" numFmtId="0" xfId="0" applyFont="1" applyFill="1" applyBorder="1" applyAlignment="1">
      <alignment vertical="center"/>
    </xf>
    <xf fontId="11" fillId="3" borderId="228" numFmtId="0" xfId="0" applyFont="1" applyFill="1" applyBorder="1" applyAlignment="1">
      <alignment vertical="center"/>
    </xf>
    <xf fontId="5" fillId="3" borderId="228" numFmtId="49" xfId="0" applyNumberFormat="1" applyFont="1" applyFill="1" applyBorder="1" applyAlignment="1">
      <alignment vertical="center"/>
    </xf>
    <xf fontId="11" fillId="2" borderId="5" numFmtId="0" xfId="0" applyFont="1" applyFill="1" applyBorder="1" applyAlignment="1">
      <alignment vertical="center"/>
    </xf>
    <xf fontId="12" fillId="2" borderId="0" numFmtId="0" xfId="0" applyFont="1" applyFill="1" applyAlignment="1">
      <alignment horizontal="left" vertical="top"/>
    </xf>
    <xf fontId="11" fillId="2" borderId="0" numFmtId="0" xfId="0" applyFont="1" applyFill="1" applyAlignment="1">
      <alignment vertical="top"/>
    </xf>
    <xf fontId="11" fillId="2" borderId="0" numFmtId="0" xfId="0" applyFont="1" applyFill="1" applyAlignment="1">
      <alignment vertical="top" wrapText="1"/>
    </xf>
    <xf fontId="13" fillId="2" borderId="242" numFmtId="0" xfId="0" applyFont="1" applyFill="1" applyBorder="1" applyAlignment="1">
      <alignment horizontal="center" vertical="center" wrapText="1"/>
    </xf>
    <xf fontId="13" fillId="2" borderId="77" numFmtId="0" xfId="0" applyFont="1" applyFill="1" applyBorder="1" applyAlignment="1">
      <alignment horizontal="center" vertical="center" wrapText="1"/>
    </xf>
    <xf fontId="13" fillId="2" borderId="0" numFmtId="0" xfId="0" applyFont="1" applyFill="1" applyAlignment="1">
      <alignment horizontal="center" vertical="center" wrapText="1"/>
    </xf>
    <xf fontId="12" fillId="2" borderId="23" numFmtId="0" xfId="0" applyFont="1" applyFill="1" applyBorder="1" applyAlignment="1">
      <alignment horizontal="center" vertical="center"/>
    </xf>
    <xf fontId="12" fillId="2" borderId="24" numFmtId="0" xfId="0" applyFont="1" applyFill="1" applyBorder="1" applyAlignment="1">
      <alignment horizontal="center" vertical="center"/>
    </xf>
    <xf fontId="12" fillId="2" borderId="0" numFmtId="0" xfId="0" applyFont="1" applyFill="1" applyAlignment="1">
      <alignment horizontal="center" vertical="center"/>
    </xf>
    <xf fontId="12" fillId="2" borderId="36" numFmtId="0" xfId="0" applyFont="1" applyFill="1" applyBorder="1" applyAlignment="1">
      <alignment horizontal="center" vertical="center"/>
    </xf>
    <xf fontId="12" fillId="2" borderId="37" numFmtId="0" xfId="0" applyFont="1" applyFill="1" applyBorder="1" applyAlignment="1">
      <alignment horizontal="center" vertical="center"/>
    </xf>
    <xf fontId="5" fillId="3" borderId="161" numFmtId="0" xfId="0" applyFont="1" applyFill="1" applyBorder="1" applyAlignment="1">
      <alignment horizontal="center" vertical="center"/>
    </xf>
    <xf fontId="12" fillId="2" borderId="64" numFmtId="0" xfId="0" applyFont="1" applyFill="1" applyBorder="1" applyAlignment="1">
      <alignment horizontal="center" vertical="center"/>
    </xf>
    <xf fontId="12" fillId="2" borderId="65" numFmtId="0" xfId="0" applyFont="1" applyFill="1" applyBorder="1" applyAlignment="1">
      <alignment horizontal="center" vertical="center"/>
    </xf>
    <xf fontId="5" fillId="3" borderId="162" numFmtId="0" xfId="0" applyFont="1" applyFill="1" applyBorder="1" applyAlignment="1">
      <alignment horizontal="center" vertical="center"/>
    </xf>
    <xf fontId="11" fillId="2" borderId="0" numFmtId="0" xfId="0" applyFont="1" applyFill="1" applyAlignment="1">
      <alignment horizontal="center" vertical="center"/>
    </xf>
    <xf fontId="17" fillId="3" borderId="243" numFmtId="3" xfId="4" applyNumberFormat="1" applyFont="1" applyFill="1" applyBorder="1" applyAlignment="1">
      <alignment horizontal="center" vertical="center"/>
    </xf>
    <xf fontId="17" fillId="3" borderId="244" numFmtId="3" xfId="4" applyNumberFormat="1" applyFont="1" applyFill="1" applyBorder="1" applyAlignment="1">
      <alignment horizontal="center" vertical="center"/>
    </xf>
    <xf fontId="16" fillId="3" borderId="245" numFmtId="3" xfId="4" applyNumberFormat="1" applyFont="1" applyFill="1" applyBorder="1" applyAlignment="1">
      <alignment horizontal="center" vertical="center"/>
    </xf>
    <xf fontId="16" fillId="3" borderId="246" numFmtId="3" xfId="4" applyNumberFormat="1" applyFont="1" applyFill="1" applyBorder="1" applyAlignment="1">
      <alignment horizontal="center" vertical="center"/>
    </xf>
    <xf fontId="17" fillId="0" borderId="224" numFmtId="1" xfId="4" applyNumberFormat="1" applyFont="1" applyBorder="1" applyAlignment="1">
      <alignment horizontal="center" vertical="center"/>
    </xf>
    <xf fontId="17" fillId="0" borderId="39" numFmtId="1" xfId="4" applyNumberFormat="1" applyFont="1" applyBorder="1" applyAlignment="1">
      <alignment horizontal="center" vertical="center"/>
    </xf>
    <xf fontId="17" fillId="0" borderId="141" numFmtId="1" xfId="4" applyNumberFormat="1" applyFont="1" applyBorder="1" applyAlignment="1">
      <alignment vertical="center" wrapText="1"/>
    </xf>
    <xf fontId="17" fillId="0" borderId="139" numFmtId="1" xfId="4" applyNumberFormat="1" applyFont="1" applyBorder="1" applyAlignment="1">
      <alignment vertical="center" wrapText="1"/>
    </xf>
    <xf fontId="17" fillId="0" borderId="225" numFmtId="1" xfId="4" applyNumberFormat="1" applyFont="1" applyBorder="1" applyAlignment="1">
      <alignment horizontal="center" vertical="center"/>
    </xf>
    <xf fontId="17" fillId="0" borderId="67" numFmtId="1" xfId="4" applyNumberFormat="1" applyFont="1" applyBorder="1" applyAlignment="1">
      <alignment horizontal="center" vertical="center"/>
    </xf>
    <xf fontId="17" fillId="0" borderId="150" numFmtId="1" xfId="4" applyNumberFormat="1" applyFont="1" applyBorder="1" applyAlignment="1">
      <alignment vertical="center" wrapText="1"/>
    </xf>
    <xf fontId="17" fillId="0" borderId="148" numFmtId="1" xfId="4" applyNumberFormat="1" applyFont="1" applyBorder="1" applyAlignment="1">
      <alignment vertical="center" wrapText="1"/>
    </xf>
    <xf fontId="14" fillId="2" borderId="184" numFmtId="0" xfId="0" applyFont="1" applyFill="1" applyBorder="1" applyAlignment="1">
      <alignment horizontal="center" vertical="center" wrapText="1"/>
    </xf>
    <xf fontId="14" fillId="2" borderId="186" numFmtId="0" xfId="0" applyFont="1" applyFill="1" applyBorder="1" applyAlignment="1">
      <alignment horizontal="center" vertical="center" wrapText="1"/>
    </xf>
    <xf fontId="14" fillId="2" borderId="187" numFmtId="0" xfId="0" applyFont="1" applyFill="1" applyBorder="1" applyAlignment="1">
      <alignment horizontal="center" vertical="center" wrapText="1"/>
    </xf>
    <xf fontId="9" fillId="0" borderId="0" numFmtId="0" xfId="0" applyFont="1" applyAlignment="1">
      <alignment horizontal="left" vertical="center"/>
    </xf>
    <xf fontId="20" fillId="2" borderId="3" numFmtId="0" xfId="0" applyFont="1" applyFill="1" applyBorder="1" applyAlignment="1">
      <alignment horizontal="left" vertical="center"/>
    </xf>
    <xf fontId="21" fillId="3" borderId="247" numFmtId="0" xfId="0" applyFont="1" applyFill="1" applyBorder="1" applyAlignment="1">
      <alignment vertical="center"/>
    </xf>
    <xf fontId="21" fillId="3" borderId="248" numFmtId="0" xfId="0" applyFont="1" applyFill="1" applyBorder="1" applyAlignment="1">
      <alignment vertical="center"/>
    </xf>
    <xf fontId="19" fillId="3" borderId="248" numFmtId="0" xfId="0" applyFont="1" applyFill="1" applyBorder="1" applyAlignment="1">
      <alignment vertical="center"/>
    </xf>
    <xf fontId="19" fillId="3" borderId="249" numFmtId="0" xfId="0" applyFont="1" applyFill="1" applyBorder="1" applyAlignment="1">
      <alignment vertical="center"/>
    </xf>
    <xf fontId="21" fillId="3" borderId="247" numFmtId="49" xfId="0" applyNumberFormat="1" applyFont="1" applyFill="1" applyBorder="1" applyAlignment="1">
      <alignment vertical="center"/>
    </xf>
    <xf fontId="21" fillId="3" borderId="249" numFmtId="0" xfId="0" applyFont="1" applyFill="1" applyBorder="1" applyAlignment="1">
      <alignment vertical="center"/>
    </xf>
    <xf fontId="19" fillId="2" borderId="3" numFmtId="0" xfId="0" applyFont="1" applyFill="1" applyBorder="1" applyAlignment="1">
      <alignment vertical="center"/>
    </xf>
    <xf fontId="21" fillId="2" borderId="227" numFmtId="0" xfId="0" applyFont="1" applyFill="1" applyBorder="1" applyAlignment="1">
      <alignment vertical="center"/>
    </xf>
    <xf fontId="21" fillId="2" borderId="250" numFmtId="0" xfId="0" applyFont="1" applyFill="1" applyBorder="1" applyAlignment="1">
      <alignment vertical="center"/>
    </xf>
    <xf fontId="21" fillId="2" borderId="226" numFmtId="0" xfId="0" applyFont="1" applyFill="1" applyBorder="1" applyAlignment="1">
      <alignment vertical="center"/>
    </xf>
    <xf fontId="21" fillId="2" borderId="251" numFmtId="0" xfId="0" applyFont="1" applyFill="1" applyBorder="1" applyAlignment="1">
      <alignment vertical="center"/>
    </xf>
    <xf fontId="21" fillId="2" borderId="252" numFmtId="0" xfId="0" applyFont="1" applyFill="1" applyBorder="1" applyAlignment="1">
      <alignment vertical="center"/>
    </xf>
    <xf fontId="19" fillId="2" borderId="252" numFmtId="0" xfId="0" applyFont="1" applyFill="1" applyBorder="1" applyAlignment="1">
      <alignment vertical="center"/>
    </xf>
    <xf fontId="19" fillId="2" borderId="253" numFmtId="0" xfId="0" applyFont="1" applyFill="1" applyBorder="1" applyAlignment="1">
      <alignment vertical="center"/>
    </xf>
    <xf fontId="23" fillId="2" borderId="254" numFmtId="0" xfId="0" applyFont="1" applyFill="1" applyBorder="1" applyAlignment="1">
      <alignment horizontal="center" vertical="center" wrapText="1"/>
    </xf>
    <xf fontId="24" fillId="2" borderId="92" numFmtId="0" xfId="0" applyFont="1" applyFill="1" applyBorder="1" applyAlignment="1">
      <alignment horizontal="center" vertical="center" wrapText="1"/>
    </xf>
    <xf fontId="20" fillId="2" borderId="82" numFmtId="0" xfId="0" applyFont="1" applyFill="1" applyBorder="1" applyAlignment="1">
      <alignment horizontal="left" vertical="center"/>
    </xf>
    <xf fontId="20" fillId="2" borderId="92" numFmtId="0" xfId="0" applyFont="1" applyFill="1" applyBorder="1" applyAlignment="1">
      <alignment horizontal="center" vertical="center" wrapText="1"/>
    </xf>
    <xf fontId="20" fillId="2" borderId="255" numFmtId="0" xfId="0" applyFont="1" applyFill="1" applyBorder="1" applyAlignment="1">
      <alignment horizontal="center" vertical="center"/>
    </xf>
    <xf fontId="20" fillId="2" borderId="256" numFmtId="0" xfId="0" applyFont="1" applyFill="1" applyBorder="1" applyAlignment="1">
      <alignment horizontal="center" vertical="center"/>
    </xf>
    <xf fontId="20" fillId="2" borderId="257" numFmtId="0" xfId="0" applyFont="1" applyFill="1" applyBorder="1" applyAlignment="1">
      <alignment horizontal="center" vertical="center"/>
    </xf>
    <xf fontId="21" fillId="0" borderId="232" numFmtId="0" xfId="0" applyFont="1" applyBorder="1" applyAlignment="1">
      <alignment horizontal="center" vertical="center"/>
    </xf>
    <xf fontId="21" fillId="0" borderId="258" numFmtId="0" xfId="0" applyFont="1" applyBorder="1" applyAlignment="1">
      <alignment horizontal="center" vertical="center"/>
    </xf>
    <xf fontId="20" fillId="2" borderId="259" numFmtId="0" xfId="0" applyFont="1" applyFill="1" applyBorder="1" applyAlignment="1">
      <alignment horizontal="center" vertical="center"/>
    </xf>
    <xf fontId="24" fillId="3" borderId="111" numFmtId="0" xfId="0" applyFont="1" applyFill="1" applyBorder="1" applyAlignment="1">
      <alignment horizontal="center" vertical="center"/>
    </xf>
    <xf fontId="26" fillId="3" borderId="193" numFmtId="1" xfId="4" applyNumberFormat="1" applyFont="1" applyFill="1" applyBorder="1" applyAlignment="1">
      <alignment horizontal="center" vertical="center"/>
    </xf>
    <xf fontId="26" fillId="3" borderId="194" numFmtId="1" xfId="4" applyNumberFormat="1" applyFont="1" applyFill="1" applyBorder="1" applyAlignment="1">
      <alignment vertical="center" wrapText="1"/>
    </xf>
    <xf fontId="26" fillId="3" borderId="171" numFmtId="1" xfId="4" applyNumberFormat="1" applyFont="1" applyFill="1" applyBorder="1" applyAlignment="1">
      <alignment vertical="center" wrapText="1"/>
    </xf>
    <xf fontId="21" fillId="0" borderId="236" numFmtId="0" xfId="0" applyFont="1" applyBorder="1" applyAlignment="1">
      <alignment horizontal="center" vertical="center"/>
    </xf>
    <xf fontId="21" fillId="0" borderId="260" numFmtId="0" xfId="0" applyFont="1" applyBorder="1" applyAlignment="1">
      <alignment horizontal="center" vertical="center"/>
    </xf>
    <xf fontId="20" fillId="2" borderId="261" numFmtId="0" xfId="0" applyFont="1" applyFill="1" applyBorder="1" applyAlignment="1">
      <alignment horizontal="center" vertical="center"/>
    </xf>
    <xf fontId="24" fillId="3" borderId="123" numFmtId="0" xfId="0" applyFont="1" applyFill="1" applyBorder="1" applyAlignment="1">
      <alignment horizontal="center" vertical="center"/>
    </xf>
    <xf fontId="26" fillId="3" borderId="195" numFmtId="1" xfId="4" applyNumberFormat="1" applyFont="1" applyFill="1" applyBorder="1" applyAlignment="1">
      <alignment horizontal="center" vertical="center"/>
    </xf>
    <xf fontId="26" fillId="3" borderId="196" numFmtId="1" xfId="4" applyNumberFormat="1" applyFont="1" applyFill="1" applyBorder="1" applyAlignment="1">
      <alignment vertical="center" wrapText="1"/>
    </xf>
    <xf fontId="26" fillId="3" borderId="174" numFmtId="1" xfId="4" applyNumberFormat="1" applyFont="1" applyFill="1" applyBorder="1" applyAlignment="1">
      <alignment vertical="center" wrapText="1"/>
    </xf>
    <xf fontId="21" fillId="0" borderId="240" numFmtId="0" xfId="0" applyFont="1" applyBorder="1" applyAlignment="1">
      <alignment horizontal="center" vertical="center"/>
    </xf>
    <xf fontId="21" fillId="0" borderId="262" numFmtId="0" xfId="0" applyFont="1" applyBorder="1" applyAlignment="1">
      <alignment horizontal="center" vertical="center"/>
    </xf>
    <xf fontId="20" fillId="2" borderId="263" numFmtId="0" xfId="0" applyFont="1" applyFill="1" applyBorder="1" applyAlignment="1">
      <alignment horizontal="center" vertical="center"/>
    </xf>
    <xf fontId="24" fillId="3" borderId="178" numFmtId="0" xfId="0" applyFont="1" applyFill="1" applyBorder="1" applyAlignment="1">
      <alignment horizontal="center" vertical="center"/>
    </xf>
    <xf fontId="26" fillId="3" borderId="264" numFmtId="1" xfId="4" applyNumberFormat="1" applyFont="1" applyFill="1" applyBorder="1" applyAlignment="1">
      <alignment horizontal="center" vertical="center"/>
    </xf>
    <xf fontId="26" fillId="3" borderId="223" numFmtId="1" xfId="4" applyNumberFormat="1" applyFont="1" applyFill="1" applyBorder="1" applyAlignment="1">
      <alignment vertical="center" wrapText="1"/>
    </xf>
    <xf fontId="26" fillId="3" borderId="177" numFmtId="1" xfId="4" applyNumberFormat="1" applyFont="1" applyFill="1" applyBorder="1" applyAlignment="1">
      <alignment vertical="center" wrapText="1"/>
    </xf>
    <xf fontId="20" fillId="0" borderId="180" numFmtId="0" xfId="0" applyFont="1" applyBorder="1" applyAlignment="1">
      <alignment horizontal="center" vertical="center"/>
    </xf>
    <xf fontId="20" fillId="0" borderId="265" numFmtId="0" xfId="0" applyFont="1" applyBorder="1" applyAlignment="1">
      <alignment horizontal="center" vertical="center"/>
    </xf>
    <xf fontId="20" fillId="2" borderId="265" numFmtId="0" xfId="0" applyFont="1" applyFill="1" applyBorder="1" applyAlignment="1">
      <alignment horizontal="center" vertical="center"/>
    </xf>
    <xf fontId="24" fillId="3" borderId="36" numFmtId="0" xfId="0" applyFont="1" applyFill="1" applyBorder="1" applyAlignment="1">
      <alignment horizontal="center" vertical="center"/>
    </xf>
    <xf fontId="26" fillId="3" borderId="146" numFmtId="1" xfId="4" applyNumberFormat="1" applyFont="1" applyFill="1" applyBorder="1" applyAlignment="1">
      <alignment horizontal="center" vertical="center"/>
    </xf>
    <xf fontId="26" fillId="3" borderId="141" numFmtId="1" xfId="4" applyNumberFormat="1" applyFont="1" applyFill="1" applyBorder="1" applyAlignment="1">
      <alignment vertical="center" wrapText="1"/>
    </xf>
    <xf fontId="26" fillId="3" borderId="139" numFmtId="1" xfId="4" applyNumberFormat="1" applyFont="1" applyFill="1" applyBorder="1" applyAlignment="1">
      <alignment vertical="center" wrapText="1"/>
    </xf>
    <xf fontId="20" fillId="0" borderId="182" numFmtId="0" xfId="0" applyFont="1" applyBorder="1" applyAlignment="1">
      <alignment horizontal="center" vertical="center"/>
    </xf>
    <xf fontId="20" fillId="0" borderId="266" numFmtId="0" xfId="0" applyFont="1" applyBorder="1" applyAlignment="1">
      <alignment horizontal="center" vertical="center"/>
    </xf>
    <xf fontId="20" fillId="2" borderId="266" numFmtId="0" xfId="0" applyFont="1" applyFill="1" applyBorder="1" applyAlignment="1">
      <alignment horizontal="center" vertical="center"/>
    </xf>
    <xf fontId="24" fillId="3" borderId="64" numFmtId="0" xfId="0" applyFont="1" applyFill="1" applyBorder="1" applyAlignment="1">
      <alignment horizontal="center" vertical="center"/>
    </xf>
    <xf fontId="26" fillId="3" borderId="155" numFmtId="1" xfId="4" applyNumberFormat="1" applyFont="1" applyFill="1" applyBorder="1" applyAlignment="1">
      <alignment horizontal="center" vertical="center"/>
    </xf>
    <xf fontId="26" fillId="3" borderId="150" numFmtId="1" xfId="4" applyNumberFormat="1" applyFont="1" applyFill="1" applyBorder="1" applyAlignment="1">
      <alignment vertical="center" wrapText="1"/>
    </xf>
    <xf fontId="26" fillId="3" borderId="148" numFmtId="1" xfId="4" applyNumberFormat="1" applyFont="1" applyFill="1" applyBorder="1" applyAlignment="1">
      <alignment vertical="center" wrapText="1"/>
    </xf>
    <xf fontId="8" fillId="2" borderId="242" numFmtId="0" xfId="0" applyFont="1" applyFill="1" applyBorder="1" applyAlignment="1">
      <alignment horizontal="center" vertical="center" wrapText="1"/>
    </xf>
    <xf fontId="8" fillId="2" borderId="86" numFmtId="0" xfId="0" applyFont="1" applyFill="1" applyBorder="1" applyAlignment="1">
      <alignment horizontal="center" vertical="center" wrapText="1"/>
    </xf>
    <xf fontId="4" fillId="2" borderId="5" numFmtId="0" xfId="0" applyFont="1" applyFill="1" applyBorder="1" applyAlignment="1">
      <alignment horizontal="left" vertical="center"/>
    </xf>
    <xf fontId="6" fillId="3" borderId="267" numFmtId="0" xfId="0" applyFont="1" applyFill="1" applyBorder="1" applyAlignment="1">
      <alignment vertical="center"/>
    </xf>
    <xf fontId="5" fillId="3" borderId="267" numFmtId="0" xfId="0" applyFont="1" applyFill="1" applyBorder="1" applyAlignment="1">
      <alignment vertical="center"/>
    </xf>
    <xf fontId="5" fillId="2" borderId="5" numFmtId="0" xfId="0" applyFont="1" applyFill="1" applyBorder="1" applyAlignment="1">
      <alignment vertical="center"/>
    </xf>
    <xf fontId="6" fillId="2" borderId="5" numFmtId="0" xfId="0" applyFont="1" applyFill="1" applyBorder="1" applyAlignment="1">
      <alignment vertical="center"/>
    </xf>
    <xf fontId="4" fillId="2" borderId="268" numFmtId="0" xfId="0" applyFont="1" applyFill="1" applyBorder="1" applyAlignment="1">
      <alignment horizontal="left" vertical="center"/>
    </xf>
    <xf fontId="4" fillId="2" borderId="269" numFmtId="0" xfId="0" applyFont="1" applyFill="1" applyBorder="1" applyAlignment="1">
      <alignment horizontal="right" vertical="center"/>
    </xf>
    <xf fontId="5" fillId="2" borderId="4" numFmtId="0" xfId="0" applyFont="1" applyFill="1" applyBorder="1" applyAlignment="1">
      <alignment vertical="center"/>
    </xf>
    <xf fontId="5" fillId="2" borderId="270" numFmtId="0" xfId="0" applyFont="1" applyFill="1" applyBorder="1" applyAlignment="1">
      <alignment vertical="center"/>
    </xf>
    <xf fontId="5" fillId="2" borderId="271" numFmtId="0" xfId="0" applyFont="1" applyFill="1" applyBorder="1" applyAlignment="1">
      <alignment vertical="center"/>
    </xf>
    <xf fontId="6" fillId="2" borderId="270" numFmtId="0" xfId="0" applyFont="1" applyFill="1" applyBorder="1" applyAlignment="1">
      <alignment vertical="center"/>
    </xf>
    <xf fontId="18" fillId="3" borderId="272" numFmtId="9" xfId="4" applyNumberFormat="1" applyFont="1" applyFill="1" applyBorder="1" applyAlignment="1">
      <alignment horizontal="center" vertical="center"/>
    </xf>
    <xf fontId="18" fillId="3" borderId="272" numFmtId="1" xfId="4" applyNumberFormat="1" applyFont="1" applyFill="1" applyBorder="1" applyAlignment="1">
      <alignment horizontal="center" vertical="center"/>
    </xf>
    <xf fontId="18" fillId="3" borderId="194" numFmtId="1" xfId="4" applyNumberFormat="1" applyFont="1" applyFill="1" applyBorder="1" applyAlignment="1">
      <alignment vertical="center" wrapText="1"/>
    </xf>
    <xf fontId="18" fillId="3" borderId="171" numFmtId="1" xfId="4" applyNumberFormat="1" applyFont="1" applyFill="1" applyBorder="1" applyAlignment="1">
      <alignment vertical="center" wrapText="1"/>
    </xf>
    <xf fontId="18" fillId="3" borderId="243" numFmtId="9" xfId="4" applyNumberFormat="1" applyFont="1" applyFill="1" applyBorder="1" applyAlignment="1">
      <alignment horizontal="center" vertical="center"/>
    </xf>
    <xf fontId="18" fillId="3" borderId="243" numFmtId="1" xfId="4" applyNumberFormat="1" applyFont="1" applyFill="1" applyBorder="1" applyAlignment="1">
      <alignment horizontal="center" vertical="center"/>
    </xf>
    <xf fontId="18" fillId="3" borderId="196" numFmtId="1" xfId="4" applyNumberFormat="1" applyFont="1" applyFill="1" applyBorder="1" applyAlignment="1">
      <alignment vertical="center" wrapText="1"/>
    </xf>
    <xf fontId="18" fillId="3" borderId="174" numFmtId="1" xfId="4" applyNumberFormat="1" applyFont="1" applyFill="1" applyBorder="1" applyAlignment="1">
      <alignment vertical="center" wrapText="1"/>
    </xf>
    <xf fontId="10" fillId="3" borderId="178" numFmtId="0" xfId="0" applyFont="1" applyFill="1" applyBorder="1" applyAlignment="1">
      <alignment horizontal="center" vertical="center"/>
    </xf>
    <xf fontId="18" fillId="3" borderId="273" numFmtId="9" xfId="4" applyNumberFormat="1" applyFont="1" applyFill="1" applyBorder="1" applyAlignment="1">
      <alignment horizontal="center" vertical="center"/>
    </xf>
    <xf fontId="18" fillId="3" borderId="273" numFmtId="1" xfId="4" applyNumberFormat="1" applyFont="1" applyFill="1" applyBorder="1" applyAlignment="1">
      <alignment horizontal="center" vertical="center"/>
    </xf>
    <xf fontId="18" fillId="3" borderId="264" numFmtId="1" xfId="4" applyNumberFormat="1" applyFont="1" applyFill="1" applyBorder="1" applyAlignment="1">
      <alignment horizontal="center" vertical="center"/>
    </xf>
    <xf fontId="18" fillId="3" borderId="223" numFmtId="1" xfId="4" applyNumberFormat="1" applyFont="1" applyFill="1" applyBorder="1" applyAlignment="1">
      <alignment vertical="center" wrapText="1"/>
    </xf>
    <xf fontId="18" fillId="3" borderId="177" numFmtId="1" xfId="4" applyNumberFormat="1" applyFont="1" applyFill="1" applyBorder="1" applyAlignment="1">
      <alignment vertical="center" wrapText="1"/>
    </xf>
    <xf fontId="18" fillId="3" borderId="146" numFmtId="1" xfId="4" applyNumberFormat="1" applyFont="1" applyFill="1" applyBorder="1" applyAlignment="1">
      <alignment vertical="center" wrapText="1"/>
    </xf>
    <xf fontId="18" fillId="3" borderId="141" numFmtId="1" xfId="4" applyNumberFormat="1" applyFont="1" applyFill="1" applyBorder="1" applyAlignment="1">
      <alignment vertical="center" wrapText="1"/>
    </xf>
    <xf fontId="18" fillId="3" borderId="139" numFmtId="1" xfId="4" applyNumberFormat="1" applyFont="1" applyFill="1" applyBorder="1" applyAlignment="1">
      <alignment vertical="center" wrapText="1"/>
    </xf>
    <xf fontId="10" fillId="3" borderId="64" numFmtId="0" xfId="0" applyFont="1" applyFill="1" applyBorder="1" applyAlignment="1">
      <alignment horizontal="center" vertical="center"/>
    </xf>
    <xf fontId="18" fillId="3" borderId="155" numFmtId="1" xfId="4" applyNumberFormat="1" applyFont="1" applyFill="1" applyBorder="1" applyAlignment="1">
      <alignment horizontal="center" vertical="center"/>
    </xf>
    <xf fontId="18" fillId="3" borderId="150" numFmtId="1" xfId="4" applyNumberFormat="1" applyFont="1" applyFill="1" applyBorder="1" applyAlignment="1">
      <alignment vertical="center" wrapText="1"/>
    </xf>
    <xf fontId="18" fillId="3" borderId="148" numFmtId="1" xfId="4" applyNumberFormat="1" applyFont="1" applyFill="1" applyBorder="1" applyAlignment="1">
      <alignment vertical="center" wrapText="1"/>
    </xf>
    <xf fontId="0" fillId="0" borderId="0" numFmtId="3" xfId="0" applyNumberFormat="1" applyAlignment="1">
      <alignment horizontal="center" vertical="center"/>
    </xf>
    <xf fontId="0" fillId="0" borderId="0" numFmtId="3" xfId="0" applyNumberFormat="1" applyAlignment="1">
      <alignment vertical="center"/>
    </xf>
    <xf fontId="14" fillId="0" borderId="0" numFmtId="0" xfId="0" applyFont="1" applyAlignment="1">
      <alignment vertical="center"/>
    </xf>
    <xf fontId="27" fillId="0" borderId="0" numFmtId="0" xfId="0" applyFont="1" applyAlignment="1">
      <alignment vertical="center"/>
    </xf>
    <xf fontId="28" fillId="7" borderId="274" numFmtId="0" xfId="0" applyFont="1" applyFill="1" applyBorder="1" applyAlignment="1">
      <alignment vertical="center"/>
    </xf>
    <xf fontId="27" fillId="2" borderId="275" numFmtId="0" xfId="0" applyFont="1" applyFill="1" applyBorder="1" applyAlignment="1">
      <alignment horizontal="center" vertical="center"/>
    </xf>
    <xf fontId="27" fillId="2" borderId="276" numFmtId="0" xfId="0" applyFont="1" applyFill="1" applyBorder="1" applyAlignment="1">
      <alignment horizontal="center" vertical="center"/>
    </xf>
    <xf fontId="27" fillId="2" borderId="277" numFmtId="3" xfId="0" applyNumberFormat="1" applyFont="1" applyFill="1" applyBorder="1" applyAlignment="1">
      <alignment horizontal="center" vertical="center" wrapText="1"/>
    </xf>
    <xf fontId="27" fillId="2" borderId="278" numFmtId="0" xfId="0" applyFont="1" applyFill="1" applyBorder="1" applyAlignment="1">
      <alignment horizontal="center" vertical="center"/>
    </xf>
    <xf fontId="27" fillId="2" borderId="278" numFmtId="0" xfId="0" applyFont="1" applyFill="1" applyBorder="1" applyAlignment="1">
      <alignment horizontal="center" vertical="center" wrapText="1"/>
    </xf>
    <xf fontId="27" fillId="2" borderId="276" numFmtId="0" xfId="0" applyFont="1" applyFill="1" applyBorder="1" applyAlignment="1">
      <alignment horizontal="center" vertical="center" wrapText="1"/>
    </xf>
    <xf fontId="27" fillId="2" borderId="279" numFmtId="0" xfId="0" applyFont="1" applyFill="1" applyBorder="1" applyAlignment="1">
      <alignment horizontal="center" vertical="center"/>
    </xf>
    <xf fontId="27" fillId="2" borderId="280" numFmtId="0" xfId="0" applyFont="1" applyFill="1" applyBorder="1" applyAlignment="1">
      <alignment vertical="center"/>
    </xf>
    <xf fontId="27" fillId="2" borderId="281" numFmtId="0" xfId="0" applyFont="1" applyFill="1" applyBorder="1" applyAlignment="1">
      <alignment horizontal="center" vertical="center"/>
    </xf>
    <xf fontId="27" fillId="2" borderId="282" numFmtId="0" xfId="0" applyFont="1" applyFill="1" applyBorder="1" applyAlignment="1">
      <alignment horizontal="center" vertical="center"/>
    </xf>
    <xf fontId="27" fillId="2" borderId="283" numFmtId="3" xfId="0" applyNumberFormat="1" applyFont="1" applyFill="1" applyBorder="1" applyAlignment="1">
      <alignment horizontal="center" vertical="center" wrapText="1"/>
    </xf>
    <xf fontId="27" fillId="2" borderId="284" numFmtId="0" xfId="0" applyFont="1" applyFill="1" applyBorder="1" applyAlignment="1">
      <alignment horizontal="center" vertical="center"/>
    </xf>
    <xf fontId="27" fillId="2" borderId="284" numFmtId="0" xfId="0" applyFont="1" applyFill="1" applyBorder="1" applyAlignment="1">
      <alignment horizontal="center" vertical="center" wrapText="1"/>
    </xf>
    <xf fontId="27" fillId="2" borderId="282" numFmtId="3" xfId="0" applyNumberFormat="1" applyFont="1" applyFill="1" applyBorder="1" applyAlignment="1">
      <alignment horizontal="center" vertical="center" wrapText="1"/>
    </xf>
    <xf fontId="27" fillId="2" borderId="285" numFmtId="3" xfId="0" applyNumberFormat="1" applyFont="1" applyFill="1" applyBorder="1" applyAlignment="1">
      <alignment horizontal="center" vertical="center" wrapText="1"/>
    </xf>
    <xf fontId="0" fillId="2" borderId="286" numFmtId="0" xfId="0" applyFill="1" applyBorder="1" applyAlignment="1">
      <alignment vertical="center"/>
    </xf>
    <xf fontId="0" fillId="0" borderId="287" numFmtId="0" xfId="0" applyBorder="1" applyAlignment="1">
      <alignment horizontal="center" vertical="center"/>
    </xf>
    <xf fontId="0" fillId="0" borderId="288" numFmtId="0" xfId="0" applyBorder="1" applyAlignment="1">
      <alignment horizontal="center" vertical="center"/>
    </xf>
    <xf fontId="0" fillId="3" borderId="289" numFmtId="3" xfId="0" applyNumberFormat="1" applyFill="1" applyBorder="1" applyAlignment="1">
      <alignment horizontal="center" vertical="center"/>
    </xf>
    <xf fontId="0" fillId="3" borderId="290" numFmtId="0" xfId="0" applyFill="1" applyBorder="1" applyAlignment="1">
      <alignment horizontal="center" vertical="center"/>
    </xf>
    <xf fontId="0" fillId="3" borderId="288" numFmtId="0" xfId="0" applyFill="1" applyBorder="1" applyAlignment="1">
      <alignment horizontal="center" vertical="center"/>
    </xf>
    <xf fontId="0" fillId="3" borderId="290" numFmtId="9" xfId="4" applyNumberFormat="1" applyFill="1" applyBorder="1" applyAlignment="1">
      <alignment horizontal="center" vertical="center"/>
    </xf>
    <xf fontId="0" fillId="3" borderId="288" numFmtId="3" xfId="0" applyNumberFormat="1" applyFill="1" applyBorder="1" applyAlignment="1">
      <alignment horizontal="center" vertical="center"/>
    </xf>
    <xf fontId="0" fillId="3" borderId="291" numFmtId="3" xfId="0" applyNumberFormat="1" applyFill="1" applyBorder="1" applyAlignment="1">
      <alignment horizontal="center" vertical="center"/>
    </xf>
    <xf fontId="0" fillId="2" borderId="292" numFmtId="0" xfId="0" applyFill="1" applyBorder="1" applyAlignment="1">
      <alignment vertical="center"/>
    </xf>
    <xf fontId="0" fillId="0" borderId="293" numFmtId="0" xfId="0" applyBorder="1" applyAlignment="1">
      <alignment horizontal="center" vertical="center"/>
    </xf>
    <xf fontId="0" fillId="0" borderId="294" numFmtId="0" xfId="0" applyBorder="1" applyAlignment="1">
      <alignment horizontal="center" vertical="center"/>
    </xf>
    <xf fontId="0" fillId="3" borderId="191" numFmtId="3" xfId="0" applyNumberFormat="1" applyFill="1" applyBorder="1" applyAlignment="1">
      <alignment horizontal="center" vertical="center"/>
    </xf>
    <xf fontId="0" fillId="3" borderId="295" numFmtId="0" xfId="0" applyFill="1" applyBorder="1" applyAlignment="1">
      <alignment horizontal="center" vertical="center"/>
    </xf>
    <xf fontId="0" fillId="3" borderId="294" numFmtId="0" xfId="0" applyFill="1" applyBorder="1" applyAlignment="1">
      <alignment horizontal="center" vertical="center"/>
    </xf>
    <xf fontId="0" fillId="3" borderId="295" numFmtId="9" xfId="4" applyNumberFormat="1" applyFill="1" applyBorder="1" applyAlignment="1">
      <alignment horizontal="center" vertical="center"/>
    </xf>
    <xf fontId="0" fillId="3" borderId="294" numFmtId="3" xfId="0" applyNumberFormat="1" applyFill="1" applyBorder="1" applyAlignment="1">
      <alignment horizontal="center" vertical="center"/>
    </xf>
    <xf fontId="0" fillId="3" borderId="296" numFmtId="3" xfId="0" applyNumberFormat="1" applyFill="1" applyBorder="1" applyAlignment="1">
      <alignment horizontal="center" vertical="center"/>
    </xf>
    <xf fontId="19" fillId="2" borderId="292" numFmtId="0" xfId="0" applyFont="1" applyFill="1" applyBorder="1" applyAlignment="1">
      <alignment vertical="center"/>
    </xf>
    <xf fontId="19" fillId="3" borderId="191" numFmtId="3" xfId="0" applyNumberFormat="1" applyFont="1" applyFill="1" applyBorder="1" applyAlignment="1">
      <alignment horizontal="center" vertical="center"/>
    </xf>
    <xf fontId="19" fillId="3" borderId="295" numFmtId="0" xfId="0" applyFont="1" applyFill="1" applyBorder="1" applyAlignment="1">
      <alignment horizontal="center" vertical="center"/>
    </xf>
    <xf fontId="19" fillId="3" borderId="294" numFmtId="0" xfId="0" applyFont="1" applyFill="1" applyBorder="1" applyAlignment="1">
      <alignment horizontal="center" vertical="center"/>
    </xf>
    <xf fontId="19" fillId="3" borderId="295" numFmtId="9" xfId="4" applyNumberFormat="1" applyFont="1" applyFill="1" applyBorder="1" applyAlignment="1">
      <alignment horizontal="center" vertical="center"/>
    </xf>
    <xf fontId="19" fillId="3" borderId="294" numFmtId="3" xfId="0" applyNumberFormat="1" applyFont="1" applyFill="1" applyBorder="1" applyAlignment="1">
      <alignment horizontal="center" vertical="center"/>
    </xf>
    <xf fontId="19" fillId="3" borderId="296" numFmtId="3" xfId="0" applyNumberFormat="1" applyFont="1" applyFill="1" applyBorder="1" applyAlignment="1">
      <alignment horizontal="center" vertical="center"/>
    </xf>
    <xf fontId="6" fillId="2" borderId="292" numFmtId="0" xfId="0" applyFont="1" applyFill="1" applyBorder="1" applyAlignment="1">
      <alignment vertical="center"/>
    </xf>
    <xf fontId="6" fillId="0" borderId="293" numFmtId="0" xfId="0" applyFont="1" applyBorder="1" applyAlignment="1">
      <alignment horizontal="center" vertical="center"/>
    </xf>
    <xf fontId="6" fillId="0" borderId="294" numFmtId="0" xfId="0" applyFont="1" applyBorder="1" applyAlignment="1">
      <alignment horizontal="center" vertical="center"/>
    </xf>
    <xf fontId="6" fillId="3" borderId="191" numFmtId="3" xfId="0" applyNumberFormat="1" applyFont="1" applyFill="1" applyBorder="1" applyAlignment="1">
      <alignment horizontal="center" vertical="center"/>
    </xf>
    <xf fontId="6" fillId="3" borderId="295" numFmtId="0" xfId="0" applyFont="1" applyFill="1" applyBorder="1" applyAlignment="1">
      <alignment horizontal="center" vertical="center"/>
    </xf>
    <xf fontId="6" fillId="3" borderId="294" numFmtId="0" xfId="0" applyFont="1" applyFill="1" applyBorder="1" applyAlignment="1">
      <alignment horizontal="center" vertical="center"/>
    </xf>
    <xf fontId="6" fillId="3" borderId="295" numFmtId="9" xfId="4" applyNumberFormat="1" applyFont="1" applyFill="1" applyBorder="1" applyAlignment="1">
      <alignment horizontal="center" vertical="center"/>
    </xf>
    <xf fontId="6" fillId="3" borderId="294" numFmtId="3" xfId="0" applyNumberFormat="1" applyFont="1" applyFill="1" applyBorder="1" applyAlignment="1">
      <alignment horizontal="center" vertical="center"/>
    </xf>
    <xf fontId="6" fillId="3" borderId="296" numFmtId="3" xfId="0" applyNumberFormat="1" applyFont="1" applyFill="1" applyBorder="1" applyAlignment="1">
      <alignment horizontal="center" vertical="center"/>
    </xf>
    <xf fontId="6" fillId="2" borderId="297" numFmtId="0" xfId="0" applyFont="1" applyFill="1" applyBorder="1" applyAlignment="1">
      <alignment vertical="center"/>
    </xf>
    <xf fontId="6" fillId="0" borderId="298" numFmtId="0" xfId="0" applyFont="1" applyBorder="1" applyAlignment="1">
      <alignment horizontal="center" vertical="center"/>
    </xf>
    <xf fontId="6" fillId="0" borderId="299" numFmtId="0" xfId="0" applyFont="1" applyBorder="1" applyAlignment="1">
      <alignment horizontal="center" vertical="center"/>
    </xf>
    <xf fontId="6" fillId="3" borderId="300" numFmtId="3" xfId="0" applyNumberFormat="1" applyFont="1" applyFill="1" applyBorder="1" applyAlignment="1">
      <alignment horizontal="center" vertical="center"/>
    </xf>
    <xf fontId="6" fillId="3" borderId="301" numFmtId="0" xfId="0" applyFont="1" applyFill="1" applyBorder="1" applyAlignment="1">
      <alignment horizontal="center" vertical="center"/>
    </xf>
    <xf fontId="6" fillId="3" borderId="299" numFmtId="0" xfId="0" applyFont="1" applyFill="1" applyBorder="1" applyAlignment="1">
      <alignment horizontal="center" vertical="center"/>
    </xf>
    <xf fontId="6" fillId="3" borderId="301" numFmtId="9" xfId="4" applyNumberFormat="1" applyFont="1" applyFill="1" applyBorder="1" applyAlignment="1">
      <alignment horizontal="center" vertical="center"/>
    </xf>
    <xf fontId="6" fillId="3" borderId="299" numFmtId="3" xfId="0" applyNumberFormat="1" applyFont="1" applyFill="1" applyBorder="1" applyAlignment="1">
      <alignment horizontal="center" vertical="center"/>
    </xf>
    <xf fontId="6" fillId="3" borderId="302" numFmtId="3" xfId="0" applyNumberFormat="1" applyFont="1" applyFill="1" applyBorder="1" applyAlignment="1">
      <alignment horizontal="center" vertical="center"/>
    </xf>
    <xf fontId="27" fillId="2" borderId="303" numFmtId="0" xfId="0" applyFont="1" applyFill="1" applyBorder="1" applyAlignment="1">
      <alignment vertical="center"/>
    </xf>
    <xf fontId="27" fillId="0" borderId="304" numFmtId="0" xfId="0" applyFont="1" applyBorder="1" applyAlignment="1">
      <alignment horizontal="center" vertical="center"/>
    </xf>
    <xf fontId="27" fillId="0" borderId="305" numFmtId="0" xfId="0" applyFont="1" applyBorder="1" applyAlignment="1">
      <alignment horizontal="center" vertical="center"/>
    </xf>
    <xf fontId="27" fillId="3" borderId="306" numFmtId="3" xfId="0" applyNumberFormat="1" applyFont="1" applyFill="1" applyBorder="1" applyAlignment="1">
      <alignment horizontal="center" vertical="center"/>
    </xf>
    <xf fontId="27" fillId="3" borderId="307" numFmtId="3" xfId="0" applyNumberFormat="1" applyFont="1" applyFill="1" applyBorder="1" applyAlignment="1">
      <alignment horizontal="center" vertical="center"/>
    </xf>
    <xf fontId="27" fillId="3" borderId="305" numFmtId="0" xfId="0" applyFont="1" applyFill="1" applyBorder="1" applyAlignment="1">
      <alignment horizontal="center" vertical="center"/>
    </xf>
    <xf fontId="27" fillId="3" borderId="307" numFmtId="9" xfId="4" applyNumberFormat="1" applyFont="1" applyFill="1" applyBorder="1" applyAlignment="1">
      <alignment horizontal="center" vertical="center"/>
    </xf>
    <xf fontId="27" fillId="3" borderId="305" numFmtId="3" xfId="0" applyNumberFormat="1" applyFont="1" applyFill="1" applyBorder="1" applyAlignment="1">
      <alignment horizontal="center" vertical="center"/>
    </xf>
    <xf fontId="27" fillId="3" borderId="308" numFmtId="3" xfId="0" applyNumberFormat="1" applyFont="1" applyFill="1" applyBorder="1" applyAlignment="1">
      <alignment horizontal="center" vertical="center"/>
    </xf>
    <xf fontId="27" fillId="2" borderId="309" numFmtId="0" xfId="0" applyFont="1" applyFill="1" applyBorder="1" applyAlignment="1">
      <alignment vertical="center"/>
    </xf>
    <xf fontId="27" fillId="3" borderId="310" numFmtId="3" xfId="0" applyNumberFormat="1" applyFont="1" applyFill="1" applyBorder="1" applyAlignment="1">
      <alignment horizontal="center" vertical="center"/>
    </xf>
    <xf fontId="27" fillId="3" borderId="311" numFmtId="3" xfId="0" applyNumberFormat="1" applyFont="1" applyFill="1" applyBorder="1" applyAlignment="1">
      <alignment horizontal="center" vertical="center"/>
    </xf>
    <xf fontId="27" fillId="3" borderId="312" numFmtId="0" xfId="0" applyFont="1" applyFill="1" applyBorder="1" applyAlignment="1">
      <alignment horizontal="center" vertical="center"/>
    </xf>
    <xf fontId="27" fillId="3" borderId="311" numFmtId="9" xfId="4" applyNumberFormat="1" applyFont="1" applyFill="1" applyBorder="1" applyAlignment="1">
      <alignment horizontal="center" vertical="center"/>
    </xf>
    <xf fontId="27" fillId="3" borderId="312" numFmtId="3" xfId="0" applyNumberFormat="1" applyFont="1" applyFill="1" applyBorder="1" applyAlignment="1">
      <alignment horizontal="center" vertical="center"/>
    </xf>
    <xf fontId="27" fillId="3" borderId="313" numFmtId="3" xfId="0" applyNumberFormat="1" applyFont="1" applyFill="1" applyBorder="1" applyAlignment="1">
      <alignment horizontal="center" vertical="center"/>
    </xf>
    <xf fontId="27" fillId="2" borderId="314" numFmtId="0" xfId="0" applyFont="1" applyFill="1" applyBorder="1" applyAlignment="1">
      <alignment vertical="center"/>
    </xf>
    <xf fontId="27" fillId="3" borderId="315" numFmtId="9" xfId="4" applyNumberFormat="1" applyFont="1" applyFill="1" applyBorder="1" applyAlignment="1">
      <alignment horizontal="center" vertical="center"/>
    </xf>
    <xf fontId="27" fillId="3" borderId="316" numFmtId="9" xfId="4" applyNumberFormat="1" applyFont="1" applyFill="1" applyBorder="1" applyAlignment="1">
      <alignment horizontal="center" vertical="center"/>
    </xf>
    <xf fontId="27" fillId="3" borderId="317" numFmtId="9" xfId="4" applyNumberFormat="1" applyFont="1" applyFill="1" applyBorder="1" applyAlignment="1">
      <alignment horizontal="center" vertical="center"/>
    </xf>
    <xf fontId="27" fillId="3" borderId="318" numFmtId="9" xfId="4" applyNumberFormat="1" applyFont="1" applyFill="1" applyBorder="1" applyAlignment="1">
      <alignment horizontal="center" vertical="center"/>
    </xf>
    <xf fontId="0" fillId="0" borderId="0" numFmtId="9" xfId="4" applyNumberFormat="1" applyAlignment="1">
      <alignment horizontal="center" vertical="center"/>
    </xf>
    <xf fontId="2" fillId="0" borderId="0" numFmtId="0" xfId="3" applyFont="1" applyAlignment="1">
      <alignment vertical="center"/>
    </xf>
    <xf fontId="29" fillId="3" borderId="0" numFmtId="0" xfId="3" applyFont="1" applyFill="1" applyAlignment="1">
      <alignment vertical="center"/>
    </xf>
    <xf fontId="30" fillId="8" borderId="319" numFmtId="0" xfId="3" applyFont="1" applyFill="1" applyBorder="1" applyAlignment="1">
      <alignment horizontal="center" vertical="center"/>
    </xf>
    <xf fontId="30" fillId="8" borderId="320" numFmtId="0" xfId="3" applyFont="1" applyFill="1" applyBorder="1" applyAlignment="1">
      <alignment horizontal="center" vertical="center"/>
    </xf>
    <xf fontId="30" fillId="8" borderId="321" numFmtId="0" xfId="3" applyFont="1" applyFill="1" applyBorder="1" applyAlignment="1">
      <alignment horizontal="center" vertical="center"/>
    </xf>
    <xf fontId="2" fillId="3" borderId="0" numFmtId="0" xfId="3" applyFont="1" applyFill="1" applyAlignment="1">
      <alignment vertical="center"/>
    </xf>
    <xf fontId="30" fillId="8" borderId="322" numFmtId="0" xfId="3" applyFont="1" applyFill="1" applyBorder="1" applyAlignment="1">
      <alignment vertical="center"/>
    </xf>
    <xf fontId="30" fillId="8" borderId="323" numFmtId="0" xfId="3" applyFont="1" applyFill="1" applyBorder="1" applyAlignment="1">
      <alignment vertical="center"/>
    </xf>
    <xf fontId="30" fillId="8" borderId="324" numFmtId="0" xfId="3" applyFont="1" applyFill="1" applyBorder="1" applyAlignment="1">
      <alignment vertical="center"/>
    </xf>
    <xf fontId="30" fillId="8" borderId="325" numFmtId="0" xfId="3" applyFont="1" applyFill="1" applyBorder="1" applyAlignment="1">
      <alignment vertical="center" wrapText="1"/>
    </xf>
    <xf fontId="29" fillId="3" borderId="326" numFmtId="0" xfId="3" applyFont="1" applyFill="1" applyBorder="1" applyAlignment="1">
      <alignment vertical="center"/>
    </xf>
    <xf fontId="29" fillId="3" borderId="327" numFmtId="0" xfId="3" applyFont="1" applyFill="1" applyBorder="1" applyAlignment="1">
      <alignment vertical="center"/>
    </xf>
    <xf fontId="29" fillId="3" borderId="328" numFmtId="0" xfId="3" applyFont="1" applyFill="1" applyBorder="1" applyAlignment="1">
      <alignment vertical="center"/>
    </xf>
    <xf fontId="30" fillId="8" borderId="329" numFmtId="0" xfId="3" applyFont="1" applyFill="1" applyBorder="1" applyAlignment="1">
      <alignment vertical="center" wrapText="1"/>
    </xf>
    <xf fontId="29" fillId="3" borderId="330" numFmtId="0" xfId="3" applyFont="1" applyFill="1" applyBorder="1" applyAlignment="1">
      <alignment vertical="center"/>
    </xf>
    <xf fontId="29" fillId="3" borderId="331" numFmtId="0" xfId="3" applyFont="1" applyFill="1" applyBorder="1" applyAlignment="1">
      <alignment vertical="center"/>
    </xf>
    <xf fontId="29" fillId="3" borderId="332" numFmtId="0" xfId="3" applyFont="1" applyFill="1" applyBorder="1" applyAlignment="1">
      <alignment vertical="center"/>
    </xf>
    <xf fontId="30" fillId="8" borderId="333" numFmtId="0" xfId="3" applyFont="1" applyFill="1" applyBorder="1" applyAlignment="1">
      <alignment vertical="center" wrapText="1"/>
    </xf>
    <xf fontId="29" fillId="3" borderId="334" numFmtId="0" xfId="3" applyFont="1" applyFill="1" applyBorder="1" applyAlignment="1">
      <alignment vertical="center"/>
    </xf>
    <xf fontId="29" fillId="3" borderId="335" numFmtId="0" xfId="3" applyFont="1" applyFill="1" applyBorder="1" applyAlignment="1">
      <alignment vertical="center"/>
    </xf>
    <xf fontId="29" fillId="3" borderId="336" numFmtId="0" xfId="3" applyFont="1" applyFill="1" applyBorder="1" applyAlignment="1">
      <alignment vertical="center"/>
    </xf>
  </cellXfs>
  <cellStyles count="7">
    <cellStyle name="Heading" xfId="1"/>
    <cellStyle name="Heading1" xfId="2"/>
    <cellStyle name="Normal" xfId="0" builtinId="0"/>
    <cellStyle name="Normal 2" xfId="3"/>
    <cellStyle name="Pourcentage" xfId="4" builtinId="5"/>
    <cellStyle name="Result" xfId="5"/>
    <cellStyle name="Result2" xfId="6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 Id="rId1" Type="http://schemas.openxmlformats.org/officeDocument/2006/relationships/externalLink" Target="externalLinks/externalLink1.xml"/><Relationship  Id="rId10" Type="http://schemas.openxmlformats.org/officeDocument/2006/relationships/worksheet" Target="worksheets/sheet8.xml"/><Relationship  Id="rId11" Type="http://schemas.openxmlformats.org/officeDocument/2006/relationships/worksheet" Target="worksheets/sheet9.xml"/><Relationship  Id="rId12" Type="http://schemas.openxmlformats.org/officeDocument/2006/relationships/worksheet" Target="worksheets/sheet10.xml"/><Relationship  Id="rId13" Type="http://schemas.openxmlformats.org/officeDocument/2006/relationships/worksheet" Target="worksheets/sheet11.xml"/><Relationship  Id="rId14" Type="http://schemas.openxmlformats.org/officeDocument/2006/relationships/worksheet" Target="worksheets/sheet12.xml"/><Relationship  Id="rId15" Type="http://schemas.openxmlformats.org/officeDocument/2006/relationships/worksheet" Target="worksheets/sheet13.xml"/><Relationship  Id="rId16" Type="http://schemas.openxmlformats.org/officeDocument/2006/relationships/worksheet" Target="worksheets/sheet14.xml"/><Relationship  Id="rId17" Type="http://schemas.openxmlformats.org/officeDocument/2006/relationships/theme" Target="theme/theme1.xml"/><Relationship  Id="rId18" Type="http://schemas.openxmlformats.org/officeDocument/2006/relationships/sharedStrings" Target="sharedStrings.xml"/><Relationship  Id="rId19" Type="http://schemas.openxmlformats.org/officeDocument/2006/relationships/styles" Target="styles.xml"/><Relationship  Id="rId2" Type="http://schemas.microsoft.com/office/2017/10/relationships/person" Target="persons/person.xml"/><Relationship  Id="rId3" Type="http://schemas.openxmlformats.org/officeDocument/2006/relationships/worksheet" Target="worksheets/sheet1.xml"/><Relationship  Id="rId4" Type="http://schemas.openxmlformats.org/officeDocument/2006/relationships/worksheet" Target="worksheets/sheet2.xml"/><Relationship  Id="rId5" Type="http://schemas.openxmlformats.org/officeDocument/2006/relationships/worksheet" Target="worksheets/sheet3.xml"/><Relationship  Id="rId6" Type="http://schemas.openxmlformats.org/officeDocument/2006/relationships/worksheet" Target="worksheets/sheet4.xml"/><Relationship  Id="rId7" Type="http://schemas.openxmlformats.org/officeDocument/2006/relationships/worksheet" Target="worksheets/sheet5.xml"/><Relationship  Id="rId8" Type="http://schemas.openxmlformats.org/officeDocument/2006/relationships/worksheet" Target="worksheets/sheet6.xml"/><Relationship  Id="rId9" Type="http://schemas.openxmlformats.org/officeDocument/2006/relationships/worksheet" Target="worksheets/sheet7.xml"/></Relationships>
</file>

<file path=xl/charts/_rels/chart1.xml.rels><?xml version="1.0" encoding="UTF-8" standalone="yes"?><Relationships xmlns="http://schemas.openxmlformats.org/package/2006/relationships"></Relationships>
</file>

<file path=xl/charts/_rels/chart2.xml.rels><?xml version="1.0" encoding="UTF-8" standalone="yes"?><Relationships xmlns="http://schemas.openxmlformats.org/package/2006/relationships"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mc="http://schemas.openxmlformats.org/markup-compatibility/2006" xmlns:c15="http://schemas.microsoft.com/office/drawing/2012/chart" xmlns:c14="http://schemas.microsoft.com/office/drawing/2007/8/2/chart" xmlns:c16r2="http://schemas.microsoft.com/office/drawing/2015/06/chart">
  <c:date1904 val="0"/>
  <c:lang val="fr-FR"/>
  <c:roundedCorners val="0"/>
  <mc:AlternateContent>
    <mc:Choice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fr-FR"/>
              <a:t>Total période</a:t>
            </a:r>
            <a:r>
              <a:rPr lang="fr-FR"/>
              <a:t> comptée</a:t>
            </a:r>
            <a:endParaRPr lang="fr-FR"/>
          </a:p>
        </c:rich>
      </c:tx>
      <c:layout>
        <c:manualLayout>
          <c:xMode val="edge"/>
          <c:yMode val="edge"/>
          <c:x val="0.258382"/>
          <c:y val="0.000000"/>
        </c:manualLayout>
      </c:layout>
      <c:overlay val="1"/>
    </c:title>
    <c:autoTitleDeleted val="0"/>
    <c:plotArea>
      <c:layout>
        <c:manualLayout>
          <c:layoutTarget val="inner"/>
          <c:xMode val="edge"/>
          <c:yMode val="edge"/>
          <c:x val="0.086072"/>
          <c:y val="0.153252"/>
          <c:w val="0.536941"/>
          <c:h val="0.730768"/>
        </c:manualLayout>
      </c:layout>
      <c:lineChart>
        <c:grouping val="standard"/>
        <c:varyColors val="0"/>
        <c:ser>
          <c:idx val="0"/>
          <c:order val="0"/>
          <c:tx>
            <c:strRef>
              <c:f>'Analyse sommaire'!$A$4</c:f>
              <c:strCache>
                <c:ptCount val="1"/>
                <c:pt idx="0">
                  <c:v>NB  total de cyclistes par année</c:v>
                </c:pt>
              </c:strCache>
            </c:strRef>
          </c:tx>
          <c:marker>
            <c:symbol val="none"/>
          </c:marker>
          <c:cat>
            <c:numRef>
              <c:f>'Analyse sommaire'!$B$2:$E$2</c:f>
              <c:numCache>
                <c:formatCode>General</c:formatCode>
                <c:ptCount val="4"/>
                <c:pt idx="0">
                  <c:v>2020</c:v>
                </c:pt>
                <c:pt idx="1">
                  <c:v>2021</c:v>
                </c:pt>
                <c:pt idx="2">
                  <c:v>2022</c:v>
                </c:pt>
                <c:pt idx="3">
                  <c:v>2023</c:v>
                </c:pt>
              </c:numCache>
            </c:numRef>
          </c:cat>
          <c:val>
            <c:numRef>
              <c:f>'Analyse sommaire'!$B$4:$E$4</c:f>
              <c:numCache>
                <c:formatCode>General</c:formatCode>
                <c:ptCount val="4"/>
                <c:pt idx="0">
                  <c:v>159</c:v>
                </c:pt>
                <c:pt idx="1">
                  <c:v>198</c:v>
                </c:pt>
                <c:pt idx="2">
                  <c:v>148</c:v>
                </c:pt>
                <c:pt idx="3">
                  <c:v>386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'Analyse sommaire'!$A$5</c:f>
              <c:strCache>
                <c:ptCount val="1"/>
                <c:pt idx="0">
                  <c:v>NB de cyclistes sur les 5 carrefours comptés chaque année</c:v>
                </c:pt>
              </c:strCache>
            </c:strRef>
          </c:tx>
          <c:marker>
            <c:symbol val="none"/>
          </c:marker>
          <c:cat>
            <c:numRef>
              <c:f>'Analyse sommaire'!$B$2:$E$2</c:f>
              <c:numCache>
                <c:formatCode>General</c:formatCode>
                <c:ptCount val="4"/>
                <c:pt idx="0">
                  <c:v>2020</c:v>
                </c:pt>
                <c:pt idx="1">
                  <c:v>2021</c:v>
                </c:pt>
                <c:pt idx="2">
                  <c:v>2022</c:v>
                </c:pt>
                <c:pt idx="3">
                  <c:v>2023</c:v>
                </c:pt>
              </c:numCache>
            </c:numRef>
          </c:cat>
          <c:val>
            <c:numRef>
              <c:f>'Analyse sommaire'!$B$5:$E$5</c:f>
              <c:numCache>
                <c:formatCode>General</c:formatCode>
                <c:ptCount val="4"/>
                <c:pt idx="0">
                  <c:v>117</c:v>
                </c:pt>
                <c:pt idx="1">
                  <c:v>145</c:v>
                </c:pt>
                <c:pt idx="2">
                  <c:v>137</c:v>
                </c:pt>
                <c:pt idx="3">
                  <c:v>233</c:v>
                </c:pt>
              </c:numCache>
            </c:numRef>
          </c:val>
          <c:smooth val="0"/>
        </c:ser>
        <c:dLbls>
          <c:showBubbleSize val="0"/>
          <c:showCatName val="0"/>
          <c:showLeaderLines val="0"/>
          <c:showLegendKey val="0"/>
          <c:showPercent val="0"/>
          <c:showSerName val="0"/>
          <c:showVal val="0"/>
        </c:dLbls>
        <c:marker val="1"/>
        <c:smooth val="0"/>
        <c:axId val="108552576"/>
        <c:axId val="108554112"/>
      </c:lineChart>
      <c:catAx>
        <c:axId val="108552576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108554112"/>
        <c:crosses val="autoZero"/>
        <c:auto val="1"/>
        <c:lblAlgn val="ctr"/>
        <c:lblOffset val="100"/>
        <c:noMultiLvlLbl val="0"/>
      </c:catAx>
      <c:valAx>
        <c:axId val="108554112"/>
        <c:scaling>
          <c:orientation val="minMax"/>
        </c:scaling>
        <c:delete val="0"/>
        <c:axPos val="l"/>
        <c:majorGridlines>
          <c:spPr bwMode="auto"/>
        </c:majorGridlines>
        <c:numFmt formatCode="General" sourceLinked="1"/>
        <c:majorTickMark val="out"/>
        <c:minorTickMark val="none"/>
        <c:tickLblPos val="nextTo"/>
        <c:crossAx val="108552576"/>
        <c:crosses val="autoZero"/>
        <c:crossBetween val="between"/>
      </c:valAx>
    </c:plotArea>
    <c:legend>
      <c:legendPos val="r"/>
      <c:layout/>
      <c:overlay val="0"/>
    </c:legend>
    <c:plotVisOnly val="1"/>
    <c:dispBlanksAs val="gap"/>
    <c:showDLblsOverMax val="0"/>
  </c:chart>
  <c:spPr bwMode="auto">
    <a:xfrm>
      <a:off x="0" y="0"/>
      <a:ext cx="0" cy="0"/>
    </a:xfrm>
  </c:spPr>
  <c:printSettings>
    <c:headerFooter/>
    <c:pageMargins l="0.69999999999999996" r="0.69999999999999996" t="0.75" b="0.75" header="0.29999999999999999" footer="0.29999999999999999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mc="http://schemas.openxmlformats.org/markup-compatibility/2006" xmlns:c15="http://schemas.microsoft.com/office/drawing/2012/chart" xmlns:c14="http://schemas.microsoft.com/office/drawing/2007/8/2/chart" xmlns:c16r2="http://schemas.microsoft.com/office/drawing/2015/06/chart">
  <c:date1904 val="0"/>
  <c:lang val="fr-FR"/>
  <c:roundedCorners val="0"/>
  <mc:AlternateContent>
    <mc:Choice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fr-FR"/>
              <a:t>Heure de pointe</a:t>
            </a:r>
            <a:endParaRPr/>
          </a:p>
        </c:rich>
      </c:tx>
      <c:layout>
        <c:manualLayout>
          <c:xMode val="edge"/>
          <c:yMode val="edge"/>
          <c:x val="0.324271"/>
          <c:y val="0.000000"/>
        </c:manualLayout>
      </c:layout>
      <c:overlay val="1"/>
    </c:title>
    <c:autoTitleDeleted val="0"/>
    <c:plotArea>
      <c:layout>
        <c:manualLayout>
          <c:layoutTarget val="inner"/>
          <c:xMode val="edge"/>
          <c:yMode val="edge"/>
          <c:x val="0.086072"/>
          <c:y val="0.153252"/>
          <c:w val="0.536941"/>
          <c:h val="0.730768"/>
        </c:manualLayout>
      </c:layout>
      <c:lineChart>
        <c:grouping val="standard"/>
        <c:varyColors val="0"/>
        <c:ser>
          <c:idx val="0"/>
          <c:order val="0"/>
          <c:tx>
            <c:strRef>
              <c:f>'Analyse sommaire'!$A$4</c:f>
              <c:strCache>
                <c:ptCount val="1"/>
                <c:pt idx="0">
                  <c:v>NB  total de cyclistes par année</c:v>
                </c:pt>
              </c:strCache>
            </c:strRef>
          </c:tx>
          <c:marker>
            <c:symbol val="none"/>
          </c:marker>
          <c:cat>
            <c:numRef>
              <c:f>'Analyse sommaire'!$H$2:$K$2</c:f>
              <c:numCache>
                <c:formatCode>General</c:formatCode>
                <c:ptCount val="4"/>
                <c:pt idx="0">
                  <c:v>2020</c:v>
                </c:pt>
                <c:pt idx="1">
                  <c:v>2021</c:v>
                </c:pt>
                <c:pt idx="2">
                  <c:v>2022</c:v>
                </c:pt>
                <c:pt idx="3">
                  <c:v>2023</c:v>
                </c:pt>
              </c:numCache>
            </c:numRef>
          </c:cat>
          <c:val>
            <c:numRef>
              <c:f>'Analyse sommaire'!$B$4:$E$4</c:f>
              <c:numCache>
                <c:formatCode>General</c:formatCode>
                <c:ptCount val="4"/>
                <c:pt idx="0">
                  <c:v>159</c:v>
                </c:pt>
                <c:pt idx="1">
                  <c:v>198</c:v>
                </c:pt>
                <c:pt idx="2">
                  <c:v>148</c:v>
                </c:pt>
                <c:pt idx="3">
                  <c:v>386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'Analyse sommaire'!$A$5</c:f>
              <c:strCache>
                <c:ptCount val="1"/>
                <c:pt idx="0">
                  <c:v>NB de cyclistes sur les 5 carrefours comptés chaque année</c:v>
                </c:pt>
              </c:strCache>
            </c:strRef>
          </c:tx>
          <c:marker>
            <c:symbol val="none"/>
          </c:marker>
          <c:cat>
            <c:numRef>
              <c:f>'Analyse sommaire'!$H$2:$K$2</c:f>
              <c:numCache>
                <c:formatCode>General</c:formatCode>
                <c:ptCount val="4"/>
                <c:pt idx="0">
                  <c:v>2020</c:v>
                </c:pt>
                <c:pt idx="1">
                  <c:v>2021</c:v>
                </c:pt>
                <c:pt idx="2">
                  <c:v>2022</c:v>
                </c:pt>
                <c:pt idx="3">
                  <c:v>2023</c:v>
                </c:pt>
              </c:numCache>
            </c:numRef>
          </c:cat>
          <c:val>
            <c:numRef>
              <c:f>'Analyse sommaire'!$H$5:$K$5</c:f>
              <c:numCache>
                <c:formatCode>General</c:formatCode>
                <c:ptCount val="4"/>
                <c:pt idx="0">
                  <c:v>67</c:v>
                </c:pt>
                <c:pt idx="1">
                  <c:v>91</c:v>
                </c:pt>
                <c:pt idx="2">
                  <c:v>89</c:v>
                </c:pt>
                <c:pt idx="3">
                  <c:v>145</c:v>
                </c:pt>
              </c:numCache>
            </c:numRef>
          </c:val>
          <c:smooth val="0"/>
        </c:ser>
        <c:dLbls>
          <c:showBubbleSize val="0"/>
          <c:showCatName val="0"/>
          <c:showLeaderLines val="0"/>
          <c:showLegendKey val="0"/>
          <c:showPercent val="0"/>
          <c:showSerName val="0"/>
          <c:showVal val="0"/>
        </c:dLbls>
        <c:marker val="1"/>
        <c:smooth val="0"/>
        <c:axId val="108580224"/>
        <c:axId val="108582016"/>
      </c:lineChart>
      <c:catAx>
        <c:axId val="108580224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108582016"/>
        <c:crosses val="autoZero"/>
        <c:auto val="1"/>
        <c:lblAlgn val="ctr"/>
        <c:lblOffset val="100"/>
        <c:noMultiLvlLbl val="0"/>
      </c:catAx>
      <c:valAx>
        <c:axId val="108582016"/>
        <c:scaling>
          <c:orientation val="minMax"/>
        </c:scaling>
        <c:delete val="0"/>
        <c:axPos val="l"/>
        <c:majorGridlines>
          <c:spPr bwMode="auto"/>
        </c:majorGridlines>
        <c:numFmt formatCode="General" sourceLinked="1"/>
        <c:majorTickMark val="out"/>
        <c:minorTickMark val="none"/>
        <c:tickLblPos val="nextTo"/>
        <c:crossAx val="108580224"/>
        <c:crosses val="autoZero"/>
        <c:crossBetween val="between"/>
      </c:valAx>
    </c:plotArea>
    <c:legend>
      <c:legendPos val="r"/>
      <c:layout/>
      <c:overlay val="0"/>
    </c:legend>
    <c:plotVisOnly val="1"/>
    <c:dispBlanksAs val="gap"/>
    <c:showDLblsOverMax val="0"/>
  </c:chart>
  <c:spPr bwMode="auto">
    <a:xfrm>
      <a:off x="0" y="0"/>
      <a:ext cx="0" cy="0"/>
    </a:xfrm>
  </c:spPr>
  <c:printSettings>
    <c:headerFooter/>
    <c:pageMargins l="0.69999999999999996" r="0.69999999999999996" t="0.75" b="0.75" header="0.29999999999999999" footer="0.29999999999999999"/>
    <c:pageSetup/>
  </c:printSettings>
</c:chartSpace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image" Target="../media/image1.emf"/></Relationships>
</file>

<file path=xl/drawings/_rels/drawing2.xml.rels><?xml version="1.0" encoding="UTF-8" standalone="yes"?><Relationships xmlns="http://schemas.openxmlformats.org/package/2006/relationships"><Relationship Id="rId1" Type="http://schemas.openxmlformats.org/officeDocument/2006/relationships/chart" Target="../charts/chart1.xml" /><Relationship Id="rId2" Type="http://schemas.openxmlformats.org/officeDocument/2006/relationships/chart" Target="../charts/chart2.xml" 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m="http://schemas.openxmlformats.org/officeDocument/2006/math" xmlns:w="http://schemas.openxmlformats.org/wordprocessingml/2006/main">
  <xdr:twoCellAnchor editAs="oneCell">
    <xdr:from>
      <xdr:col>19</xdr:col>
      <xdr:colOff>530678</xdr:colOff>
      <xdr:row>0</xdr:row>
      <xdr:rowOff>23813</xdr:rowOff>
    </xdr:from>
    <xdr:to>
      <xdr:col>25</xdr:col>
      <xdr:colOff>791996</xdr:colOff>
      <xdr:row>6</xdr:row>
      <xdr:rowOff>305670</xdr:rowOff>
    </xdr:to>
    <xdr:pic>
      <xdr:nvPicPr>
        <xdr:cNvPr id="2" name="Image 1"/>
        <xdr:cNvPicPr>
          <a:picLocks noChangeAspect="1" noChangeArrowheads="1"/>
        </xdr:cNvPicPr>
      </xdr:nvPicPr>
      <xdr:blipFill>
        <a:blip r:embed="rId1"/>
        <a:stretch/>
      </xdr:blipFill>
      <xdr:spPr bwMode="auto">
        <a:xfrm>
          <a:off x="16437429" y="23813"/>
          <a:ext cx="5261943" cy="3615607"/>
        </a:xfrm>
        <a:prstGeom prst="rect">
          <a:avLst/>
        </a:prstGeom>
        <a:noFill/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m="http://schemas.openxmlformats.org/officeDocument/2006/math" xmlns:w="http://schemas.openxmlformats.org/wordprocessingml/2006/main">
  <xdr:twoCellAnchor editAs="twoCell">
    <xdr:from>
      <xdr:col>0</xdr:col>
      <xdr:colOff>9525</xdr:colOff>
      <xdr:row>5</xdr:row>
      <xdr:rowOff>130968</xdr:rowOff>
    </xdr:from>
    <xdr:to>
      <xdr:col>4</xdr:col>
      <xdr:colOff>510988</xdr:colOff>
      <xdr:row>19</xdr:row>
      <xdr:rowOff>7327</xdr:rowOff>
    </xdr:to>
    <xdr:graphicFrame>
      <xdr:nvGraphicFramePr>
        <xdr:cNvPr id="2" name="Graphique 1"/>
        <xdr:cNvGraphicFramePr>
          <a:graphicFrameLocks xmlns:a="http://schemas.openxmlformats.org/drawingml/2006/main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twoCell">
    <xdr:from>
      <xdr:col>6</xdr:col>
      <xdr:colOff>5952</xdr:colOff>
      <xdr:row>5</xdr:row>
      <xdr:rowOff>130968</xdr:rowOff>
    </xdr:from>
    <xdr:to>
      <xdr:col>10</xdr:col>
      <xdr:colOff>511967</xdr:colOff>
      <xdr:row>19</xdr:row>
      <xdr:rowOff>1</xdr:rowOff>
    </xdr:to>
    <xdr:graphicFrame>
      <xdr:nvGraphicFramePr>
        <xdr:cNvPr id="3" name="Graphique 2"/>
        <xdr:cNvGraphicFramePr>
          <a:graphicFrameLocks xmlns:a="http://schemas.openxmlformats.org/drawingml/2006/main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externalLinks/_rels/externalLink1.xml.rels><?xml version="1.0" encoding="UTF-8" standalone="yes"?><Relationships xmlns="http://schemas.openxmlformats.org/package/2006/relationships"><Relationship  Id="rId1" Type="http://schemas.openxmlformats.org/officeDocument/2006/relationships/externalLinkPath" Target="/AERE%20&amp;%20Mairie/1.%20AERE%20&amp;%20collectifs/2.%20Collectif%20CICLABLE/2.%20Comptages%20v&#233;los/2022%20(mardi%2031%20mai)/1.%20Organisation%20comptages/Comptage%20v&#233;los%202022_AERE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J_Casino"/>
      <sheetName val="RE_Gare"/>
      <sheetName val="RE_ex-gendarmerie"/>
      <sheetName val="RE_Eglise"/>
      <sheetName val="RE_Foron"/>
      <sheetName val="RE_La Forge (gir.)"/>
      <sheetName val="RE_Fil Saisons"/>
      <sheetName val="ART_Lavage auto"/>
      <sheetName val="ETR_D2 (ex-PN93)"/>
      <sheetName val="ETR_Château"/>
      <sheetName val="SCI_Bellecombe"/>
      <sheetName val="AM_Coriandre"/>
      <sheetName val="SYNTHESE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>
        <row r="5">
          <cell r="E5">
            <v>50</v>
          </cell>
        </row>
        <row r="6">
          <cell r="E6">
            <v>26</v>
          </cell>
        </row>
        <row r="7">
          <cell r="E7" t="str">
            <v/>
          </cell>
        </row>
        <row r="8">
          <cell r="E8">
            <v>29</v>
          </cell>
        </row>
        <row r="9">
          <cell r="E9">
            <v>18</v>
          </cell>
        </row>
        <row r="10">
          <cell r="E10" t="str">
            <v/>
          </cell>
        </row>
        <row r="11">
          <cell r="E11">
            <v>14</v>
          </cell>
        </row>
        <row r="12">
          <cell r="E12" t="str">
            <v/>
          </cell>
        </row>
        <row r="13">
          <cell r="E13" t="str">
            <v/>
          </cell>
        </row>
        <row r="14">
          <cell r="E14">
            <v>11</v>
          </cell>
        </row>
        <row r="16">
          <cell r="E16">
            <v>148</v>
          </cell>
          <cell r="F16">
            <v>96</v>
          </cell>
          <cell r="G16" t="str">
            <v xml:space="preserve">de 7:00 à 8:00</v>
          </cell>
          <cell r="H16">
            <v>0.49324324324324326</v>
          </cell>
          <cell r="I16">
            <v>73</v>
          </cell>
          <cell r="J16">
            <v>0.22297297297297297</v>
          </cell>
          <cell r="K16">
            <v>33</v>
          </cell>
          <cell r="L16">
            <v>0.16216216216216217</v>
          </cell>
          <cell r="M16">
            <v>24</v>
          </cell>
          <cell r="N16">
            <v>0.77702702702702697</v>
          </cell>
          <cell r="O16">
            <v>115</v>
          </cell>
        </row>
      </sheetData>
    </sheetDataSet>
  </externalBook>
</externalLink>
</file>

<file path=xl/persons/person.xml><?xml version="1.0" encoding="utf-8"?>
<personList xmlns="http://schemas.microsoft.com/office/spreadsheetml/2018/threadedcomments" xmlns:x="http://schemas.openxmlformats.org/spreadsheetml/2006/main">
  <person displayName="Yannick ROGUET" id="{05A73368-A0FB-9885-21D9-EEFBB067484C}"/>
</personList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Arial"/>
        <a:cs typeface="Arial"/>
      </a:majorFont>
      <a:minorFont>
        <a:latin typeface="Calibri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/>
        </a:gradFill>
        <a:gradFill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/>
        </a:gradFill>
      </a:bgFillStyleLst>
    </a:fmtScheme>
  </a:themeElements>
  <a:objectDefaults/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P14" personId="{05A73368-A0FB-9885-21D9-EEFBB067484C}" id="{00A80037-000E-4D61-A172-007D00BA0000}" done="0">
    <text xml:space="preserve">+1T
</text>
  </threadedComment>
  <threadedComment ref="P15" personId="{05A73368-A0FB-9885-21D9-EEFBB067484C}" id="{00F80041-00D2-4FC8-8B18-00B2008A0041}" done="0">
    <text xml:space="preserve">+2T
</text>
  </threadedComment>
  <threadedComment ref="R16" personId="{05A73368-A0FB-9885-21D9-EEFBB067484C}" id="{00D60062-0002-48D8-A961-00EE008C00DA}" done="0">
    <text xml:space="preserve">+1T
</text>
  </threadedComment>
  <threadedComment ref="U19" personId="{05A73368-A0FB-9885-21D9-EEFBB067484C}" id="{00FF00B5-0009-41FF-A7A7-00E200890062}" done="0">
    <text xml:space="preserve">+1T
</text>
  </threadedComment>
</ThreadedComments>
</file>

<file path=xl/threadedComments/threadedComment2.xml><?xml version="1.0" encoding="utf-8"?>
<ThreadedComments xmlns="http://schemas.microsoft.com/office/spreadsheetml/2018/threadedcomments" xmlns:x="http://schemas.openxmlformats.org/spreadsheetml/2006/main">
  <threadedComment ref="Q12" personId="{05A73368-A0FB-9885-21D9-EEFBB067484C}" id="{008200CD-005B-4641-9E6C-0024003300C4}" done="0">
    <text xml:space="preserve">+1T
</text>
  </threadedComment>
  <threadedComment ref="G12" personId="{05A73368-A0FB-9885-21D9-EEFBB067484C}" id="{002B00A6-0016-4E51-A396-00D5007F00E5}" done="0">
    <text xml:space="preserve">+1T
</text>
  </threadedComment>
  <threadedComment ref="G14" personId="{05A73368-A0FB-9885-21D9-EEFBB067484C}" id="{00F80050-0028-4A96-B431-00C6009400A2}" done="0">
    <text xml:space="preserve">+1T
</text>
  </threadedComment>
  <threadedComment ref="X15" personId="{05A73368-A0FB-9885-21D9-EEFBB067484C}" id="{000000B0-00D6-423C-86D8-0020003300B2}" done="0">
    <text xml:space="preserve">+1T
</text>
  </threadedComment>
  <threadedComment ref="G15" personId="{05A73368-A0FB-9885-21D9-EEFBB067484C}" id="{001500CD-00F3-4F30-AF8C-002600D40009}" done="0">
    <text xml:space="preserve">+1T
</text>
  </threadedComment>
  <threadedComment ref="I18" personId="{05A73368-A0FB-9885-21D9-EEFBB067484C}" id="{005B00F0-0069-4EB9-A331-00C300A20073}" done="0">
    <text xml:space="preserve">+1T
</text>
  </threadedComment>
  <threadedComment ref="Z36" personId="{05A73368-A0FB-9885-21D9-EEFBB067484C}" id="{0090008B-0026-42DE-A9FA-00D600B600FD}" done="0">
    <text xml:space="preserve">+1T
</text>
  </threadedComment>
</ThreadedComments>
</file>

<file path=xl/threadedComments/threadedComment3.xml><?xml version="1.0" encoding="utf-8"?>
<ThreadedComments xmlns="http://schemas.microsoft.com/office/spreadsheetml/2018/threadedcomments" xmlns:x="http://schemas.openxmlformats.org/spreadsheetml/2006/main">
  <threadedComment ref="C13" personId="{05A73368-A0FB-9885-21D9-EEFBB067484C}" id="{008B0096-00F1-4082-9864-004100AC0059}" done="0">
    <text xml:space="preserve">1T
</text>
  </threadedComment>
  <threadedComment ref="P14" personId="{05A73368-A0FB-9885-21D9-EEFBB067484C}" id="{0023000B-00A2-4DB0-B619-00D500BC00C6}" done="0">
    <text xml:space="preserve">1T
</text>
  </threadedComment>
  <threadedComment ref="W16" personId="{05A73368-A0FB-9885-21D9-EEFBB067484C}" id="{00360059-00D7-4838-84A5-00E700CF0045}" done="0">
    <text xml:space="preserve">2TE + 2E
</text>
  </threadedComment>
  <threadedComment ref="C35" personId="{05A73368-A0FB-9885-21D9-EEFBB067484C}" id="{00AF00FC-0055-4F56-A148-00C9002F008D}" done="0">
    <text xml:space="preserve">1T
</text>
  </threadedComment>
  <threadedComment ref="J35" personId="{05A73368-A0FB-9885-21D9-EEFBB067484C}" id="{00F5000E-00DC-442F-BACD-0045003E0001}" done="0">
    <text xml:space="preserve">2E
</text>
  </threadedComment>
</ThreadedComments>
</file>

<file path=xl/threadedComments/threadedComment4.xml><?xml version="1.0" encoding="utf-8"?>
<ThreadedComments xmlns="http://schemas.microsoft.com/office/spreadsheetml/2018/threadedcomments" xmlns:x="http://schemas.openxmlformats.org/spreadsheetml/2006/main">
  <threadedComment ref="S36" personId="{05A73368-A0FB-9885-21D9-EEFBB067484C}" id="{00CB006B-00F7-4486-B142-00EB00E30098}" done="0">
    <text xml:space="preserve">+3 T
</text>
  </threadedComment>
  <threadedComment ref="S37" personId="{05A73368-A0FB-9885-21D9-EEFBB067484C}" id="{00B80034-0022-442A-A5C3-00C9005300C6}" done="0">
    <text xml:space="preserve">+2 T
</text>
  </threadedComment>
  <threadedComment ref="H37" personId="{05A73368-A0FB-9885-21D9-EEFBB067484C}" id="{00540057-0020-4B53-97CE-002400FE0052}" done="0">
    <text xml:space="preserve">+1 T
</text>
  </threadedComment>
</ThreadedComments>
</file>

<file path=xl/threadedComments/threadedComment5.xml><?xml version="1.0" encoding="utf-8"?>
<ThreadedComments xmlns="http://schemas.microsoft.com/office/spreadsheetml/2018/threadedcomments" xmlns:x="http://schemas.openxmlformats.org/spreadsheetml/2006/main">
  <threadedComment ref="G16" personId="{05A73368-A0FB-9885-21D9-EEFBB067484C}" id="{00110083-00E5-4F79-90C7-00D7009D005E}" done="0">
    <text xml:space="preserve">formule à remplir manuellement en fonction de la majorité de la colonne
</text>
  </threadedComment>
</ThreadedComments>
</file>

<file path=xl/worksheets/_rels/sheet2.xml.rels><?xml version="1.0" encoding="UTF-8" standalone="yes"?><Relationships xmlns="http://schemas.openxmlformats.org/package/2006/relationships"><Relationship  Id="rId1" Type="http://schemas.microsoft.com/office/2017/10/relationships/threadedComment" Target="../threadedComments/threadedComment1.xml"/><Relationship  Id="rId2" Type="http://schemas.openxmlformats.org/officeDocument/2006/relationships/comments" Target="../comments1.xml"/><Relationship  Id="rId3" Type="http://schemas.openxmlformats.org/officeDocument/2006/relationships/vmlDrawing" Target="../drawings/vmlDrawing1.vml"/></Relationships>
</file>

<file path=xl/worksheets/_rels/sheet3.xml.rels><?xml version="1.0" encoding="UTF-8" standalone="yes"?><Relationships xmlns="http://schemas.openxmlformats.org/package/2006/relationships"><Relationship  Id="rId1" Type="http://schemas.microsoft.com/office/2017/10/relationships/threadedComment" Target="../threadedComments/threadedComment2.xml"/><Relationship  Id="rId2" Type="http://schemas.openxmlformats.org/officeDocument/2006/relationships/comments" Target="../comments2.xml"/><Relationship  Id="rId3" Type="http://schemas.openxmlformats.org/officeDocument/2006/relationships/vmlDrawing" Target="../drawings/vmlDrawing2.vml"/></Relationships>
</file>

<file path=xl/worksheets/_rels/sheet4.xml.rels><?xml version="1.0" encoding="UTF-8" standalone="yes"?><Relationships xmlns="http://schemas.openxmlformats.org/package/2006/relationships"><Relationship  Id="rId1" Type="http://schemas.microsoft.com/office/2017/10/relationships/threadedComment" Target="../threadedComments/threadedComment3.xml"/><Relationship  Id="rId2" Type="http://schemas.openxmlformats.org/officeDocument/2006/relationships/comments" Target="../comments3.xml"/><Relationship  Id="rId3" Type="http://schemas.openxmlformats.org/officeDocument/2006/relationships/vmlDrawing" Target="../drawings/vmlDrawing3.vml"/></Relationships>
</file>

<file path=xl/worksheets/_rels/sheet8.xml.rels><?xml version="1.0" encoding="UTF-8" standalone="yes"?><Relationships xmlns="http://schemas.openxmlformats.org/package/2006/relationships"><Relationship  Id="rId1" Type="http://schemas.microsoft.com/office/2017/10/relationships/threadedComment" Target="../threadedComments/threadedComment4.xml"/><Relationship  Id="rId2" Type="http://schemas.openxmlformats.org/officeDocument/2006/relationships/comments" Target="../comments4.xml"/><Relationship  Id="rId3" Type="http://schemas.openxmlformats.org/officeDocument/2006/relationships/vmlDrawing" Target="../drawings/vmlDrawing4.vml"/></Relationships>
</file>

<file path=xl/worksheets/_rels/sheet12.xml.rels><?xml version="1.0" encoding="UTF-8" standalone="yes"?><Relationships xmlns="http://schemas.openxmlformats.org/package/2006/relationships"><Relationship  Id="rId1" Type="http://schemas.openxmlformats.org/officeDocument/2006/relationships/drawing" Target="../drawings/drawing1.xml"/></Relationships>
</file>

<file path=xl/worksheets/_rels/sheet13.xml.rels><?xml version="1.0" encoding="UTF-8" standalone="yes"?><Relationships xmlns="http://schemas.openxmlformats.org/package/2006/relationships"><Relationship  Id="rId1" Type="http://schemas.microsoft.com/office/2017/10/relationships/threadedComment" Target="../threadedComments/threadedComment5.xml"/><Relationship  Id="rId2" Type="http://schemas.openxmlformats.org/officeDocument/2006/relationships/comments" Target="../comments5.xml"/><Relationship  Id="rId3" Type="http://schemas.openxmlformats.org/officeDocument/2006/relationships/vmlDrawing" Target="../drawings/vmlDrawing5.vml"/></Relationships>
</file>

<file path=xl/worksheets/_rels/sheet14.xml.rels><?xml version="1.0" encoding="UTF-8" standalone="yes"?><Relationships xmlns="http://schemas.openxmlformats.org/package/2006/relationships"><Relationship 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tabColor rgb="FFF47CE3"/>
    <outlinePr applyStyles="0" summaryBelow="1" summaryRight="1" showOutlineSymbols="1"/>
    <pageSetUpPr autoPageBreaks="1" fitToPage="1"/>
  </sheetPr>
  <sheetViews>
    <sheetView view="pageBreakPreview" zoomScale="40" workbookViewId="0">
      <selection activeCell="AE20" activeCellId="0" sqref="AE20"/>
    </sheetView>
  </sheetViews>
  <sheetFormatPr baseColWidth="10" defaultRowHeight="14.25" outlineLevelRow="1"/>
  <cols>
    <col customWidth="1" min="1" max="1" style="1" width="9.125"/>
    <col customWidth="1" min="2" max="2" style="1" width="13.75"/>
    <col customWidth="1" min="3" max="14" style="1" width="12.875"/>
    <col customWidth="1" min="15" max="15" style="1" width="2.625"/>
    <col customWidth="1" min="16" max="27" style="1" width="12.875"/>
    <col customWidth="1" min="28" max="28" style="1" width="9.125"/>
    <col customWidth="1" min="29" max="29" style="1" width="13.75"/>
    <col customWidth="1" min="30" max="37" style="1" width="21.125"/>
    <col customWidth="1" min="38" max="38" style="1" width="82.625"/>
    <col customWidth="1" min="39" max="44" style="1" width="10.625"/>
    <col min="45" max="16384" style="1" width="11"/>
  </cols>
  <sheetData>
    <row r="1" ht="52.5" customHeight="1">
      <c r="A1" s="2" t="s">
        <v>0</v>
      </c>
      <c r="B1" s="3" t="s">
        <v>1</v>
      </c>
      <c r="C1" s="4"/>
      <c r="D1" s="4"/>
      <c r="E1" s="4"/>
      <c r="F1" s="5"/>
      <c r="G1" s="5"/>
      <c r="H1" s="4"/>
      <c r="I1" s="4"/>
      <c r="J1" s="5"/>
      <c r="K1" s="5"/>
      <c r="L1" s="6"/>
      <c r="M1" s="7" t="s">
        <v>2</v>
      </c>
      <c r="N1" s="8" t="s">
        <v>3</v>
      </c>
      <c r="O1" s="9"/>
      <c r="P1" s="4"/>
      <c r="Q1" s="4"/>
      <c r="R1" s="4"/>
      <c r="S1" s="4"/>
      <c r="T1" s="4"/>
      <c r="U1" s="4"/>
      <c r="V1" s="4"/>
      <c r="W1" s="10"/>
      <c r="X1" s="11"/>
      <c r="Y1" s="11"/>
      <c r="Z1" s="11"/>
      <c r="AA1" s="12"/>
    </row>
    <row r="2" ht="52.5" customHeight="1">
      <c r="A2" s="13" t="s">
        <v>4</v>
      </c>
      <c r="B2" s="14"/>
      <c r="C2" s="14"/>
      <c r="D2" s="14"/>
      <c r="E2" s="14"/>
      <c r="F2" s="14"/>
      <c r="G2" s="3" t="s">
        <v>5</v>
      </c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10"/>
      <c r="X2" s="14"/>
      <c r="Y2" s="14"/>
      <c r="Z2" s="14"/>
      <c r="AA2" s="14"/>
    </row>
    <row r="3" ht="52.5" customHeight="1">
      <c r="A3" s="13" t="s">
        <v>6</v>
      </c>
      <c r="B3" s="14"/>
      <c r="C3" s="3" t="s">
        <v>7</v>
      </c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10"/>
      <c r="X3" s="14"/>
      <c r="Y3" s="14"/>
      <c r="Z3" s="14"/>
      <c r="AA3" s="15"/>
    </row>
    <row r="4" ht="24.949999999999999" customHeight="1">
      <c r="A4" s="13"/>
      <c r="B4" s="14"/>
      <c r="C4" s="14"/>
      <c r="D4" s="14"/>
      <c r="E4" s="14"/>
      <c r="F4" s="14"/>
      <c r="G4" s="14"/>
      <c r="H4" s="14"/>
      <c r="I4" s="14"/>
      <c r="J4" s="14"/>
      <c r="K4" s="14"/>
      <c r="L4" s="14"/>
      <c r="M4" s="14"/>
      <c r="N4" s="14"/>
      <c r="O4" s="14"/>
      <c r="P4" s="14"/>
      <c r="Q4" s="14"/>
      <c r="R4" s="14"/>
      <c r="S4" s="14"/>
      <c r="T4" s="14"/>
      <c r="U4" s="14"/>
      <c r="V4" s="14"/>
      <c r="W4" s="14"/>
      <c r="X4" s="14"/>
      <c r="Y4" s="14"/>
      <c r="Z4" s="14"/>
      <c r="AA4" s="15"/>
    </row>
    <row r="5" s="16" customFormat="1" ht="75" customHeight="1">
      <c r="A5" s="17" t="s">
        <v>8</v>
      </c>
      <c r="B5" s="18"/>
      <c r="C5" s="19" t="s">
        <v>9</v>
      </c>
      <c r="D5" s="20"/>
      <c r="E5" s="20"/>
      <c r="F5" s="20"/>
      <c r="G5" s="20"/>
      <c r="H5" s="20"/>
      <c r="I5" s="20"/>
      <c r="J5" s="20"/>
      <c r="K5" s="20"/>
      <c r="L5" s="20"/>
      <c r="M5" s="20"/>
      <c r="N5" s="20"/>
      <c r="O5" s="21"/>
      <c r="P5" s="22" t="s">
        <v>10</v>
      </c>
      <c r="Q5" s="22"/>
      <c r="R5" s="21" t="s">
        <v>11</v>
      </c>
      <c r="S5" s="21"/>
      <c r="T5" s="21"/>
      <c r="U5" s="21"/>
      <c r="V5" s="21"/>
      <c r="W5" s="21"/>
      <c r="X5" s="21"/>
      <c r="Y5" s="21"/>
      <c r="Z5" s="21"/>
      <c r="AA5" s="21"/>
      <c r="AB5" s="21"/>
    </row>
    <row r="6" ht="8.0999999999999996" customHeight="1">
      <c r="A6" s="23"/>
      <c r="B6" s="14"/>
      <c r="C6" s="14"/>
      <c r="D6" s="14"/>
      <c r="E6" s="14"/>
      <c r="F6" s="14"/>
      <c r="G6" s="14"/>
      <c r="H6" s="14"/>
      <c r="I6" s="14"/>
      <c r="J6" s="14"/>
      <c r="K6" s="14"/>
      <c r="L6" s="14"/>
      <c r="M6" s="14"/>
      <c r="N6" s="14"/>
      <c r="O6" s="14"/>
      <c r="P6" s="14"/>
      <c r="Q6" s="14"/>
      <c r="R6" s="14"/>
      <c r="S6" s="14"/>
      <c r="T6" s="14"/>
      <c r="U6" s="14"/>
      <c r="V6" s="14"/>
      <c r="W6" s="14"/>
      <c r="X6" s="14"/>
      <c r="Y6" s="14"/>
      <c r="Z6" s="14"/>
      <c r="AA6" s="15"/>
    </row>
    <row r="7" ht="32.25" customHeight="1">
      <c r="A7" s="13"/>
      <c r="B7" s="14"/>
      <c r="C7" s="24" t="s">
        <v>12</v>
      </c>
      <c r="D7" s="25"/>
      <c r="E7" s="25"/>
      <c r="F7" s="25"/>
      <c r="G7" s="25"/>
      <c r="H7" s="25"/>
      <c r="I7" s="25"/>
      <c r="J7" s="25"/>
      <c r="K7" s="25"/>
      <c r="L7" s="25"/>
      <c r="M7" s="25"/>
      <c r="N7" s="25"/>
      <c r="O7" s="26"/>
      <c r="P7" s="24" t="s">
        <v>13</v>
      </c>
      <c r="Q7" s="25"/>
      <c r="R7" s="25"/>
      <c r="S7" s="25"/>
      <c r="T7" s="25"/>
      <c r="U7" s="25"/>
      <c r="V7" s="25"/>
      <c r="W7" s="25"/>
      <c r="X7" s="25"/>
      <c r="Y7" s="25"/>
      <c r="Z7" s="25"/>
      <c r="AA7" s="27"/>
      <c r="AC7" s="28"/>
      <c r="AD7" s="28"/>
      <c r="AE7" s="28"/>
      <c r="AF7" s="28"/>
      <c r="AG7" s="28"/>
    </row>
    <row r="8" ht="22.699999999999999" customHeight="1">
      <c r="A8" s="13"/>
      <c r="B8" s="14"/>
      <c r="C8" s="29" t="s">
        <v>14</v>
      </c>
      <c r="D8" s="30"/>
      <c r="E8" s="30"/>
      <c r="F8" s="30"/>
      <c r="G8" s="30" t="s">
        <v>15</v>
      </c>
      <c r="H8" s="30"/>
      <c r="I8" s="30"/>
      <c r="J8" s="30"/>
      <c r="K8" s="30" t="s">
        <v>16</v>
      </c>
      <c r="L8" s="30"/>
      <c r="M8" s="30"/>
      <c r="N8" s="30"/>
      <c r="O8" s="31"/>
      <c r="P8" s="29" t="s">
        <v>17</v>
      </c>
      <c r="Q8" s="30"/>
      <c r="R8" s="30"/>
      <c r="S8" s="30"/>
      <c r="T8" s="30" t="s">
        <v>14</v>
      </c>
      <c r="U8" s="30"/>
      <c r="V8" s="30"/>
      <c r="W8" s="30"/>
      <c r="X8" s="30" t="s">
        <v>15</v>
      </c>
      <c r="Y8" s="30"/>
      <c r="Z8" s="30"/>
      <c r="AA8" s="32"/>
    </row>
    <row r="9" ht="18.600000000000001" customHeight="1">
      <c r="A9" s="13"/>
      <c r="B9" s="14"/>
      <c r="C9" s="33" t="s">
        <v>18</v>
      </c>
      <c r="D9" s="34"/>
      <c r="E9" s="35" t="s">
        <v>19</v>
      </c>
      <c r="F9" s="36"/>
      <c r="G9" s="36" t="s">
        <v>18</v>
      </c>
      <c r="H9" s="37"/>
      <c r="I9" s="35" t="s">
        <v>19</v>
      </c>
      <c r="J9" s="36"/>
      <c r="K9" s="36" t="s">
        <v>18</v>
      </c>
      <c r="L9" s="38"/>
      <c r="M9" s="39" t="s">
        <v>19</v>
      </c>
      <c r="N9" s="40"/>
      <c r="O9" s="41"/>
      <c r="P9" s="33" t="s">
        <v>18</v>
      </c>
      <c r="Q9" s="34"/>
      <c r="R9" s="35" t="s">
        <v>19</v>
      </c>
      <c r="S9" s="36"/>
      <c r="T9" s="36" t="s">
        <v>18</v>
      </c>
      <c r="U9" s="37"/>
      <c r="V9" s="35" t="s">
        <v>19</v>
      </c>
      <c r="W9" s="36"/>
      <c r="X9" s="36" t="s">
        <v>18</v>
      </c>
      <c r="Y9" s="38"/>
      <c r="Z9" s="39" t="s">
        <v>19</v>
      </c>
      <c r="AA9" s="42"/>
    </row>
    <row r="10" ht="21">
      <c r="A10" s="43" t="s">
        <v>20</v>
      </c>
      <c r="B10" s="44" t="s">
        <v>21</v>
      </c>
      <c r="C10" s="45" t="s">
        <v>22</v>
      </c>
      <c r="D10" s="46" t="s">
        <v>23</v>
      </c>
      <c r="E10" s="47" t="s">
        <v>22</v>
      </c>
      <c r="F10" s="48" t="s">
        <v>23</v>
      </c>
      <c r="G10" s="49" t="s">
        <v>22</v>
      </c>
      <c r="H10" s="50" t="s">
        <v>23</v>
      </c>
      <c r="I10" s="47" t="s">
        <v>22</v>
      </c>
      <c r="J10" s="48" t="s">
        <v>23</v>
      </c>
      <c r="K10" s="51" t="s">
        <v>22</v>
      </c>
      <c r="L10" s="52" t="s">
        <v>23</v>
      </c>
      <c r="M10" s="53" t="s">
        <v>22</v>
      </c>
      <c r="N10" s="54" t="s">
        <v>23</v>
      </c>
      <c r="O10" s="55"/>
      <c r="P10" s="45" t="s">
        <v>22</v>
      </c>
      <c r="Q10" s="46" t="s">
        <v>23</v>
      </c>
      <c r="R10" s="47" t="s">
        <v>22</v>
      </c>
      <c r="S10" s="48" t="s">
        <v>23</v>
      </c>
      <c r="T10" s="49" t="s">
        <v>22</v>
      </c>
      <c r="U10" s="50" t="s">
        <v>23</v>
      </c>
      <c r="V10" s="47" t="s">
        <v>22</v>
      </c>
      <c r="W10" s="48" t="s">
        <v>23</v>
      </c>
      <c r="X10" s="51" t="s">
        <v>22</v>
      </c>
      <c r="Y10" s="52" t="s">
        <v>23</v>
      </c>
      <c r="Z10" s="53" t="s">
        <v>22</v>
      </c>
      <c r="AA10" s="56" t="s">
        <v>23</v>
      </c>
      <c r="AB10" s="57"/>
    </row>
    <row r="11" ht="54.950000000000003" hidden="1" customHeight="1" outlineLevel="1">
      <c r="A11" s="58">
        <v>6</v>
      </c>
      <c r="B11" s="59" t="s">
        <v>24</v>
      </c>
      <c r="C11" s="60"/>
      <c r="D11" s="61"/>
      <c r="E11" s="62"/>
      <c r="F11" s="63"/>
      <c r="G11" s="64"/>
      <c r="H11" s="65"/>
      <c r="I11" s="62"/>
      <c r="J11" s="63"/>
      <c r="K11" s="66"/>
      <c r="L11" s="67"/>
      <c r="M11" s="68"/>
      <c r="N11" s="69"/>
      <c r="O11" s="70"/>
      <c r="P11" s="60"/>
      <c r="Q11" s="61"/>
      <c r="R11" s="62"/>
      <c r="S11" s="63"/>
      <c r="T11" s="64"/>
      <c r="U11" s="65"/>
      <c r="V11" s="62"/>
      <c r="W11" s="63"/>
      <c r="X11" s="66"/>
      <c r="Y11" s="67"/>
      <c r="Z11" s="68"/>
      <c r="AA11" s="71"/>
      <c r="AB11" s="72"/>
      <c r="AC11" s="72"/>
      <c r="AD11" s="72"/>
      <c r="AE11" s="72"/>
      <c r="AF11" s="72"/>
      <c r="AG11" s="72"/>
    </row>
    <row r="12" ht="54.950000000000003" hidden="1" customHeight="1" outlineLevel="1">
      <c r="A12" s="58"/>
      <c r="B12" s="59" t="s">
        <v>25</v>
      </c>
      <c r="C12" s="60"/>
      <c r="D12" s="61"/>
      <c r="E12" s="62"/>
      <c r="F12" s="63"/>
      <c r="G12" s="64"/>
      <c r="H12" s="65"/>
      <c r="I12" s="62"/>
      <c r="J12" s="63"/>
      <c r="K12" s="66"/>
      <c r="L12" s="67"/>
      <c r="M12" s="68"/>
      <c r="N12" s="69"/>
      <c r="O12" s="70"/>
      <c r="P12" s="60"/>
      <c r="Q12" s="61"/>
      <c r="R12" s="62"/>
      <c r="S12" s="63"/>
      <c r="T12" s="64"/>
      <c r="U12" s="65"/>
      <c r="V12" s="62"/>
      <c r="W12" s="63"/>
      <c r="X12" s="66"/>
      <c r="Y12" s="67"/>
      <c r="Z12" s="68"/>
      <c r="AA12" s="71"/>
      <c r="AB12" s="72"/>
      <c r="AC12" s="72"/>
      <c r="AD12" s="72"/>
      <c r="AE12" s="72"/>
      <c r="AF12" s="72"/>
      <c r="AG12" s="72"/>
    </row>
    <row r="13" ht="54.950000000000003" customHeight="1" collapsed="1">
      <c r="A13" s="58">
        <v>7</v>
      </c>
      <c r="B13" s="59" t="s">
        <v>26</v>
      </c>
      <c r="C13" s="73"/>
      <c r="D13" s="74">
        <v>2</v>
      </c>
      <c r="E13" s="75"/>
      <c r="F13" s="76"/>
      <c r="G13" s="77"/>
      <c r="H13" s="74"/>
      <c r="I13" s="75"/>
      <c r="J13" s="76"/>
      <c r="K13" s="73"/>
      <c r="L13" s="74"/>
      <c r="M13" s="75"/>
      <c r="N13" s="76"/>
      <c r="O13" s="70"/>
      <c r="P13" s="73"/>
      <c r="Q13" s="74"/>
      <c r="R13" s="75"/>
      <c r="S13" s="76"/>
      <c r="T13" s="77"/>
      <c r="U13" s="74"/>
      <c r="V13" s="75"/>
      <c r="W13" s="76"/>
      <c r="X13" s="73"/>
      <c r="Y13" s="74"/>
      <c r="Z13" s="75"/>
      <c r="AA13" s="76"/>
      <c r="AB13" s="72"/>
      <c r="AC13" s="72"/>
      <c r="AD13" s="72"/>
      <c r="AE13" s="72"/>
      <c r="AF13" s="72"/>
      <c r="AG13" s="72"/>
    </row>
    <row r="14" ht="54.950000000000003" customHeight="1">
      <c r="A14" s="58"/>
      <c r="B14" s="59" t="s">
        <v>27</v>
      </c>
      <c r="C14" s="78">
        <v>1</v>
      </c>
      <c r="D14" s="79">
        <v>1</v>
      </c>
      <c r="E14" s="80">
        <v>2</v>
      </c>
      <c r="F14" s="81"/>
      <c r="G14" s="82"/>
      <c r="H14" s="79"/>
      <c r="I14" s="80"/>
      <c r="J14" s="81"/>
      <c r="K14" s="78"/>
      <c r="L14" s="79"/>
      <c r="M14" s="80"/>
      <c r="N14" s="81"/>
      <c r="O14" s="70"/>
      <c r="P14" s="78"/>
      <c r="Q14" s="79"/>
      <c r="R14" s="80"/>
      <c r="S14" s="81"/>
      <c r="T14" s="82">
        <v>1</v>
      </c>
      <c r="U14" s="79"/>
      <c r="V14" s="80">
        <v>1</v>
      </c>
      <c r="W14" s="81"/>
      <c r="X14" s="78"/>
      <c r="Y14" s="79"/>
      <c r="Z14" s="80"/>
      <c r="AA14" s="81"/>
      <c r="AB14" s="72"/>
      <c r="AC14" s="72"/>
      <c r="AD14" s="72"/>
      <c r="AE14" s="72"/>
      <c r="AF14" s="72"/>
      <c r="AG14" s="72"/>
    </row>
    <row r="15" ht="54.950000000000003" customHeight="1">
      <c r="A15" s="58"/>
      <c r="B15" s="59" t="s">
        <v>24</v>
      </c>
      <c r="C15" s="83">
        <v>1</v>
      </c>
      <c r="D15" s="84">
        <v>1</v>
      </c>
      <c r="E15" s="85"/>
      <c r="F15" s="86"/>
      <c r="G15" s="87"/>
      <c r="H15" s="84"/>
      <c r="I15" s="85"/>
      <c r="J15" s="86"/>
      <c r="K15" s="83"/>
      <c r="L15" s="84"/>
      <c r="M15" s="85"/>
      <c r="N15" s="86"/>
      <c r="O15" s="70"/>
      <c r="P15" s="83"/>
      <c r="Q15" s="84"/>
      <c r="R15" s="85"/>
      <c r="S15" s="86"/>
      <c r="T15" s="87"/>
      <c r="U15" s="84"/>
      <c r="V15" s="85">
        <v>1</v>
      </c>
      <c r="W15" s="86"/>
      <c r="X15" s="83"/>
      <c r="Y15" s="84"/>
      <c r="Z15" s="85"/>
      <c r="AA15" s="86"/>
      <c r="AB15" s="72"/>
      <c r="AC15" s="72"/>
      <c r="AD15" s="72"/>
      <c r="AE15" s="72"/>
      <c r="AF15" s="72"/>
      <c r="AG15" s="72"/>
    </row>
    <row r="16" ht="54.950000000000003" customHeight="1">
      <c r="A16" s="58"/>
      <c r="B16" s="59" t="s">
        <v>25</v>
      </c>
      <c r="C16" s="88"/>
      <c r="D16" s="89">
        <v>1</v>
      </c>
      <c r="E16" s="90">
        <v>1</v>
      </c>
      <c r="F16" s="91">
        <v>2</v>
      </c>
      <c r="G16" s="92"/>
      <c r="H16" s="89"/>
      <c r="I16" s="90"/>
      <c r="J16" s="91"/>
      <c r="K16" s="88"/>
      <c r="L16" s="89"/>
      <c r="M16" s="90"/>
      <c r="N16" s="91"/>
      <c r="O16" s="70"/>
      <c r="P16" s="88"/>
      <c r="Q16" s="89"/>
      <c r="R16" s="90"/>
      <c r="S16" s="91"/>
      <c r="T16" s="92"/>
      <c r="U16" s="89"/>
      <c r="V16" s="90"/>
      <c r="W16" s="91">
        <v>1</v>
      </c>
      <c r="X16" s="88"/>
      <c r="Y16" s="89"/>
      <c r="Z16" s="90"/>
      <c r="AA16" s="91">
        <v>1</v>
      </c>
      <c r="AB16" s="72"/>
      <c r="AC16" s="72"/>
      <c r="AD16" s="72"/>
      <c r="AE16" s="72"/>
      <c r="AF16" s="72"/>
      <c r="AG16" s="72"/>
    </row>
    <row r="17" ht="54.950000000000003" customHeight="1">
      <c r="A17" s="58">
        <v>8</v>
      </c>
      <c r="B17" s="59" t="s">
        <v>26</v>
      </c>
      <c r="C17" s="73"/>
      <c r="D17" s="74">
        <v>1</v>
      </c>
      <c r="E17" s="75">
        <v>1</v>
      </c>
      <c r="F17" s="76"/>
      <c r="G17" s="77"/>
      <c r="H17" s="74"/>
      <c r="I17" s="75"/>
      <c r="J17" s="76"/>
      <c r="K17" s="73"/>
      <c r="L17" s="74"/>
      <c r="M17" s="75"/>
      <c r="N17" s="76"/>
      <c r="O17" s="70"/>
      <c r="P17" s="73"/>
      <c r="Q17" s="74"/>
      <c r="R17" s="75"/>
      <c r="S17" s="76"/>
      <c r="T17" s="77"/>
      <c r="U17" s="74"/>
      <c r="V17" s="75"/>
      <c r="W17" s="76"/>
      <c r="X17" s="73"/>
      <c r="Y17" s="74"/>
      <c r="Z17" s="75"/>
      <c r="AA17" s="76"/>
      <c r="AB17" s="72"/>
      <c r="AC17" s="72"/>
      <c r="AD17" s="72"/>
      <c r="AE17" s="72"/>
      <c r="AF17" s="72"/>
      <c r="AG17" s="72"/>
    </row>
    <row r="18" ht="54.950000000000003" customHeight="1">
      <c r="A18" s="58"/>
      <c r="B18" s="59" t="s">
        <v>27</v>
      </c>
      <c r="C18" s="78"/>
      <c r="D18" s="79"/>
      <c r="E18" s="80"/>
      <c r="F18" s="81"/>
      <c r="G18" s="82"/>
      <c r="H18" s="79"/>
      <c r="I18" s="80"/>
      <c r="J18" s="81"/>
      <c r="K18" s="78"/>
      <c r="L18" s="79"/>
      <c r="M18" s="80"/>
      <c r="N18" s="81"/>
      <c r="O18" s="70"/>
      <c r="P18" s="78"/>
      <c r="Q18" s="79"/>
      <c r="R18" s="80"/>
      <c r="S18" s="81"/>
      <c r="T18" s="82"/>
      <c r="U18" s="79">
        <v>1</v>
      </c>
      <c r="V18" s="80"/>
      <c r="W18" s="81"/>
      <c r="X18" s="78"/>
      <c r="Y18" s="79"/>
      <c r="Z18" s="80"/>
      <c r="AA18" s="81"/>
      <c r="AB18" s="72"/>
      <c r="AC18" s="72"/>
      <c r="AD18" s="72"/>
      <c r="AE18" s="72"/>
      <c r="AF18" s="72"/>
      <c r="AG18" s="72"/>
    </row>
    <row r="19" ht="54.950000000000003" customHeight="1">
      <c r="A19" s="58"/>
      <c r="B19" s="59" t="s">
        <v>24</v>
      </c>
      <c r="C19" s="83"/>
      <c r="D19" s="84"/>
      <c r="E19" s="85">
        <v>1</v>
      </c>
      <c r="F19" s="86"/>
      <c r="G19" s="87"/>
      <c r="H19" s="84"/>
      <c r="I19" s="85"/>
      <c r="J19" s="86"/>
      <c r="K19" s="83"/>
      <c r="L19" s="84"/>
      <c r="M19" s="85"/>
      <c r="N19" s="86"/>
      <c r="O19" s="70"/>
      <c r="P19" s="83"/>
      <c r="Q19" s="84"/>
      <c r="R19" s="85"/>
      <c r="S19" s="86"/>
      <c r="T19" s="87"/>
      <c r="U19" s="84"/>
      <c r="V19" s="85"/>
      <c r="W19" s="86">
        <v>1</v>
      </c>
      <c r="X19" s="83"/>
      <c r="Y19" s="84"/>
      <c r="Z19" s="85"/>
      <c r="AA19" s="86"/>
      <c r="AB19" s="72"/>
      <c r="AC19" s="72"/>
      <c r="AD19" s="72"/>
      <c r="AE19" s="72"/>
      <c r="AF19" s="72"/>
      <c r="AG19" s="72"/>
    </row>
    <row r="20" ht="54.950000000000003" customHeight="1">
      <c r="A20" s="58"/>
      <c r="B20" s="59" t="s">
        <v>25</v>
      </c>
      <c r="C20" s="88"/>
      <c r="D20" s="89"/>
      <c r="E20" s="90"/>
      <c r="F20" s="91"/>
      <c r="G20" s="92"/>
      <c r="H20" s="89"/>
      <c r="I20" s="90"/>
      <c r="J20" s="91"/>
      <c r="K20" s="88"/>
      <c r="L20" s="89"/>
      <c r="M20" s="90"/>
      <c r="N20" s="91"/>
      <c r="O20" s="70"/>
      <c r="P20" s="88"/>
      <c r="Q20" s="89"/>
      <c r="R20" s="90"/>
      <c r="S20" s="91"/>
      <c r="T20" s="92"/>
      <c r="U20" s="89">
        <v>1</v>
      </c>
      <c r="V20" s="90"/>
      <c r="W20" s="91"/>
      <c r="X20" s="88"/>
      <c r="Y20" s="89"/>
      <c r="Z20" s="90"/>
      <c r="AA20" s="91"/>
      <c r="AB20" s="72"/>
      <c r="AC20" s="72"/>
      <c r="AD20" s="72"/>
      <c r="AE20" s="72"/>
      <c r="AF20" s="72"/>
      <c r="AG20" s="72"/>
    </row>
    <row r="21" ht="54.950000000000003" hidden="1" customHeight="1" outlineLevel="1">
      <c r="A21" s="58">
        <v>9</v>
      </c>
      <c r="B21" s="59" t="s">
        <v>26</v>
      </c>
      <c r="C21" s="60"/>
      <c r="D21" s="61"/>
      <c r="E21" s="62"/>
      <c r="F21" s="63"/>
      <c r="G21" s="64"/>
      <c r="H21" s="65"/>
      <c r="I21" s="62"/>
      <c r="J21" s="63"/>
      <c r="K21" s="66"/>
      <c r="L21" s="67"/>
      <c r="M21" s="68"/>
      <c r="N21" s="69"/>
      <c r="O21" s="70"/>
      <c r="P21" s="60"/>
      <c r="Q21" s="61"/>
      <c r="R21" s="62"/>
      <c r="S21" s="63"/>
      <c r="T21" s="64"/>
      <c r="U21" s="65"/>
      <c r="V21" s="62"/>
      <c r="W21" s="63"/>
      <c r="X21" s="66"/>
      <c r="Y21" s="67"/>
      <c r="Z21" s="68"/>
      <c r="AA21" s="71"/>
      <c r="AB21" s="72"/>
      <c r="AC21" s="72"/>
      <c r="AD21" s="72"/>
      <c r="AE21" s="72"/>
      <c r="AF21" s="72"/>
      <c r="AG21" s="72"/>
    </row>
    <row r="22" ht="54.950000000000003" hidden="1" customHeight="1" outlineLevel="1">
      <c r="A22" s="93"/>
      <c r="B22" s="94" t="s">
        <v>27</v>
      </c>
      <c r="C22" s="95"/>
      <c r="D22" s="96"/>
      <c r="E22" s="97"/>
      <c r="F22" s="98"/>
      <c r="G22" s="99"/>
      <c r="H22" s="100"/>
      <c r="I22" s="97"/>
      <c r="J22" s="98"/>
      <c r="K22" s="101"/>
      <c r="L22" s="102"/>
      <c r="M22" s="103"/>
      <c r="N22" s="104"/>
      <c r="O22" s="70"/>
      <c r="P22" s="95"/>
      <c r="Q22" s="96"/>
      <c r="R22" s="97"/>
      <c r="S22" s="98"/>
      <c r="T22" s="99"/>
      <c r="U22" s="100"/>
      <c r="V22" s="97"/>
      <c r="W22" s="98"/>
      <c r="X22" s="101"/>
      <c r="Y22" s="102"/>
      <c r="Z22" s="103"/>
      <c r="AA22" s="105"/>
      <c r="AB22" s="72"/>
      <c r="AC22" s="72"/>
      <c r="AD22" s="72"/>
      <c r="AE22" s="72"/>
      <c r="AF22" s="72"/>
      <c r="AG22" s="72"/>
    </row>
    <row r="23" ht="24.949999999999999" customHeight="1" collapsed="1">
      <c r="A23" s="106"/>
      <c r="B23" s="106"/>
      <c r="C23" s="107"/>
      <c r="D23" s="107"/>
      <c r="E23" s="107"/>
      <c r="F23" s="107"/>
      <c r="G23" s="107"/>
      <c r="H23" s="107"/>
      <c r="I23" s="107"/>
      <c r="J23" s="107"/>
      <c r="K23" s="107"/>
      <c r="L23" s="107"/>
      <c r="M23" s="107"/>
      <c r="N23" s="107"/>
      <c r="O23" s="70"/>
      <c r="P23" s="107"/>
      <c r="Q23" s="107"/>
      <c r="R23" s="107"/>
      <c r="S23" s="107"/>
      <c r="T23" s="107"/>
      <c r="U23" s="107"/>
      <c r="V23" s="107"/>
      <c r="W23" s="107"/>
      <c r="X23" s="107"/>
      <c r="Y23" s="107"/>
      <c r="Z23" s="107"/>
      <c r="AA23" s="107"/>
      <c r="AB23" s="72"/>
      <c r="AC23" s="72"/>
      <c r="AD23" s="72"/>
      <c r="AE23" s="72"/>
      <c r="AF23" s="72"/>
      <c r="AG23" s="72"/>
    </row>
    <row r="24" ht="75" customHeight="1">
      <c r="A24" s="17" t="s">
        <v>8</v>
      </c>
      <c r="B24" s="18"/>
      <c r="C24" s="19" t="s">
        <v>28</v>
      </c>
      <c r="D24" s="20"/>
      <c r="E24" s="20"/>
      <c r="F24" s="20"/>
      <c r="G24" s="20"/>
      <c r="H24" s="20"/>
      <c r="I24" s="20"/>
      <c r="J24" s="20"/>
      <c r="K24" s="20"/>
      <c r="L24" s="20"/>
      <c r="M24" s="20"/>
      <c r="N24" s="20"/>
      <c r="O24" s="21"/>
      <c r="P24" s="14"/>
      <c r="Q24" s="14"/>
      <c r="R24" s="14"/>
      <c r="S24" s="14"/>
      <c r="T24" s="14"/>
      <c r="U24" s="14"/>
      <c r="V24" s="14"/>
      <c r="W24" s="14"/>
      <c r="X24" s="14"/>
      <c r="Y24" s="14"/>
      <c r="Z24" s="14"/>
      <c r="AA24" s="15"/>
    </row>
    <row r="25" ht="6" hidden="1" customHeight="1" outlineLevel="1">
      <c r="A25" s="23"/>
      <c r="B25" s="14"/>
      <c r="C25" s="108"/>
      <c r="D25" s="108"/>
      <c r="E25" s="108"/>
      <c r="F25" s="108"/>
      <c r="G25" s="108"/>
      <c r="H25" s="108"/>
      <c r="I25" s="108"/>
      <c r="J25" s="108"/>
      <c r="K25" s="108"/>
      <c r="L25" s="108"/>
      <c r="M25" s="108"/>
      <c r="N25" s="108"/>
      <c r="O25" s="14"/>
      <c r="P25" s="108"/>
      <c r="Q25" s="108"/>
      <c r="R25" s="108"/>
      <c r="S25" s="108"/>
      <c r="T25" s="108"/>
      <c r="U25" s="108"/>
      <c r="V25" s="108"/>
      <c r="W25" s="108"/>
      <c r="X25" s="108"/>
      <c r="Y25" s="108"/>
      <c r="Z25" s="108"/>
      <c r="AA25" s="109"/>
    </row>
    <row r="26" ht="32.25" customHeight="1" collapsed="1">
      <c r="A26" s="13"/>
      <c r="B26" s="14"/>
      <c r="C26" s="110" t="s">
        <v>29</v>
      </c>
      <c r="D26" s="111"/>
      <c r="E26" s="111"/>
      <c r="F26" s="111"/>
      <c r="G26" s="111"/>
      <c r="H26" s="111"/>
      <c r="I26" s="111"/>
      <c r="J26" s="111"/>
      <c r="K26" s="111"/>
      <c r="L26" s="111"/>
      <c r="M26" s="111"/>
      <c r="N26" s="111"/>
      <c r="O26" s="26"/>
      <c r="P26" s="110" t="s">
        <v>30</v>
      </c>
      <c r="Q26" s="111"/>
      <c r="R26" s="111"/>
      <c r="S26" s="111"/>
      <c r="T26" s="111"/>
      <c r="U26" s="111"/>
      <c r="V26" s="111"/>
      <c r="W26" s="111"/>
      <c r="X26" s="111"/>
      <c r="Y26" s="111"/>
      <c r="Z26" s="111"/>
      <c r="AA26" s="112"/>
      <c r="AC26" s="28"/>
      <c r="AD26" s="28"/>
      <c r="AE26" s="28"/>
      <c r="AF26" s="28"/>
      <c r="AG26" s="28"/>
    </row>
    <row r="27" ht="22.699999999999999" customHeight="1">
      <c r="A27" s="13"/>
      <c r="B27" s="14"/>
      <c r="C27" s="29" t="s">
        <v>15</v>
      </c>
      <c r="D27" s="30"/>
      <c r="E27" s="30"/>
      <c r="F27" s="30"/>
      <c r="G27" s="30" t="s">
        <v>16</v>
      </c>
      <c r="H27" s="30"/>
      <c r="I27" s="30"/>
      <c r="J27" s="30"/>
      <c r="K27" s="30" t="s">
        <v>17</v>
      </c>
      <c r="L27" s="30"/>
      <c r="M27" s="30"/>
      <c r="N27" s="30"/>
      <c r="O27" s="31"/>
      <c r="P27" s="29" t="s">
        <v>16</v>
      </c>
      <c r="Q27" s="30"/>
      <c r="R27" s="30"/>
      <c r="S27" s="30"/>
      <c r="T27" s="30" t="s">
        <v>17</v>
      </c>
      <c r="U27" s="30"/>
      <c r="V27" s="30"/>
      <c r="W27" s="30"/>
      <c r="X27" s="30" t="s">
        <v>14</v>
      </c>
      <c r="Y27" s="30"/>
      <c r="Z27" s="30"/>
      <c r="AA27" s="32"/>
    </row>
    <row r="28" ht="18.600000000000001" customHeight="1">
      <c r="A28" s="13"/>
      <c r="B28" s="14"/>
      <c r="C28" s="33" t="s">
        <v>18</v>
      </c>
      <c r="D28" s="34"/>
      <c r="E28" s="35" t="s">
        <v>19</v>
      </c>
      <c r="F28" s="36"/>
      <c r="G28" s="36" t="s">
        <v>18</v>
      </c>
      <c r="H28" s="37"/>
      <c r="I28" s="35" t="s">
        <v>19</v>
      </c>
      <c r="J28" s="36"/>
      <c r="K28" s="36" t="s">
        <v>18</v>
      </c>
      <c r="L28" s="38"/>
      <c r="M28" s="39" t="s">
        <v>19</v>
      </c>
      <c r="N28" s="40"/>
      <c r="O28" s="41"/>
      <c r="P28" s="33" t="s">
        <v>18</v>
      </c>
      <c r="Q28" s="34"/>
      <c r="R28" s="35" t="s">
        <v>19</v>
      </c>
      <c r="S28" s="36"/>
      <c r="T28" s="36" t="s">
        <v>18</v>
      </c>
      <c r="U28" s="37"/>
      <c r="V28" s="35" t="s">
        <v>19</v>
      </c>
      <c r="W28" s="36"/>
      <c r="X28" s="36" t="s">
        <v>18</v>
      </c>
      <c r="Y28" s="38"/>
      <c r="Z28" s="39" t="s">
        <v>19</v>
      </c>
      <c r="AA28" s="42"/>
    </row>
    <row r="29" ht="21">
      <c r="A29" s="43" t="s">
        <v>20</v>
      </c>
      <c r="B29" s="44" t="s">
        <v>21</v>
      </c>
      <c r="C29" s="45" t="s">
        <v>22</v>
      </c>
      <c r="D29" s="46" t="s">
        <v>23</v>
      </c>
      <c r="E29" s="47" t="s">
        <v>22</v>
      </c>
      <c r="F29" s="48" t="s">
        <v>23</v>
      </c>
      <c r="G29" s="49" t="s">
        <v>22</v>
      </c>
      <c r="H29" s="50" t="s">
        <v>23</v>
      </c>
      <c r="I29" s="47" t="s">
        <v>22</v>
      </c>
      <c r="J29" s="48" t="s">
        <v>23</v>
      </c>
      <c r="K29" s="51" t="s">
        <v>22</v>
      </c>
      <c r="L29" s="52" t="s">
        <v>23</v>
      </c>
      <c r="M29" s="53" t="s">
        <v>22</v>
      </c>
      <c r="N29" s="54" t="s">
        <v>23</v>
      </c>
      <c r="O29" s="55"/>
      <c r="P29" s="45" t="s">
        <v>22</v>
      </c>
      <c r="Q29" s="46" t="s">
        <v>23</v>
      </c>
      <c r="R29" s="47" t="s">
        <v>22</v>
      </c>
      <c r="S29" s="48" t="s">
        <v>23</v>
      </c>
      <c r="T29" s="49" t="s">
        <v>22</v>
      </c>
      <c r="U29" s="50" t="s">
        <v>23</v>
      </c>
      <c r="V29" s="47" t="s">
        <v>22</v>
      </c>
      <c r="W29" s="48" t="s">
        <v>23</v>
      </c>
      <c r="X29" s="51" t="s">
        <v>22</v>
      </c>
      <c r="Y29" s="52" t="s">
        <v>23</v>
      </c>
      <c r="Z29" s="53" t="s">
        <v>22</v>
      </c>
      <c r="AA29" s="56" t="s">
        <v>23</v>
      </c>
      <c r="AB29" s="57"/>
    </row>
    <row r="30" ht="54.950000000000003" hidden="1" customHeight="1" outlineLevel="1">
      <c r="A30" s="58">
        <v>6</v>
      </c>
      <c r="B30" s="59" t="s">
        <v>24</v>
      </c>
      <c r="C30" s="60"/>
      <c r="D30" s="61"/>
      <c r="E30" s="62"/>
      <c r="F30" s="63"/>
      <c r="G30" s="64"/>
      <c r="H30" s="65"/>
      <c r="I30" s="62"/>
      <c r="J30" s="63"/>
      <c r="K30" s="66"/>
      <c r="L30" s="67"/>
      <c r="M30" s="68"/>
      <c r="N30" s="69"/>
      <c r="O30" s="70"/>
      <c r="P30" s="60"/>
      <c r="Q30" s="61"/>
      <c r="R30" s="62"/>
      <c r="S30" s="63"/>
      <c r="T30" s="64"/>
      <c r="U30" s="65"/>
      <c r="V30" s="62"/>
      <c r="W30" s="63"/>
      <c r="X30" s="66"/>
      <c r="Y30" s="67"/>
      <c r="Z30" s="68"/>
      <c r="AA30" s="71"/>
      <c r="AB30" s="72"/>
      <c r="AC30" s="72"/>
      <c r="AD30" s="72"/>
      <c r="AE30" s="72"/>
      <c r="AF30" s="72"/>
      <c r="AG30" s="72"/>
    </row>
    <row r="31" ht="54.950000000000003" hidden="1" customHeight="1" outlineLevel="1">
      <c r="A31" s="58"/>
      <c r="B31" s="59" t="s">
        <v>25</v>
      </c>
      <c r="C31" s="60"/>
      <c r="D31" s="61"/>
      <c r="E31" s="62"/>
      <c r="F31" s="63"/>
      <c r="G31" s="64"/>
      <c r="H31" s="65"/>
      <c r="I31" s="62"/>
      <c r="J31" s="63"/>
      <c r="K31" s="66"/>
      <c r="L31" s="67"/>
      <c r="M31" s="68"/>
      <c r="N31" s="69"/>
      <c r="O31" s="70"/>
      <c r="P31" s="60"/>
      <c r="Q31" s="61"/>
      <c r="R31" s="62"/>
      <c r="S31" s="63"/>
      <c r="T31" s="64"/>
      <c r="U31" s="65"/>
      <c r="V31" s="62"/>
      <c r="W31" s="63"/>
      <c r="X31" s="66"/>
      <c r="Y31" s="67"/>
      <c r="Z31" s="68"/>
      <c r="AA31" s="71"/>
      <c r="AB31" s="72"/>
      <c r="AC31" s="72"/>
      <c r="AD31" s="72"/>
      <c r="AE31" s="72"/>
      <c r="AF31" s="72"/>
      <c r="AG31" s="72"/>
    </row>
    <row r="32" ht="54.950000000000003" customHeight="1" collapsed="1">
      <c r="A32" s="58">
        <v>7</v>
      </c>
      <c r="B32" s="59" t="s">
        <v>26</v>
      </c>
      <c r="C32" s="73"/>
      <c r="D32" s="74"/>
      <c r="E32" s="75"/>
      <c r="F32" s="76"/>
      <c r="G32" s="77"/>
      <c r="H32" s="74"/>
      <c r="I32" s="75"/>
      <c r="J32" s="76"/>
      <c r="K32" s="73"/>
      <c r="L32" s="74"/>
      <c r="M32" s="75"/>
      <c r="N32" s="76"/>
      <c r="O32" s="70"/>
      <c r="P32" s="73"/>
      <c r="Q32" s="74"/>
      <c r="R32" s="75"/>
      <c r="S32" s="76"/>
      <c r="T32" s="77"/>
      <c r="U32" s="74"/>
      <c r="V32" s="75"/>
      <c r="W32" s="76"/>
      <c r="X32" s="73"/>
      <c r="Y32" s="74"/>
      <c r="Z32" s="75"/>
      <c r="AA32" s="76"/>
      <c r="AB32" s="72"/>
      <c r="AC32" s="72"/>
      <c r="AD32" s="72"/>
      <c r="AE32" s="72"/>
      <c r="AF32" s="72"/>
      <c r="AG32" s="72"/>
    </row>
    <row r="33" ht="54.950000000000003" customHeight="1">
      <c r="A33" s="58"/>
      <c r="B33" s="59" t="s">
        <v>27</v>
      </c>
      <c r="C33" s="78"/>
      <c r="D33" s="79"/>
      <c r="E33" s="80"/>
      <c r="F33" s="81"/>
      <c r="G33" s="82"/>
      <c r="H33" s="79"/>
      <c r="I33" s="80"/>
      <c r="J33" s="81"/>
      <c r="K33" s="78"/>
      <c r="L33" s="79"/>
      <c r="M33" s="80"/>
      <c r="N33" s="81"/>
      <c r="O33" s="70"/>
      <c r="P33" s="78"/>
      <c r="Q33" s="79"/>
      <c r="R33" s="80"/>
      <c r="S33" s="81"/>
      <c r="T33" s="82"/>
      <c r="U33" s="79"/>
      <c r="V33" s="80"/>
      <c r="W33" s="81"/>
      <c r="X33" s="78"/>
      <c r="Y33" s="79"/>
      <c r="Z33" s="80"/>
      <c r="AA33" s="81"/>
      <c r="AB33" s="72"/>
      <c r="AC33" s="72"/>
      <c r="AD33" s="72"/>
      <c r="AE33" s="72"/>
      <c r="AF33" s="72"/>
      <c r="AG33" s="72"/>
    </row>
    <row r="34" ht="54.950000000000003" customHeight="1">
      <c r="A34" s="58"/>
      <c r="B34" s="59" t="s">
        <v>24</v>
      </c>
      <c r="C34" s="83"/>
      <c r="D34" s="84"/>
      <c r="E34" s="85"/>
      <c r="F34" s="86"/>
      <c r="G34" s="87"/>
      <c r="H34" s="84"/>
      <c r="I34" s="85"/>
      <c r="J34" s="86"/>
      <c r="K34" s="83"/>
      <c r="L34" s="84"/>
      <c r="M34" s="85"/>
      <c r="N34" s="86"/>
      <c r="O34" s="70"/>
      <c r="P34" s="83"/>
      <c r="Q34" s="84"/>
      <c r="R34" s="85"/>
      <c r="S34" s="86"/>
      <c r="T34" s="87"/>
      <c r="U34" s="84"/>
      <c r="V34" s="85"/>
      <c r="W34" s="86"/>
      <c r="X34" s="83"/>
      <c r="Y34" s="84"/>
      <c r="Z34" s="85"/>
      <c r="AA34" s="86"/>
      <c r="AB34" s="72"/>
      <c r="AC34" s="72"/>
      <c r="AD34" s="72"/>
      <c r="AE34" s="72"/>
      <c r="AF34" s="72"/>
      <c r="AG34" s="72"/>
    </row>
    <row r="35" ht="54.950000000000003" customHeight="1">
      <c r="A35" s="58"/>
      <c r="B35" s="59" t="s">
        <v>25</v>
      </c>
      <c r="C35" s="88"/>
      <c r="D35" s="89"/>
      <c r="E35" s="90"/>
      <c r="F35" s="91"/>
      <c r="G35" s="92"/>
      <c r="H35" s="89"/>
      <c r="I35" s="90"/>
      <c r="J35" s="91"/>
      <c r="K35" s="88"/>
      <c r="L35" s="89"/>
      <c r="M35" s="90"/>
      <c r="N35" s="91"/>
      <c r="O35" s="70"/>
      <c r="P35" s="88"/>
      <c r="Q35" s="89"/>
      <c r="R35" s="90"/>
      <c r="S35" s="91"/>
      <c r="T35" s="92"/>
      <c r="U35" s="89"/>
      <c r="V35" s="90"/>
      <c r="W35" s="91"/>
      <c r="X35" s="88"/>
      <c r="Y35" s="89"/>
      <c r="Z35" s="90"/>
      <c r="AA35" s="91"/>
      <c r="AB35" s="72"/>
      <c r="AC35" s="72"/>
      <c r="AD35" s="72"/>
      <c r="AE35" s="72"/>
      <c r="AF35" s="72"/>
      <c r="AG35" s="72"/>
    </row>
    <row r="36" ht="54.950000000000003" customHeight="1">
      <c r="A36" s="58">
        <v>8</v>
      </c>
      <c r="B36" s="59" t="s">
        <v>26</v>
      </c>
      <c r="C36" s="73"/>
      <c r="D36" s="74"/>
      <c r="E36" s="75"/>
      <c r="F36" s="76"/>
      <c r="G36" s="77"/>
      <c r="H36" s="74"/>
      <c r="I36" s="75"/>
      <c r="J36" s="76"/>
      <c r="K36" s="73"/>
      <c r="L36" s="74"/>
      <c r="M36" s="75"/>
      <c r="N36" s="76"/>
      <c r="O36" s="70"/>
      <c r="P36" s="73"/>
      <c r="Q36" s="74"/>
      <c r="R36" s="75"/>
      <c r="S36" s="76"/>
      <c r="T36" s="77"/>
      <c r="U36" s="74"/>
      <c r="V36" s="75"/>
      <c r="W36" s="76"/>
      <c r="X36" s="73"/>
      <c r="Y36" s="74"/>
      <c r="Z36" s="75"/>
      <c r="AA36" s="76"/>
      <c r="AB36" s="72"/>
      <c r="AC36" s="72"/>
      <c r="AD36" s="72"/>
      <c r="AE36" s="72"/>
      <c r="AF36" s="72"/>
      <c r="AG36" s="72"/>
    </row>
    <row r="37" ht="54.950000000000003" customHeight="1">
      <c r="A37" s="58"/>
      <c r="B37" s="59" t="s">
        <v>27</v>
      </c>
      <c r="C37" s="78"/>
      <c r="D37" s="79"/>
      <c r="E37" s="80"/>
      <c r="F37" s="81"/>
      <c r="G37" s="82">
        <v>1</v>
      </c>
      <c r="H37" s="79"/>
      <c r="I37" s="80">
        <v>1</v>
      </c>
      <c r="J37" s="81"/>
      <c r="K37" s="78"/>
      <c r="L37" s="79"/>
      <c r="M37" s="80"/>
      <c r="N37" s="81"/>
      <c r="O37" s="70"/>
      <c r="P37" s="78"/>
      <c r="Q37" s="79"/>
      <c r="R37" s="80"/>
      <c r="S37" s="81"/>
      <c r="T37" s="82"/>
      <c r="U37" s="79"/>
      <c r="V37" s="80"/>
      <c r="W37" s="81"/>
      <c r="X37" s="78"/>
      <c r="Y37" s="79"/>
      <c r="Z37" s="80"/>
      <c r="AA37" s="81"/>
      <c r="AB37" s="72"/>
      <c r="AC37" s="72"/>
      <c r="AD37" s="72"/>
      <c r="AE37" s="72"/>
      <c r="AF37" s="72"/>
      <c r="AG37" s="72"/>
    </row>
    <row r="38" ht="54.950000000000003" customHeight="1">
      <c r="A38" s="58"/>
      <c r="B38" s="59" t="s">
        <v>24</v>
      </c>
      <c r="C38" s="83"/>
      <c r="D38" s="84"/>
      <c r="E38" s="85"/>
      <c r="F38" s="86"/>
      <c r="G38" s="87"/>
      <c r="H38" s="84"/>
      <c r="I38" s="85"/>
      <c r="J38" s="86"/>
      <c r="K38" s="83"/>
      <c r="L38" s="84"/>
      <c r="M38" s="85"/>
      <c r="N38" s="86"/>
      <c r="O38" s="70"/>
      <c r="P38" s="83"/>
      <c r="Q38" s="84"/>
      <c r="R38" s="85"/>
      <c r="S38" s="86"/>
      <c r="T38" s="87"/>
      <c r="U38" s="84"/>
      <c r="V38" s="85"/>
      <c r="W38" s="86"/>
      <c r="X38" s="83"/>
      <c r="Y38" s="84"/>
      <c r="Z38" s="85"/>
      <c r="AA38" s="86"/>
      <c r="AB38" s="72"/>
      <c r="AC38" s="72"/>
      <c r="AD38" s="72"/>
      <c r="AE38" s="72"/>
      <c r="AF38" s="72"/>
      <c r="AG38" s="72"/>
    </row>
    <row r="39" ht="54.950000000000003" customHeight="1">
      <c r="A39" s="58"/>
      <c r="B39" s="59" t="s">
        <v>25</v>
      </c>
      <c r="C39" s="88"/>
      <c r="D39" s="89">
        <v>1</v>
      </c>
      <c r="E39" s="90"/>
      <c r="F39" s="91"/>
      <c r="G39" s="92"/>
      <c r="H39" s="89"/>
      <c r="I39" s="90"/>
      <c r="J39" s="91"/>
      <c r="K39" s="88"/>
      <c r="L39" s="89">
        <v>1</v>
      </c>
      <c r="M39" s="90"/>
      <c r="N39" s="91"/>
      <c r="O39" s="70"/>
      <c r="P39" s="88"/>
      <c r="Q39" s="89"/>
      <c r="R39" s="90"/>
      <c r="S39" s="91"/>
      <c r="T39" s="92"/>
      <c r="U39" s="89"/>
      <c r="V39" s="90"/>
      <c r="W39" s="91"/>
      <c r="X39" s="88"/>
      <c r="Y39" s="89"/>
      <c r="Z39" s="90"/>
      <c r="AA39" s="91"/>
      <c r="AB39" s="72"/>
      <c r="AC39" s="72"/>
      <c r="AD39" s="72"/>
      <c r="AE39" s="72"/>
      <c r="AF39" s="72"/>
      <c r="AG39" s="72"/>
    </row>
    <row r="40" ht="54.950000000000003" hidden="1" customHeight="1" outlineLevel="1">
      <c r="A40" s="58">
        <v>9</v>
      </c>
      <c r="B40" s="59" t="s">
        <v>26</v>
      </c>
      <c r="C40" s="60"/>
      <c r="D40" s="61"/>
      <c r="E40" s="62"/>
      <c r="F40" s="63"/>
      <c r="G40" s="64"/>
      <c r="H40" s="65"/>
      <c r="I40" s="62"/>
      <c r="J40" s="63"/>
      <c r="K40" s="66"/>
      <c r="L40" s="67"/>
      <c r="M40" s="68"/>
      <c r="N40" s="69"/>
      <c r="O40" s="70"/>
      <c r="P40" s="60"/>
      <c r="Q40" s="61"/>
      <c r="R40" s="62"/>
      <c r="S40" s="63"/>
      <c r="T40" s="64"/>
      <c r="U40" s="65"/>
      <c r="V40" s="62"/>
      <c r="W40" s="63"/>
      <c r="X40" s="66"/>
      <c r="Y40" s="67"/>
      <c r="Z40" s="68"/>
      <c r="AA40" s="71"/>
      <c r="AB40" s="72"/>
      <c r="AC40" s="72"/>
      <c r="AD40" s="72"/>
      <c r="AE40" s="72"/>
      <c r="AF40" s="72"/>
      <c r="AG40" s="72"/>
    </row>
    <row r="41" ht="54.950000000000003" hidden="1" customHeight="1" outlineLevel="1">
      <c r="A41" s="93"/>
      <c r="B41" s="94" t="s">
        <v>27</v>
      </c>
      <c r="C41" s="95"/>
      <c r="D41" s="96"/>
      <c r="E41" s="97"/>
      <c r="F41" s="98"/>
      <c r="G41" s="99"/>
      <c r="H41" s="100"/>
      <c r="I41" s="97"/>
      <c r="J41" s="98"/>
      <c r="K41" s="101"/>
      <c r="L41" s="102"/>
      <c r="M41" s="103"/>
      <c r="N41" s="104"/>
      <c r="O41" s="70"/>
      <c r="P41" s="95"/>
      <c r="Q41" s="96"/>
      <c r="R41" s="97"/>
      <c r="S41" s="98"/>
      <c r="T41" s="99"/>
      <c r="U41" s="100"/>
      <c r="V41" s="97"/>
      <c r="W41" s="98"/>
      <c r="X41" s="101"/>
      <c r="Y41" s="102"/>
      <c r="Z41" s="103"/>
      <c r="AA41" s="105"/>
      <c r="AB41" s="72"/>
      <c r="AC41" s="72"/>
      <c r="AD41" s="72"/>
      <c r="AE41" s="72"/>
      <c r="AF41" s="72"/>
      <c r="AG41" s="72"/>
    </row>
    <row r="42" ht="30" customHeight="1" collapsed="1">
      <c r="A42" s="55"/>
      <c r="B42" s="55"/>
      <c r="C42" s="113"/>
      <c r="D42" s="113"/>
      <c r="E42" s="113"/>
      <c r="F42" s="113"/>
      <c r="G42" s="113"/>
      <c r="H42" s="113"/>
      <c r="I42" s="113"/>
      <c r="J42" s="113"/>
      <c r="K42" s="113"/>
      <c r="L42" s="113"/>
      <c r="M42" s="113"/>
      <c r="N42" s="113"/>
      <c r="O42" s="70"/>
      <c r="P42" s="113"/>
      <c r="Q42" s="113"/>
      <c r="R42" s="113"/>
      <c r="S42" s="113"/>
      <c r="T42" s="113"/>
      <c r="U42" s="113"/>
      <c r="V42" s="113"/>
      <c r="W42" s="113"/>
      <c r="X42" s="113"/>
      <c r="Y42" s="113"/>
      <c r="Z42" s="113"/>
      <c r="AA42" s="113"/>
      <c r="AB42" s="72"/>
      <c r="AC42" s="72"/>
      <c r="AD42" s="72"/>
      <c r="AE42" s="72"/>
      <c r="AF42" s="72"/>
      <c r="AG42" s="72"/>
    </row>
    <row r="43" ht="30" customHeight="1">
      <c r="A43" s="114"/>
      <c r="B43" s="115"/>
      <c r="C43" s="115"/>
      <c r="D43" s="115"/>
      <c r="E43" s="115"/>
      <c r="F43" s="115"/>
      <c r="G43" s="115"/>
      <c r="H43" s="115"/>
      <c r="I43" s="115"/>
      <c r="J43" s="115"/>
      <c r="K43" s="115"/>
      <c r="L43" s="115"/>
      <c r="M43" s="115"/>
      <c r="N43" s="115"/>
      <c r="O43" s="115"/>
      <c r="P43" s="115"/>
      <c r="Q43" s="115"/>
      <c r="R43" s="115"/>
      <c r="S43" s="115"/>
      <c r="T43" s="115"/>
      <c r="U43" s="115"/>
      <c r="V43" s="115"/>
      <c r="W43" s="115"/>
      <c r="X43" s="115"/>
      <c r="Y43" s="115"/>
      <c r="Z43" s="115"/>
      <c r="AA43" s="116"/>
      <c r="AB43" s="116"/>
      <c r="AC43" s="116"/>
      <c r="AD43" s="116"/>
      <c r="AE43" s="116"/>
      <c r="AF43" s="116"/>
      <c r="AG43" s="116"/>
      <c r="AH43" s="116"/>
      <c r="AI43" s="116"/>
      <c r="AJ43" s="116"/>
      <c r="AK43" s="116"/>
      <c r="AL43" s="116"/>
      <c r="AM43" s="116"/>
      <c r="AN43" s="117"/>
    </row>
    <row r="44" ht="32.25" customHeight="1">
      <c r="A44" s="118"/>
      <c r="B44" s="115"/>
      <c r="C44" s="119" t="str">
        <f t="shared" ref="C44:C45" si="0">C7</f>
        <v xml:space="preserve">Depuis 'La Roche'</v>
      </c>
      <c r="D44" s="120"/>
      <c r="E44" s="120"/>
      <c r="F44" s="120"/>
      <c r="G44" s="120"/>
      <c r="H44" s="120"/>
      <c r="I44" s="120"/>
      <c r="J44" s="120"/>
      <c r="K44" s="120"/>
      <c r="L44" s="120"/>
      <c r="M44" s="120"/>
      <c r="N44" s="120"/>
      <c r="O44" s="121"/>
      <c r="P44" s="119" t="str">
        <f t="shared" ref="P44:P45" si="1">P7</f>
        <v xml:space="preserve">Depuis 'Pers-Jussy'</v>
      </c>
      <c r="Q44" s="120"/>
      <c r="R44" s="120"/>
      <c r="S44" s="120"/>
      <c r="T44" s="120"/>
      <c r="U44" s="120"/>
      <c r="V44" s="120"/>
      <c r="W44" s="120"/>
      <c r="X44" s="120"/>
      <c r="Y44" s="120"/>
      <c r="Z44" s="120"/>
      <c r="AA44" s="122"/>
      <c r="AB44" s="118"/>
      <c r="AC44" s="115"/>
      <c r="AD44" s="123" t="s">
        <v>31</v>
      </c>
      <c r="AE44" s="124" t="s">
        <v>32</v>
      </c>
      <c r="AF44" s="124" t="s">
        <v>33</v>
      </c>
      <c r="AG44" s="124" t="s">
        <v>34</v>
      </c>
      <c r="AH44" s="125" t="s">
        <v>35</v>
      </c>
      <c r="AI44" s="125" t="s">
        <v>36</v>
      </c>
      <c r="AJ44" s="125" t="s">
        <v>37</v>
      </c>
      <c r="AK44" s="126" t="s">
        <v>38</v>
      </c>
      <c r="AL44" s="127"/>
      <c r="AM44" s="127"/>
      <c r="AN44" s="128"/>
    </row>
    <row r="45" ht="22.699999999999999" customHeight="1">
      <c r="A45" s="118"/>
      <c r="B45" s="115"/>
      <c r="C45" s="129" t="str">
        <f t="shared" si="0"/>
        <v xml:space="preserve">vers 'Reignier'</v>
      </c>
      <c r="D45" s="130"/>
      <c r="E45" s="130"/>
      <c r="F45" s="130"/>
      <c r="G45" s="129" t="str">
        <f>G8</f>
        <v xml:space="preserve">vers 'Casino'</v>
      </c>
      <c r="H45" s="130"/>
      <c r="I45" s="130"/>
      <c r="J45" s="130"/>
      <c r="K45" s="129" t="str">
        <f>K8</f>
        <v xml:space="preserve">vers 'Pers-Jussy'</v>
      </c>
      <c r="L45" s="130"/>
      <c r="M45" s="130"/>
      <c r="N45" s="130"/>
      <c r="O45" s="131"/>
      <c r="P45" s="129" t="str">
        <f t="shared" si="1"/>
        <v xml:space="preserve">vers 'La Roche'</v>
      </c>
      <c r="Q45" s="130"/>
      <c r="R45" s="130"/>
      <c r="S45" s="130"/>
      <c r="T45" s="129" t="str">
        <f>T8</f>
        <v xml:space="preserve">vers 'Reignier'</v>
      </c>
      <c r="U45" s="130"/>
      <c r="V45" s="130"/>
      <c r="W45" s="130"/>
      <c r="X45" s="129" t="str">
        <f>X8</f>
        <v xml:space="preserve">vers 'Casino'</v>
      </c>
      <c r="Y45" s="130"/>
      <c r="Z45" s="130"/>
      <c r="AA45" s="132"/>
      <c r="AB45" s="118"/>
      <c r="AC45" s="115"/>
      <c r="AD45" s="133"/>
      <c r="AE45" s="134"/>
      <c r="AF45" s="134"/>
      <c r="AG45" s="134"/>
      <c r="AH45" s="135"/>
      <c r="AI45" s="135"/>
      <c r="AJ45" s="135"/>
      <c r="AK45" s="136"/>
      <c r="AL45" s="137"/>
      <c r="AM45" s="137"/>
      <c r="AN45" s="138"/>
    </row>
    <row r="46" ht="18.600000000000001" customHeight="1">
      <c r="A46" s="118"/>
      <c r="B46" s="115"/>
      <c r="C46" s="139" t="s">
        <v>18</v>
      </c>
      <c r="D46" s="140"/>
      <c r="E46" s="141" t="s">
        <v>19</v>
      </c>
      <c r="F46" s="142"/>
      <c r="G46" s="142" t="s">
        <v>18</v>
      </c>
      <c r="H46" s="139"/>
      <c r="I46" s="141" t="s">
        <v>19</v>
      </c>
      <c r="J46" s="142"/>
      <c r="K46" s="142" t="s">
        <v>18</v>
      </c>
      <c r="L46" s="139"/>
      <c r="M46" s="141" t="s">
        <v>19</v>
      </c>
      <c r="N46" s="142"/>
      <c r="O46" s="142"/>
      <c r="P46" s="142" t="s">
        <v>18</v>
      </c>
      <c r="Q46" s="139"/>
      <c r="R46" s="141" t="s">
        <v>19</v>
      </c>
      <c r="S46" s="142"/>
      <c r="T46" s="142" t="s">
        <v>18</v>
      </c>
      <c r="U46" s="139"/>
      <c r="V46" s="141" t="s">
        <v>19</v>
      </c>
      <c r="W46" s="142"/>
      <c r="X46" s="142" t="s">
        <v>18</v>
      </c>
      <c r="Y46" s="139"/>
      <c r="Z46" s="140" t="s">
        <v>19</v>
      </c>
      <c r="AA46" s="141"/>
      <c r="AB46" s="143"/>
      <c r="AC46" s="115"/>
      <c r="AD46" s="133"/>
      <c r="AE46" s="134"/>
      <c r="AF46" s="134"/>
      <c r="AG46" s="134"/>
      <c r="AH46" s="135"/>
      <c r="AI46" s="135"/>
      <c r="AJ46" s="135"/>
      <c r="AK46" s="136"/>
      <c r="AL46" s="137"/>
      <c r="AM46" s="137"/>
      <c r="AN46" s="138"/>
    </row>
    <row r="47" ht="21">
      <c r="A47" s="144" t="s">
        <v>39</v>
      </c>
      <c r="B47" s="145"/>
      <c r="C47" s="146" t="s">
        <v>22</v>
      </c>
      <c r="D47" s="147" t="s">
        <v>23</v>
      </c>
      <c r="E47" s="148" t="s">
        <v>22</v>
      </c>
      <c r="F47" s="149" t="s">
        <v>23</v>
      </c>
      <c r="G47" s="146" t="s">
        <v>22</v>
      </c>
      <c r="H47" s="147" t="s">
        <v>23</v>
      </c>
      <c r="I47" s="148" t="s">
        <v>22</v>
      </c>
      <c r="J47" s="149" t="s">
        <v>23</v>
      </c>
      <c r="K47" s="146" t="s">
        <v>22</v>
      </c>
      <c r="L47" s="147" t="s">
        <v>23</v>
      </c>
      <c r="M47" s="148" t="s">
        <v>22</v>
      </c>
      <c r="N47" s="149" t="s">
        <v>23</v>
      </c>
      <c r="O47" s="150"/>
      <c r="P47" s="146" t="s">
        <v>22</v>
      </c>
      <c r="Q47" s="147" t="s">
        <v>23</v>
      </c>
      <c r="R47" s="148" t="s">
        <v>22</v>
      </c>
      <c r="S47" s="149" t="s">
        <v>23</v>
      </c>
      <c r="T47" s="146" t="s">
        <v>22</v>
      </c>
      <c r="U47" s="147" t="s">
        <v>23</v>
      </c>
      <c r="V47" s="148" t="s">
        <v>22</v>
      </c>
      <c r="W47" s="149" t="s">
        <v>23</v>
      </c>
      <c r="X47" s="146" t="s">
        <v>22</v>
      </c>
      <c r="Y47" s="147" t="s">
        <v>23</v>
      </c>
      <c r="Z47" s="148" t="s">
        <v>22</v>
      </c>
      <c r="AA47" s="149" t="s">
        <v>23</v>
      </c>
      <c r="AB47" s="151" t="s">
        <v>39</v>
      </c>
      <c r="AC47" s="152"/>
      <c r="AD47" s="133"/>
      <c r="AE47" s="153"/>
      <c r="AF47" s="153"/>
      <c r="AG47" s="153"/>
      <c r="AH47" s="154"/>
      <c r="AI47" s="154"/>
      <c r="AJ47" s="154"/>
      <c r="AK47" s="155"/>
      <c r="AL47" s="156"/>
      <c r="AM47" s="156"/>
      <c r="AN47" s="157"/>
    </row>
    <row r="48" ht="54.950000000000003" customHeight="1">
      <c r="A48" s="158" t="s">
        <v>40</v>
      </c>
      <c r="B48" s="159"/>
      <c r="C48" s="160">
        <f t="shared" ref="C48:AA48" si="2">SUM(C11:C14)</f>
        <v>1</v>
      </c>
      <c r="D48" s="161">
        <f t="shared" si="2"/>
        <v>3</v>
      </c>
      <c r="E48" s="162">
        <f t="shared" si="2"/>
        <v>2</v>
      </c>
      <c r="F48" s="163">
        <f t="shared" si="2"/>
        <v>0</v>
      </c>
      <c r="G48" s="160">
        <f t="shared" si="2"/>
        <v>0</v>
      </c>
      <c r="H48" s="161">
        <f t="shared" si="2"/>
        <v>0</v>
      </c>
      <c r="I48" s="162">
        <f t="shared" si="2"/>
        <v>0</v>
      </c>
      <c r="J48" s="163">
        <f t="shared" si="2"/>
        <v>0</v>
      </c>
      <c r="K48" s="160">
        <f t="shared" si="2"/>
        <v>0</v>
      </c>
      <c r="L48" s="161">
        <f t="shared" si="2"/>
        <v>0</v>
      </c>
      <c r="M48" s="162">
        <f t="shared" si="2"/>
        <v>0</v>
      </c>
      <c r="N48" s="163">
        <f t="shared" si="2"/>
        <v>0</v>
      </c>
      <c r="O48" s="164"/>
      <c r="P48" s="160">
        <f t="shared" si="2"/>
        <v>0</v>
      </c>
      <c r="Q48" s="161">
        <f t="shared" si="2"/>
        <v>0</v>
      </c>
      <c r="R48" s="162">
        <f t="shared" si="2"/>
        <v>0</v>
      </c>
      <c r="S48" s="163">
        <f t="shared" si="2"/>
        <v>0</v>
      </c>
      <c r="T48" s="160">
        <f t="shared" si="2"/>
        <v>1</v>
      </c>
      <c r="U48" s="161">
        <f t="shared" si="2"/>
        <v>0</v>
      </c>
      <c r="V48" s="162">
        <f t="shared" si="2"/>
        <v>1</v>
      </c>
      <c r="W48" s="163">
        <f t="shared" si="2"/>
        <v>0</v>
      </c>
      <c r="X48" s="160">
        <f t="shared" si="2"/>
        <v>0</v>
      </c>
      <c r="Y48" s="161">
        <f t="shared" si="2"/>
        <v>0</v>
      </c>
      <c r="Z48" s="162">
        <f t="shared" si="2"/>
        <v>0</v>
      </c>
      <c r="AA48" s="163">
        <f t="shared" si="2"/>
        <v>0</v>
      </c>
      <c r="AB48" s="165" t="s">
        <v>40</v>
      </c>
      <c r="AC48" s="166"/>
      <c r="AD48" s="167">
        <f t="shared" ref="AD48:AD53" si="3">SUM(C48:AA48)+SUM(C60:AA60)</f>
        <v>8</v>
      </c>
      <c r="AE48" s="168">
        <f t="shared" ref="AE48:AE54" si="4">IF(AD48=0,0,AE60/AD48)</f>
        <v>0.625</v>
      </c>
      <c r="AF48" s="168">
        <f t="shared" ref="AF48:AF54" si="5">IF(AD48=0,0,AF60/AD48)</f>
        <v>0.375</v>
      </c>
      <c r="AG48" s="168">
        <f t="shared" ref="AG48:AG54" si="6">IF(AF60=0,0,AG60/AF60)</f>
        <v>1</v>
      </c>
      <c r="AH48" s="168">
        <f t="shared" ref="AH48:AH54" si="7">IF(AD48=0,0,AH60/AD48)</f>
        <v>1</v>
      </c>
      <c r="AI48" s="169">
        <f t="shared" ref="AI48:AI54" si="8">IF(AD48=0,0,AI60/AD48)</f>
        <v>0.25</v>
      </c>
      <c r="AJ48" s="169">
        <f t="shared" ref="AJ48:AJ54" si="9">IF(AD48=0,0,AJ60/AD48)</f>
        <v>0.75</v>
      </c>
      <c r="AK48" s="170"/>
      <c r="AL48" s="171"/>
      <c r="AM48" s="171"/>
      <c r="AN48" s="172"/>
    </row>
    <row r="49" ht="54.950000000000003" customHeight="1">
      <c r="A49" s="173" t="s">
        <v>41</v>
      </c>
      <c r="B49" s="174"/>
      <c r="C49" s="175">
        <f t="shared" ref="C49:AA49" si="10">SUM(C13:C16)</f>
        <v>2</v>
      </c>
      <c r="D49" s="176">
        <f t="shared" si="10"/>
        <v>5</v>
      </c>
      <c r="E49" s="177">
        <f t="shared" si="10"/>
        <v>3</v>
      </c>
      <c r="F49" s="178">
        <f t="shared" si="10"/>
        <v>2</v>
      </c>
      <c r="G49" s="175">
        <f t="shared" si="10"/>
        <v>0</v>
      </c>
      <c r="H49" s="176">
        <f t="shared" si="10"/>
        <v>0</v>
      </c>
      <c r="I49" s="177">
        <f t="shared" si="10"/>
        <v>0</v>
      </c>
      <c r="J49" s="178">
        <f t="shared" si="10"/>
        <v>0</v>
      </c>
      <c r="K49" s="175">
        <f t="shared" si="10"/>
        <v>0</v>
      </c>
      <c r="L49" s="176">
        <f t="shared" si="10"/>
        <v>0</v>
      </c>
      <c r="M49" s="177">
        <f t="shared" si="10"/>
        <v>0</v>
      </c>
      <c r="N49" s="178">
        <f t="shared" si="10"/>
        <v>0</v>
      </c>
      <c r="O49" s="179"/>
      <c r="P49" s="175">
        <f t="shared" si="10"/>
        <v>0</v>
      </c>
      <c r="Q49" s="176">
        <f t="shared" si="10"/>
        <v>0</v>
      </c>
      <c r="R49" s="177">
        <f t="shared" si="10"/>
        <v>0</v>
      </c>
      <c r="S49" s="178">
        <f t="shared" si="10"/>
        <v>0</v>
      </c>
      <c r="T49" s="175">
        <f t="shared" si="10"/>
        <v>1</v>
      </c>
      <c r="U49" s="176">
        <f t="shared" si="10"/>
        <v>0</v>
      </c>
      <c r="V49" s="177">
        <f t="shared" si="10"/>
        <v>2</v>
      </c>
      <c r="W49" s="178">
        <f t="shared" si="10"/>
        <v>1</v>
      </c>
      <c r="X49" s="175">
        <f t="shared" si="10"/>
        <v>0</v>
      </c>
      <c r="Y49" s="176">
        <f t="shared" si="10"/>
        <v>0</v>
      </c>
      <c r="Z49" s="177">
        <f t="shared" si="10"/>
        <v>0</v>
      </c>
      <c r="AA49" s="178">
        <f t="shared" si="10"/>
        <v>1</v>
      </c>
      <c r="AB49" s="180" t="s">
        <v>41</v>
      </c>
      <c r="AC49" s="181"/>
      <c r="AD49" s="182">
        <f t="shared" si="3"/>
        <v>17</v>
      </c>
      <c r="AE49" s="183">
        <f t="shared" si="4"/>
        <v>0.47058823529411764</v>
      </c>
      <c r="AF49" s="183">
        <f t="shared" si="5"/>
        <v>0.52941176470588236</v>
      </c>
      <c r="AG49" s="183">
        <f t="shared" si="6"/>
        <v>0.55555555555555558</v>
      </c>
      <c r="AH49" s="183">
        <f t="shared" si="7"/>
        <v>0.94117647058823528</v>
      </c>
      <c r="AI49" s="184">
        <f t="shared" si="8"/>
        <v>0.29411764705882354</v>
      </c>
      <c r="AJ49" s="184">
        <f t="shared" si="9"/>
        <v>0.70588235294117652</v>
      </c>
      <c r="AK49" s="185"/>
      <c r="AL49" s="186"/>
      <c r="AM49" s="186"/>
      <c r="AN49" s="187"/>
    </row>
    <row r="50" ht="54.950000000000003" customHeight="1">
      <c r="A50" s="173" t="s">
        <v>42</v>
      </c>
      <c r="B50" s="174"/>
      <c r="C50" s="175">
        <f t="shared" ref="C50:AA50" si="11">SUM(C15:C18)</f>
        <v>1</v>
      </c>
      <c r="D50" s="176">
        <f t="shared" si="11"/>
        <v>3</v>
      </c>
      <c r="E50" s="177">
        <f t="shared" si="11"/>
        <v>2</v>
      </c>
      <c r="F50" s="178">
        <f t="shared" si="11"/>
        <v>2</v>
      </c>
      <c r="G50" s="175">
        <f t="shared" si="11"/>
        <v>0</v>
      </c>
      <c r="H50" s="176">
        <f t="shared" si="11"/>
        <v>0</v>
      </c>
      <c r="I50" s="177">
        <f t="shared" si="11"/>
        <v>0</v>
      </c>
      <c r="J50" s="178">
        <f t="shared" si="11"/>
        <v>0</v>
      </c>
      <c r="K50" s="175">
        <f t="shared" si="11"/>
        <v>0</v>
      </c>
      <c r="L50" s="176">
        <f t="shared" si="11"/>
        <v>0</v>
      </c>
      <c r="M50" s="177">
        <f t="shared" si="11"/>
        <v>0</v>
      </c>
      <c r="N50" s="178">
        <f t="shared" si="11"/>
        <v>0</v>
      </c>
      <c r="O50" s="179"/>
      <c r="P50" s="175">
        <f t="shared" si="11"/>
        <v>0</v>
      </c>
      <c r="Q50" s="176">
        <f t="shared" si="11"/>
        <v>0</v>
      </c>
      <c r="R50" s="177">
        <f t="shared" si="11"/>
        <v>0</v>
      </c>
      <c r="S50" s="178">
        <f t="shared" si="11"/>
        <v>0</v>
      </c>
      <c r="T50" s="175">
        <f t="shared" si="11"/>
        <v>0</v>
      </c>
      <c r="U50" s="176">
        <f t="shared" si="11"/>
        <v>1</v>
      </c>
      <c r="V50" s="177">
        <f t="shared" si="11"/>
        <v>1</v>
      </c>
      <c r="W50" s="178">
        <f t="shared" si="11"/>
        <v>1</v>
      </c>
      <c r="X50" s="175">
        <f t="shared" si="11"/>
        <v>0</v>
      </c>
      <c r="Y50" s="176">
        <f t="shared" si="11"/>
        <v>0</v>
      </c>
      <c r="Z50" s="177">
        <f t="shared" si="11"/>
        <v>0</v>
      </c>
      <c r="AA50" s="178">
        <f t="shared" si="11"/>
        <v>1</v>
      </c>
      <c r="AB50" s="180" t="s">
        <v>42</v>
      </c>
      <c r="AC50" s="181"/>
      <c r="AD50" s="182">
        <f t="shared" si="3"/>
        <v>14</v>
      </c>
      <c r="AE50" s="183">
        <f t="shared" si="4"/>
        <v>0.42857142857142855</v>
      </c>
      <c r="AF50" s="183">
        <f t="shared" si="5"/>
        <v>0.5714285714285714</v>
      </c>
      <c r="AG50" s="183">
        <f t="shared" si="6"/>
        <v>0.5</v>
      </c>
      <c r="AH50" s="183">
        <f t="shared" si="7"/>
        <v>0.7857142857142857</v>
      </c>
      <c r="AI50" s="184">
        <f t="shared" si="8"/>
        <v>0.2857142857142857</v>
      </c>
      <c r="AJ50" s="184">
        <f t="shared" si="9"/>
        <v>0.5714285714285714</v>
      </c>
      <c r="AK50" s="185"/>
      <c r="AL50" s="186"/>
      <c r="AM50" s="186"/>
      <c r="AN50" s="187"/>
    </row>
    <row r="51" ht="54.950000000000003" customHeight="1">
      <c r="A51" s="173" t="s">
        <v>43</v>
      </c>
      <c r="B51" s="174"/>
      <c r="C51" s="175">
        <f t="shared" ref="C51:AA51" si="12">SUM(C17:C20)</f>
        <v>0</v>
      </c>
      <c r="D51" s="176">
        <f t="shared" si="12"/>
        <v>1</v>
      </c>
      <c r="E51" s="177">
        <f t="shared" si="12"/>
        <v>2</v>
      </c>
      <c r="F51" s="178">
        <f t="shared" si="12"/>
        <v>0</v>
      </c>
      <c r="G51" s="175">
        <f t="shared" si="12"/>
        <v>0</v>
      </c>
      <c r="H51" s="176">
        <f t="shared" si="12"/>
        <v>0</v>
      </c>
      <c r="I51" s="177">
        <f t="shared" si="12"/>
        <v>0</v>
      </c>
      <c r="J51" s="178">
        <f t="shared" si="12"/>
        <v>0</v>
      </c>
      <c r="K51" s="175">
        <f t="shared" si="12"/>
        <v>0</v>
      </c>
      <c r="L51" s="176">
        <f t="shared" si="12"/>
        <v>0</v>
      </c>
      <c r="M51" s="177">
        <f t="shared" si="12"/>
        <v>0</v>
      </c>
      <c r="N51" s="178">
        <f t="shared" si="12"/>
        <v>0</v>
      </c>
      <c r="O51" s="179"/>
      <c r="P51" s="175">
        <f t="shared" si="12"/>
        <v>0</v>
      </c>
      <c r="Q51" s="176">
        <f t="shared" si="12"/>
        <v>0</v>
      </c>
      <c r="R51" s="177">
        <f t="shared" si="12"/>
        <v>0</v>
      </c>
      <c r="S51" s="178">
        <f t="shared" si="12"/>
        <v>0</v>
      </c>
      <c r="T51" s="175">
        <f t="shared" si="12"/>
        <v>0</v>
      </c>
      <c r="U51" s="176">
        <f t="shared" si="12"/>
        <v>2</v>
      </c>
      <c r="V51" s="177">
        <f t="shared" si="12"/>
        <v>0</v>
      </c>
      <c r="W51" s="178">
        <f t="shared" si="12"/>
        <v>1</v>
      </c>
      <c r="X51" s="175">
        <f t="shared" si="12"/>
        <v>0</v>
      </c>
      <c r="Y51" s="176">
        <f t="shared" si="12"/>
        <v>0</v>
      </c>
      <c r="Z51" s="177">
        <f t="shared" si="12"/>
        <v>0</v>
      </c>
      <c r="AA51" s="178">
        <f t="shared" si="12"/>
        <v>0</v>
      </c>
      <c r="AB51" s="180" t="s">
        <v>43</v>
      </c>
      <c r="AC51" s="181"/>
      <c r="AD51" s="182">
        <f t="shared" si="3"/>
        <v>10</v>
      </c>
      <c r="AE51" s="183">
        <f t="shared" si="4"/>
        <v>0.40000000000000002</v>
      </c>
      <c r="AF51" s="183">
        <f t="shared" si="5"/>
        <v>0.40000000000000002</v>
      </c>
      <c r="AG51" s="183">
        <f t="shared" si="6"/>
        <v>0.75</v>
      </c>
      <c r="AH51" s="183">
        <f t="shared" si="7"/>
        <v>0.59999999999999998</v>
      </c>
      <c r="AI51" s="184">
        <f t="shared" si="8"/>
        <v>0.29999999999999999</v>
      </c>
      <c r="AJ51" s="184">
        <f t="shared" si="9"/>
        <v>0.29999999999999999</v>
      </c>
      <c r="AK51" s="185"/>
      <c r="AL51" s="186"/>
      <c r="AM51" s="186"/>
      <c r="AN51" s="187"/>
    </row>
    <row r="52" ht="54.950000000000003" customHeight="1">
      <c r="A52" s="188" t="s">
        <v>44</v>
      </c>
      <c r="B52" s="189"/>
      <c r="C52" s="190">
        <f t="shared" ref="C52:AA52" si="13">SUM(C19:C22)</f>
        <v>0</v>
      </c>
      <c r="D52" s="191">
        <f t="shared" si="13"/>
        <v>0</v>
      </c>
      <c r="E52" s="192">
        <f t="shared" si="13"/>
        <v>1</v>
      </c>
      <c r="F52" s="193">
        <f t="shared" si="13"/>
        <v>0</v>
      </c>
      <c r="G52" s="190">
        <f t="shared" si="13"/>
        <v>0</v>
      </c>
      <c r="H52" s="191">
        <f t="shared" si="13"/>
        <v>0</v>
      </c>
      <c r="I52" s="192">
        <f t="shared" si="13"/>
        <v>0</v>
      </c>
      <c r="J52" s="193">
        <f t="shared" si="13"/>
        <v>0</v>
      </c>
      <c r="K52" s="190">
        <f t="shared" si="13"/>
        <v>0</v>
      </c>
      <c r="L52" s="191">
        <f t="shared" si="13"/>
        <v>0</v>
      </c>
      <c r="M52" s="192">
        <f t="shared" si="13"/>
        <v>0</v>
      </c>
      <c r="N52" s="193">
        <f t="shared" si="13"/>
        <v>0</v>
      </c>
      <c r="O52" s="194"/>
      <c r="P52" s="190">
        <f t="shared" si="13"/>
        <v>0</v>
      </c>
      <c r="Q52" s="191">
        <f t="shared" si="13"/>
        <v>0</v>
      </c>
      <c r="R52" s="192">
        <f t="shared" si="13"/>
        <v>0</v>
      </c>
      <c r="S52" s="193">
        <f t="shared" si="13"/>
        <v>0</v>
      </c>
      <c r="T52" s="190">
        <f t="shared" si="13"/>
        <v>0</v>
      </c>
      <c r="U52" s="191">
        <f t="shared" si="13"/>
        <v>1</v>
      </c>
      <c r="V52" s="192">
        <f t="shared" si="13"/>
        <v>0</v>
      </c>
      <c r="W52" s="193">
        <f t="shared" si="13"/>
        <v>1</v>
      </c>
      <c r="X52" s="190">
        <f t="shared" si="13"/>
        <v>0</v>
      </c>
      <c r="Y52" s="191">
        <f t="shared" si="13"/>
        <v>0</v>
      </c>
      <c r="Z52" s="192">
        <f t="shared" si="13"/>
        <v>0</v>
      </c>
      <c r="AA52" s="193">
        <f t="shared" si="13"/>
        <v>0</v>
      </c>
      <c r="AB52" s="195" t="s">
        <v>44</v>
      </c>
      <c r="AC52" s="196"/>
      <c r="AD52" s="197">
        <f t="shared" si="3"/>
        <v>5</v>
      </c>
      <c r="AE52" s="198">
        <f t="shared" si="4"/>
        <v>0.20000000000000001</v>
      </c>
      <c r="AF52" s="198">
        <f t="shared" si="5"/>
        <v>0.40000000000000002</v>
      </c>
      <c r="AG52" s="198">
        <f t="shared" si="6"/>
        <v>0.5</v>
      </c>
      <c r="AH52" s="198">
        <f t="shared" si="7"/>
        <v>0.59999999999999998</v>
      </c>
      <c r="AI52" s="199">
        <f t="shared" si="8"/>
        <v>0.40000000000000002</v>
      </c>
      <c r="AJ52" s="199">
        <f t="shared" si="9"/>
        <v>0.20000000000000001</v>
      </c>
      <c r="AK52" s="200"/>
      <c r="AL52" s="201"/>
      <c r="AM52" s="201"/>
      <c r="AN52" s="202"/>
    </row>
    <row r="53" ht="54.950000000000003" customHeight="1">
      <c r="A53" s="203" t="s">
        <v>31</v>
      </c>
      <c r="B53" s="204"/>
      <c r="C53" s="205">
        <f t="shared" ref="C53:AA53" si="14">SUM(C11:C22)</f>
        <v>2</v>
      </c>
      <c r="D53" s="206">
        <f t="shared" si="14"/>
        <v>6</v>
      </c>
      <c r="E53" s="207">
        <f t="shared" si="14"/>
        <v>5</v>
      </c>
      <c r="F53" s="208">
        <f t="shared" si="14"/>
        <v>2</v>
      </c>
      <c r="G53" s="205">
        <f t="shared" si="14"/>
        <v>0</v>
      </c>
      <c r="H53" s="206">
        <f t="shared" si="14"/>
        <v>0</v>
      </c>
      <c r="I53" s="207">
        <f t="shared" si="14"/>
        <v>0</v>
      </c>
      <c r="J53" s="208">
        <f t="shared" si="14"/>
        <v>0</v>
      </c>
      <c r="K53" s="205">
        <f t="shared" si="14"/>
        <v>0</v>
      </c>
      <c r="L53" s="206">
        <f t="shared" si="14"/>
        <v>0</v>
      </c>
      <c r="M53" s="207">
        <f t="shared" si="14"/>
        <v>0</v>
      </c>
      <c r="N53" s="208">
        <f t="shared" si="14"/>
        <v>0</v>
      </c>
      <c r="O53" s="209"/>
      <c r="P53" s="205">
        <f t="shared" si="14"/>
        <v>0</v>
      </c>
      <c r="Q53" s="206">
        <f t="shared" si="14"/>
        <v>0</v>
      </c>
      <c r="R53" s="207">
        <f t="shared" si="14"/>
        <v>0</v>
      </c>
      <c r="S53" s="208">
        <f t="shared" si="14"/>
        <v>0</v>
      </c>
      <c r="T53" s="205">
        <f t="shared" si="14"/>
        <v>1</v>
      </c>
      <c r="U53" s="206">
        <f t="shared" si="14"/>
        <v>2</v>
      </c>
      <c r="V53" s="207">
        <f t="shared" si="14"/>
        <v>2</v>
      </c>
      <c r="W53" s="208">
        <f t="shared" si="14"/>
        <v>2</v>
      </c>
      <c r="X53" s="205">
        <f t="shared" si="14"/>
        <v>0</v>
      </c>
      <c r="Y53" s="206">
        <f t="shared" si="14"/>
        <v>0</v>
      </c>
      <c r="Z53" s="207">
        <f t="shared" si="14"/>
        <v>0</v>
      </c>
      <c r="AA53" s="208">
        <f t="shared" si="14"/>
        <v>1</v>
      </c>
      <c r="AB53" s="210" t="s">
        <v>31</v>
      </c>
      <c r="AC53" s="211"/>
      <c r="AD53" s="212">
        <f t="shared" si="3"/>
        <v>27</v>
      </c>
      <c r="AE53" s="213">
        <f t="shared" si="4"/>
        <v>0.44444444444444442</v>
      </c>
      <c r="AF53" s="213">
        <f t="shared" si="5"/>
        <v>0.48148148148148145</v>
      </c>
      <c r="AG53" s="213">
        <f t="shared" si="6"/>
        <v>0.61538461538461542</v>
      </c>
      <c r="AH53" s="213">
        <f t="shared" si="7"/>
        <v>0.81481481481481477</v>
      </c>
      <c r="AI53" s="214">
        <f t="shared" si="8"/>
        <v>0.29629629629629628</v>
      </c>
      <c r="AJ53" s="214">
        <f t="shared" si="9"/>
        <v>0.55555555555555558</v>
      </c>
      <c r="AK53" s="215"/>
      <c r="AL53" s="216"/>
      <c r="AM53" s="216"/>
      <c r="AN53" s="217"/>
    </row>
    <row r="54" ht="54.950000000000003" customHeight="1">
      <c r="A54" s="218" t="str">
        <f>IF($AD$48=MAX($AD$48:$AD$52),A48,IF($AD$49=MAX($AD$48:$AD$52),A49,IF($AD$50=MAX($AD$48:$AD$52),A50,IF($AD$51=MAX($AD$48:$AD$52),A51,A52))))</f>
        <v xml:space="preserve">de 7:00 à 8:00</v>
      </c>
      <c r="B54" s="219"/>
      <c r="C54" s="220">
        <f t="shared" ref="C54:N54" si="15">IF($AD$48=MAX($AD$48:$AD$52),C48,IF($AD$49=MAX($AD$48:$AD$52),C49,IF($AD$50=MAX($AD$48:$AD$52),C50,IF($AD$51=MAX($AD$48:$AD$52),(C51),C52))))</f>
        <v>2</v>
      </c>
      <c r="D54" s="221">
        <f t="shared" si="15"/>
        <v>5</v>
      </c>
      <c r="E54" s="222">
        <f t="shared" si="15"/>
        <v>3</v>
      </c>
      <c r="F54" s="223">
        <f t="shared" si="15"/>
        <v>2</v>
      </c>
      <c r="G54" s="220">
        <f t="shared" si="15"/>
        <v>0</v>
      </c>
      <c r="H54" s="221">
        <f t="shared" si="15"/>
        <v>0</v>
      </c>
      <c r="I54" s="222">
        <f t="shared" si="15"/>
        <v>0</v>
      </c>
      <c r="J54" s="223">
        <f t="shared" si="15"/>
        <v>0</v>
      </c>
      <c r="K54" s="220">
        <f t="shared" si="15"/>
        <v>0</v>
      </c>
      <c r="L54" s="221">
        <f t="shared" si="15"/>
        <v>0</v>
      </c>
      <c r="M54" s="222">
        <f t="shared" si="15"/>
        <v>0</v>
      </c>
      <c r="N54" s="223">
        <f t="shared" si="15"/>
        <v>0</v>
      </c>
      <c r="O54" s="224"/>
      <c r="P54" s="220">
        <f t="shared" ref="P54:AA54" si="16">IF($AD$48=MAX($AD$48:$AD$52),P48,IF($AD$49=MAX($AD$48:$AD$52),P49,IF($AD$50=MAX($AD$48:$AD$52),P50,IF($AD$51=MAX($AD$48:$AD$52),(P51),P52))))</f>
        <v>0</v>
      </c>
      <c r="Q54" s="221">
        <f t="shared" si="16"/>
        <v>0</v>
      </c>
      <c r="R54" s="222">
        <f t="shared" si="16"/>
        <v>0</v>
      </c>
      <c r="S54" s="223">
        <f t="shared" si="16"/>
        <v>0</v>
      </c>
      <c r="T54" s="220">
        <f t="shared" si="16"/>
        <v>1</v>
      </c>
      <c r="U54" s="221">
        <f t="shared" si="16"/>
        <v>0</v>
      </c>
      <c r="V54" s="222">
        <f t="shared" si="16"/>
        <v>2</v>
      </c>
      <c r="W54" s="223">
        <f t="shared" si="16"/>
        <v>1</v>
      </c>
      <c r="X54" s="220">
        <f t="shared" si="16"/>
        <v>0</v>
      </c>
      <c r="Y54" s="221">
        <f t="shared" si="16"/>
        <v>0</v>
      </c>
      <c r="Z54" s="222">
        <f t="shared" si="16"/>
        <v>0</v>
      </c>
      <c r="AA54" s="223">
        <f t="shared" si="16"/>
        <v>1</v>
      </c>
      <c r="AB54" s="225" t="str">
        <f>IF($AD$48=MAX($AD$48:$AD$52),A48,IF($AD$49=MAX($AD$48:$AD$52),A49,IF($AD$50=MAX($AD$48:$AD$52),A50,IF($AD$51=MAX($AD$48:$AD$52),A51,A52))))</f>
        <v xml:space="preserve">de 7:00 à 8:00</v>
      </c>
      <c r="AC54" s="226"/>
      <c r="AD54" s="227">
        <f>IF($AD$48=MAX($AD$48:$AD$52),AD48,IF($AD$49=MAX($AD$48:$AD$52),AD49,IF($AD$50=MAX($AD$48:$AD$52),AD50,IF($AD$51=MAX($AD$48:$AD$52),(AD51),AD52))))</f>
        <v>17</v>
      </c>
      <c r="AE54" s="228">
        <f t="shared" si="4"/>
        <v>0.47058823529411764</v>
      </c>
      <c r="AF54" s="228">
        <f t="shared" si="5"/>
        <v>0.52941176470588236</v>
      </c>
      <c r="AG54" s="228">
        <f t="shared" si="6"/>
        <v>0.55555555555555558</v>
      </c>
      <c r="AH54" s="228">
        <f t="shared" si="7"/>
        <v>0.94117647058823528</v>
      </c>
      <c r="AI54" s="229">
        <f t="shared" si="8"/>
        <v>0.29411764705882354</v>
      </c>
      <c r="AJ54" s="229">
        <f t="shared" si="9"/>
        <v>0.70588235294117652</v>
      </c>
      <c r="AK54" s="230"/>
      <c r="AL54" s="231"/>
      <c r="AM54" s="231"/>
      <c r="AN54" s="232"/>
    </row>
    <row r="55" ht="12.75" customHeight="1">
      <c r="A55" s="114"/>
      <c r="B55" s="115"/>
      <c r="C55" s="115"/>
      <c r="D55" s="115"/>
      <c r="E55" s="115"/>
      <c r="F55" s="115"/>
      <c r="G55" s="115"/>
      <c r="H55" s="115"/>
      <c r="I55" s="115"/>
      <c r="J55" s="115"/>
      <c r="K55" s="115"/>
      <c r="L55" s="115"/>
      <c r="M55" s="115"/>
      <c r="N55" s="115"/>
      <c r="O55" s="115"/>
      <c r="P55" s="115"/>
      <c r="Q55" s="115"/>
      <c r="R55" s="115"/>
      <c r="S55" s="115"/>
      <c r="T55" s="115"/>
      <c r="U55" s="115"/>
      <c r="V55" s="115"/>
      <c r="W55" s="115"/>
      <c r="X55" s="115"/>
      <c r="Y55" s="115"/>
      <c r="Z55" s="115"/>
      <c r="AA55" s="116"/>
      <c r="AB55" s="233"/>
      <c r="AC55" s="233"/>
      <c r="AD55" s="234"/>
      <c r="AE55" s="235"/>
      <c r="AF55" s="235"/>
      <c r="AG55" s="235"/>
      <c r="AH55" s="235"/>
      <c r="AI55" s="236"/>
      <c r="AJ55" s="236"/>
      <c r="AK55" s="236"/>
      <c r="AL55" s="237"/>
      <c r="AM55" s="237"/>
      <c r="AN55" s="237"/>
    </row>
    <row r="56" ht="32.25" customHeight="1">
      <c r="A56" s="118"/>
      <c r="B56" s="115"/>
      <c r="C56" s="119" t="str">
        <f t="shared" ref="C56:C57" si="17">C26</f>
        <v xml:space="preserve">Depuis 'Reignier'</v>
      </c>
      <c r="D56" s="120"/>
      <c r="E56" s="120"/>
      <c r="F56" s="120"/>
      <c r="G56" s="120"/>
      <c r="H56" s="120"/>
      <c r="I56" s="120"/>
      <c r="J56" s="120"/>
      <c r="K56" s="120"/>
      <c r="L56" s="120"/>
      <c r="M56" s="120"/>
      <c r="N56" s="120"/>
      <c r="O56" s="121"/>
      <c r="P56" s="119" t="str">
        <f t="shared" ref="P56:P57" si="18">P26</f>
        <v xml:space="preserve">Depuis 'Casino'</v>
      </c>
      <c r="Q56" s="120"/>
      <c r="R56" s="120"/>
      <c r="S56" s="120"/>
      <c r="T56" s="120"/>
      <c r="U56" s="120"/>
      <c r="V56" s="120"/>
      <c r="W56" s="120"/>
      <c r="X56" s="120"/>
      <c r="Y56" s="120"/>
      <c r="Z56" s="120"/>
      <c r="AA56" s="122"/>
      <c r="AB56" s="233"/>
      <c r="AC56" s="233"/>
      <c r="AD56" s="234"/>
      <c r="AE56" s="124" t="s">
        <v>45</v>
      </c>
      <c r="AF56" s="124" t="s">
        <v>46</v>
      </c>
      <c r="AG56" s="124" t="s">
        <v>47</v>
      </c>
      <c r="AH56" s="125" t="s">
        <v>48</v>
      </c>
      <c r="AI56" s="125" t="s">
        <v>49</v>
      </c>
      <c r="AJ56" s="125" t="s">
        <v>50</v>
      </c>
      <c r="AK56" s="236"/>
      <c r="AL56" s="237"/>
      <c r="AM56" s="237"/>
      <c r="AN56" s="237"/>
    </row>
    <row r="57" ht="22.699999999999999" customHeight="1">
      <c r="A57" s="118"/>
      <c r="B57" s="115"/>
      <c r="C57" s="129" t="str">
        <f t="shared" si="17"/>
        <v xml:space="preserve">vers 'Casino'</v>
      </c>
      <c r="D57" s="130"/>
      <c r="E57" s="130"/>
      <c r="F57" s="130"/>
      <c r="G57" s="129" t="str">
        <f>G27</f>
        <v xml:space="preserve">vers 'Pers-Jussy'</v>
      </c>
      <c r="H57" s="130"/>
      <c r="I57" s="130"/>
      <c r="J57" s="130"/>
      <c r="K57" s="129" t="str">
        <f>K27</f>
        <v xml:space="preserve">vers 'La Roche'</v>
      </c>
      <c r="L57" s="130"/>
      <c r="M57" s="130"/>
      <c r="N57" s="130"/>
      <c r="O57" s="131"/>
      <c r="P57" s="129" t="str">
        <f t="shared" si="18"/>
        <v xml:space="preserve">vers 'Pers-Jussy'</v>
      </c>
      <c r="Q57" s="130"/>
      <c r="R57" s="130"/>
      <c r="S57" s="130"/>
      <c r="T57" s="129" t="str">
        <f>T27</f>
        <v xml:space="preserve">vers 'La Roche'</v>
      </c>
      <c r="U57" s="130"/>
      <c r="V57" s="130"/>
      <c r="W57" s="130"/>
      <c r="X57" s="129" t="str">
        <f>X27</f>
        <v xml:space="preserve">vers 'Reignier'</v>
      </c>
      <c r="Y57" s="130"/>
      <c r="Z57" s="130"/>
      <c r="AA57" s="132"/>
      <c r="AB57" s="233"/>
      <c r="AC57" s="233"/>
      <c r="AD57" s="234"/>
      <c r="AE57" s="134"/>
      <c r="AF57" s="134"/>
      <c r="AG57" s="134"/>
      <c r="AH57" s="135"/>
      <c r="AI57" s="135"/>
      <c r="AJ57" s="135"/>
      <c r="AK57" s="236"/>
      <c r="AL57" s="237"/>
      <c r="AM57" s="237"/>
      <c r="AN57" s="237"/>
    </row>
    <row r="58" ht="18.600000000000001" customHeight="1">
      <c r="A58" s="118"/>
      <c r="B58" s="115"/>
      <c r="C58" s="139" t="s">
        <v>18</v>
      </c>
      <c r="D58" s="140"/>
      <c r="E58" s="141" t="s">
        <v>19</v>
      </c>
      <c r="F58" s="142"/>
      <c r="G58" s="142" t="s">
        <v>18</v>
      </c>
      <c r="H58" s="139"/>
      <c r="I58" s="141" t="s">
        <v>19</v>
      </c>
      <c r="J58" s="142"/>
      <c r="K58" s="142" t="s">
        <v>18</v>
      </c>
      <c r="L58" s="139"/>
      <c r="M58" s="141" t="s">
        <v>19</v>
      </c>
      <c r="N58" s="142"/>
      <c r="O58" s="142"/>
      <c r="P58" s="142" t="s">
        <v>18</v>
      </c>
      <c r="Q58" s="139"/>
      <c r="R58" s="141" t="s">
        <v>19</v>
      </c>
      <c r="S58" s="142"/>
      <c r="T58" s="142" t="s">
        <v>18</v>
      </c>
      <c r="U58" s="139"/>
      <c r="V58" s="141" t="s">
        <v>19</v>
      </c>
      <c r="W58" s="142"/>
      <c r="X58" s="142" t="s">
        <v>18</v>
      </c>
      <c r="Y58" s="139"/>
      <c r="Z58" s="140" t="s">
        <v>19</v>
      </c>
      <c r="AA58" s="141"/>
      <c r="AB58" s="233"/>
      <c r="AC58" s="233"/>
      <c r="AD58" s="234"/>
      <c r="AE58" s="134"/>
      <c r="AF58" s="134"/>
      <c r="AG58" s="134"/>
      <c r="AH58" s="135"/>
      <c r="AI58" s="135"/>
      <c r="AJ58" s="135"/>
      <c r="AK58" s="236"/>
      <c r="AL58" s="237"/>
      <c r="AM58" s="237"/>
      <c r="AN58" s="237"/>
    </row>
    <row r="59" ht="21.75" customHeight="1">
      <c r="A59" s="144" t="s">
        <v>39</v>
      </c>
      <c r="B59" s="145"/>
      <c r="C59" s="146" t="s">
        <v>22</v>
      </c>
      <c r="D59" s="147" t="s">
        <v>23</v>
      </c>
      <c r="E59" s="148" t="s">
        <v>22</v>
      </c>
      <c r="F59" s="149" t="s">
        <v>23</v>
      </c>
      <c r="G59" s="146" t="s">
        <v>22</v>
      </c>
      <c r="H59" s="147" t="s">
        <v>23</v>
      </c>
      <c r="I59" s="148" t="s">
        <v>22</v>
      </c>
      <c r="J59" s="149" t="s">
        <v>23</v>
      </c>
      <c r="K59" s="146" t="s">
        <v>22</v>
      </c>
      <c r="L59" s="147" t="s">
        <v>23</v>
      </c>
      <c r="M59" s="148" t="s">
        <v>22</v>
      </c>
      <c r="N59" s="149" t="s">
        <v>23</v>
      </c>
      <c r="O59" s="150"/>
      <c r="P59" s="146" t="s">
        <v>22</v>
      </c>
      <c r="Q59" s="147" t="s">
        <v>23</v>
      </c>
      <c r="R59" s="148" t="s">
        <v>22</v>
      </c>
      <c r="S59" s="149" t="s">
        <v>23</v>
      </c>
      <c r="T59" s="146" t="s">
        <v>22</v>
      </c>
      <c r="U59" s="147" t="s">
        <v>23</v>
      </c>
      <c r="V59" s="148" t="s">
        <v>22</v>
      </c>
      <c r="W59" s="149" t="s">
        <v>23</v>
      </c>
      <c r="X59" s="146" t="s">
        <v>22</v>
      </c>
      <c r="Y59" s="147" t="s">
        <v>23</v>
      </c>
      <c r="Z59" s="148" t="s">
        <v>22</v>
      </c>
      <c r="AA59" s="149" t="s">
        <v>23</v>
      </c>
      <c r="AB59" s="233"/>
      <c r="AC59" s="233"/>
      <c r="AD59" s="234"/>
      <c r="AE59" s="153"/>
      <c r="AF59" s="153"/>
      <c r="AG59" s="153"/>
      <c r="AH59" s="154"/>
      <c r="AI59" s="154"/>
      <c r="AJ59" s="154"/>
      <c r="AK59" s="236"/>
      <c r="AL59" s="237"/>
      <c r="AM59" s="237"/>
      <c r="AN59" s="237"/>
    </row>
    <row r="60" ht="54.950000000000003" customHeight="1">
      <c r="A60" s="158" t="s">
        <v>40</v>
      </c>
      <c r="B60" s="159"/>
      <c r="C60" s="160">
        <f t="shared" ref="C60:AA60" si="19">SUM(C30:C33)</f>
        <v>0</v>
      </c>
      <c r="D60" s="161">
        <f t="shared" si="19"/>
        <v>0</v>
      </c>
      <c r="E60" s="162">
        <f t="shared" si="19"/>
        <v>0</v>
      </c>
      <c r="F60" s="163">
        <f t="shared" si="19"/>
        <v>0</v>
      </c>
      <c r="G60" s="160">
        <f t="shared" si="19"/>
        <v>0</v>
      </c>
      <c r="H60" s="161">
        <f t="shared" si="19"/>
        <v>0</v>
      </c>
      <c r="I60" s="162">
        <f t="shared" si="19"/>
        <v>0</v>
      </c>
      <c r="J60" s="163">
        <f t="shared" si="19"/>
        <v>0</v>
      </c>
      <c r="K60" s="160">
        <f t="shared" si="19"/>
        <v>0</v>
      </c>
      <c r="L60" s="161">
        <f t="shared" si="19"/>
        <v>0</v>
      </c>
      <c r="M60" s="162">
        <f t="shared" si="19"/>
        <v>0</v>
      </c>
      <c r="N60" s="163">
        <f t="shared" si="19"/>
        <v>0</v>
      </c>
      <c r="O60" s="164"/>
      <c r="P60" s="160">
        <f t="shared" si="19"/>
        <v>0</v>
      </c>
      <c r="Q60" s="161">
        <f t="shared" si="19"/>
        <v>0</v>
      </c>
      <c r="R60" s="162">
        <f t="shared" si="19"/>
        <v>0</v>
      </c>
      <c r="S60" s="163">
        <f t="shared" si="19"/>
        <v>0</v>
      </c>
      <c r="T60" s="160">
        <f t="shared" si="19"/>
        <v>0</v>
      </c>
      <c r="U60" s="161">
        <f t="shared" si="19"/>
        <v>0</v>
      </c>
      <c r="V60" s="162">
        <f t="shared" si="19"/>
        <v>0</v>
      </c>
      <c r="W60" s="163">
        <f t="shared" si="19"/>
        <v>0</v>
      </c>
      <c r="X60" s="160">
        <f t="shared" si="19"/>
        <v>0</v>
      </c>
      <c r="Y60" s="161">
        <f t="shared" si="19"/>
        <v>0</v>
      </c>
      <c r="Z60" s="162">
        <f t="shared" si="19"/>
        <v>0</v>
      </c>
      <c r="AA60" s="163">
        <f t="shared" si="19"/>
        <v>0</v>
      </c>
      <c r="AB60" s="233"/>
      <c r="AC60" s="233"/>
      <c r="AD60" s="234"/>
      <c r="AE60" s="238">
        <f t="shared" ref="AE60:AE66" si="20">(C48+E48+G48+I48+K48+M48+P48+R48+T48+V48+X48+Z48+C60+E60+G60+I60+K60+M60+P60+R60+T60+V60+X60+Z60)</f>
        <v>5</v>
      </c>
      <c r="AF60" s="238">
        <f t="shared" ref="AF60:AF66" si="21">(E48+F48+I48+J48+M48+N48+R48+S48+V48+W48+Z48+AA48+E60+F60+I60+J60+M60+N60+R60+S60+V60+W60+Z60+AA60)</f>
        <v>3</v>
      </c>
      <c r="AG60" s="238">
        <f t="shared" ref="AG60:AG66" si="22">(E48+I48+M48+R48+V48+Z48+E60+I60+M60+R60+V60+Z60)</f>
        <v>3</v>
      </c>
      <c r="AH60" s="239">
        <f t="shared" ref="AH60:AH66" si="23">SUM(C48:F48,T48:W48,X60:AA60)</f>
        <v>8</v>
      </c>
      <c r="AI60" s="239">
        <f t="shared" ref="AI60:AI66" si="24">SUM(P48:AA48)</f>
        <v>2</v>
      </c>
      <c r="AJ60" s="239">
        <f t="shared" ref="AJ60:AJ66" si="25">SUM(C48:N48)</f>
        <v>6</v>
      </c>
      <c r="AK60" s="236"/>
      <c r="AL60" s="237"/>
      <c r="AM60" s="237"/>
      <c r="AN60" s="237"/>
    </row>
    <row r="61" ht="54.950000000000003" customHeight="1">
      <c r="A61" s="173" t="s">
        <v>41</v>
      </c>
      <c r="B61" s="174"/>
      <c r="C61" s="175">
        <f t="shared" ref="C61:AA61" si="26">SUM(C32:C35)</f>
        <v>0</v>
      </c>
      <c r="D61" s="176">
        <f t="shared" si="26"/>
        <v>0</v>
      </c>
      <c r="E61" s="177">
        <f t="shared" si="26"/>
        <v>0</v>
      </c>
      <c r="F61" s="178">
        <f t="shared" si="26"/>
        <v>0</v>
      </c>
      <c r="G61" s="175">
        <f t="shared" si="26"/>
        <v>0</v>
      </c>
      <c r="H61" s="176">
        <f t="shared" si="26"/>
        <v>0</v>
      </c>
      <c r="I61" s="177">
        <f t="shared" si="26"/>
        <v>0</v>
      </c>
      <c r="J61" s="178">
        <f t="shared" si="26"/>
        <v>0</v>
      </c>
      <c r="K61" s="175">
        <f t="shared" si="26"/>
        <v>0</v>
      </c>
      <c r="L61" s="176">
        <f t="shared" si="26"/>
        <v>0</v>
      </c>
      <c r="M61" s="177">
        <f t="shared" si="26"/>
        <v>0</v>
      </c>
      <c r="N61" s="178">
        <f t="shared" si="26"/>
        <v>0</v>
      </c>
      <c r="O61" s="179"/>
      <c r="P61" s="175">
        <f t="shared" si="26"/>
        <v>0</v>
      </c>
      <c r="Q61" s="176">
        <f t="shared" si="26"/>
        <v>0</v>
      </c>
      <c r="R61" s="177">
        <f t="shared" si="26"/>
        <v>0</v>
      </c>
      <c r="S61" s="178">
        <f t="shared" si="26"/>
        <v>0</v>
      </c>
      <c r="T61" s="175">
        <f t="shared" si="26"/>
        <v>0</v>
      </c>
      <c r="U61" s="176">
        <f t="shared" si="26"/>
        <v>0</v>
      </c>
      <c r="V61" s="177">
        <f t="shared" si="26"/>
        <v>0</v>
      </c>
      <c r="W61" s="178">
        <f t="shared" si="26"/>
        <v>0</v>
      </c>
      <c r="X61" s="175">
        <f t="shared" si="26"/>
        <v>0</v>
      </c>
      <c r="Y61" s="176">
        <f t="shared" si="26"/>
        <v>0</v>
      </c>
      <c r="Z61" s="177">
        <f t="shared" si="26"/>
        <v>0</v>
      </c>
      <c r="AA61" s="178">
        <f t="shared" si="26"/>
        <v>0</v>
      </c>
      <c r="AB61" s="233"/>
      <c r="AC61" s="233"/>
      <c r="AD61" s="234"/>
      <c r="AE61" s="240">
        <f t="shared" si="20"/>
        <v>8</v>
      </c>
      <c r="AF61" s="240">
        <f t="shared" si="21"/>
        <v>9</v>
      </c>
      <c r="AG61" s="240">
        <f t="shared" si="22"/>
        <v>5</v>
      </c>
      <c r="AH61" s="241">
        <f t="shared" si="23"/>
        <v>16</v>
      </c>
      <c r="AI61" s="241">
        <f t="shared" si="24"/>
        <v>5</v>
      </c>
      <c r="AJ61" s="241">
        <f t="shared" si="25"/>
        <v>12</v>
      </c>
      <c r="AK61" s="236"/>
      <c r="AL61" s="237"/>
      <c r="AM61" s="237"/>
      <c r="AN61" s="237"/>
    </row>
    <row r="62" ht="54.950000000000003" customHeight="1">
      <c r="A62" s="173" t="s">
        <v>42</v>
      </c>
      <c r="B62" s="174"/>
      <c r="C62" s="175">
        <f t="shared" ref="C62:AA62" si="27">SUM(C34:C37)</f>
        <v>0</v>
      </c>
      <c r="D62" s="176">
        <f t="shared" si="27"/>
        <v>0</v>
      </c>
      <c r="E62" s="177">
        <f t="shared" si="27"/>
        <v>0</v>
      </c>
      <c r="F62" s="178">
        <f t="shared" si="27"/>
        <v>0</v>
      </c>
      <c r="G62" s="175">
        <f t="shared" si="27"/>
        <v>1</v>
      </c>
      <c r="H62" s="176">
        <f t="shared" si="27"/>
        <v>0</v>
      </c>
      <c r="I62" s="177">
        <f t="shared" si="27"/>
        <v>1</v>
      </c>
      <c r="J62" s="178">
        <f t="shared" si="27"/>
        <v>0</v>
      </c>
      <c r="K62" s="175">
        <f t="shared" si="27"/>
        <v>0</v>
      </c>
      <c r="L62" s="176">
        <f t="shared" si="27"/>
        <v>0</v>
      </c>
      <c r="M62" s="177">
        <f t="shared" si="27"/>
        <v>0</v>
      </c>
      <c r="N62" s="178">
        <f t="shared" si="27"/>
        <v>0</v>
      </c>
      <c r="O62" s="179"/>
      <c r="P62" s="175">
        <f t="shared" si="27"/>
        <v>0</v>
      </c>
      <c r="Q62" s="176">
        <f t="shared" si="27"/>
        <v>0</v>
      </c>
      <c r="R62" s="177">
        <f t="shared" si="27"/>
        <v>0</v>
      </c>
      <c r="S62" s="178">
        <f t="shared" si="27"/>
        <v>0</v>
      </c>
      <c r="T62" s="175">
        <f t="shared" si="27"/>
        <v>0</v>
      </c>
      <c r="U62" s="176">
        <f t="shared" si="27"/>
        <v>0</v>
      </c>
      <c r="V62" s="177">
        <f t="shared" si="27"/>
        <v>0</v>
      </c>
      <c r="W62" s="178">
        <f t="shared" si="27"/>
        <v>0</v>
      </c>
      <c r="X62" s="175">
        <f t="shared" si="27"/>
        <v>0</v>
      </c>
      <c r="Y62" s="176">
        <f t="shared" si="27"/>
        <v>0</v>
      </c>
      <c r="Z62" s="177">
        <f t="shared" si="27"/>
        <v>0</v>
      </c>
      <c r="AA62" s="178">
        <f t="shared" si="27"/>
        <v>0</v>
      </c>
      <c r="AB62" s="233"/>
      <c r="AC62" s="233"/>
      <c r="AD62" s="234"/>
      <c r="AE62" s="240">
        <f t="shared" si="20"/>
        <v>6</v>
      </c>
      <c r="AF62" s="240">
        <f t="shared" si="21"/>
        <v>8</v>
      </c>
      <c r="AG62" s="240">
        <f t="shared" si="22"/>
        <v>4</v>
      </c>
      <c r="AH62" s="241">
        <f t="shared" si="23"/>
        <v>11</v>
      </c>
      <c r="AI62" s="241">
        <f t="shared" si="24"/>
        <v>4</v>
      </c>
      <c r="AJ62" s="241">
        <f t="shared" si="25"/>
        <v>8</v>
      </c>
      <c r="AK62" s="236"/>
      <c r="AL62" s="237"/>
      <c r="AM62" s="237"/>
      <c r="AN62" s="237"/>
    </row>
    <row r="63" ht="54.950000000000003" customHeight="1">
      <c r="A63" s="173" t="s">
        <v>43</v>
      </c>
      <c r="B63" s="174"/>
      <c r="C63" s="175">
        <f t="shared" ref="C63:AA63" si="28">SUM(C36:C39)</f>
        <v>0</v>
      </c>
      <c r="D63" s="176">
        <f t="shared" si="28"/>
        <v>1</v>
      </c>
      <c r="E63" s="177">
        <f t="shared" si="28"/>
        <v>0</v>
      </c>
      <c r="F63" s="178">
        <f t="shared" si="28"/>
        <v>0</v>
      </c>
      <c r="G63" s="175">
        <f t="shared" si="28"/>
        <v>1</v>
      </c>
      <c r="H63" s="176">
        <f t="shared" si="28"/>
        <v>0</v>
      </c>
      <c r="I63" s="177">
        <f t="shared" si="28"/>
        <v>1</v>
      </c>
      <c r="J63" s="178">
        <f t="shared" si="28"/>
        <v>0</v>
      </c>
      <c r="K63" s="175">
        <f t="shared" si="28"/>
        <v>0</v>
      </c>
      <c r="L63" s="176">
        <f t="shared" si="28"/>
        <v>1</v>
      </c>
      <c r="M63" s="177">
        <f t="shared" si="28"/>
        <v>0</v>
      </c>
      <c r="N63" s="178">
        <f t="shared" si="28"/>
        <v>0</v>
      </c>
      <c r="O63" s="179"/>
      <c r="P63" s="175">
        <f t="shared" si="28"/>
        <v>0</v>
      </c>
      <c r="Q63" s="176">
        <f t="shared" si="28"/>
        <v>0</v>
      </c>
      <c r="R63" s="177">
        <f t="shared" si="28"/>
        <v>0</v>
      </c>
      <c r="S63" s="178">
        <f t="shared" si="28"/>
        <v>0</v>
      </c>
      <c r="T63" s="175">
        <f t="shared" si="28"/>
        <v>0</v>
      </c>
      <c r="U63" s="176">
        <f t="shared" si="28"/>
        <v>0</v>
      </c>
      <c r="V63" s="177">
        <f t="shared" si="28"/>
        <v>0</v>
      </c>
      <c r="W63" s="178">
        <f t="shared" si="28"/>
        <v>0</v>
      </c>
      <c r="X63" s="175">
        <f t="shared" si="28"/>
        <v>0</v>
      </c>
      <c r="Y63" s="176">
        <f t="shared" si="28"/>
        <v>0</v>
      </c>
      <c r="Z63" s="177">
        <f t="shared" si="28"/>
        <v>0</v>
      </c>
      <c r="AA63" s="178">
        <f t="shared" si="28"/>
        <v>0</v>
      </c>
      <c r="AB63" s="233"/>
      <c r="AC63" s="233"/>
      <c r="AD63" s="234"/>
      <c r="AE63" s="240">
        <f t="shared" si="20"/>
        <v>4</v>
      </c>
      <c r="AF63" s="240">
        <f t="shared" si="21"/>
        <v>4</v>
      </c>
      <c r="AG63" s="240">
        <f t="shared" si="22"/>
        <v>3</v>
      </c>
      <c r="AH63" s="241">
        <f t="shared" si="23"/>
        <v>6</v>
      </c>
      <c r="AI63" s="241">
        <f t="shared" si="24"/>
        <v>3</v>
      </c>
      <c r="AJ63" s="241">
        <f t="shared" si="25"/>
        <v>3</v>
      </c>
      <c r="AK63" s="236"/>
      <c r="AL63" s="237"/>
      <c r="AM63" s="237"/>
      <c r="AN63" s="237"/>
    </row>
    <row r="64" ht="54.950000000000003" customHeight="1">
      <c r="A64" s="188" t="s">
        <v>44</v>
      </c>
      <c r="B64" s="189"/>
      <c r="C64" s="190">
        <f t="shared" ref="C64:AA64" si="29">SUM(C38:C41)</f>
        <v>0</v>
      </c>
      <c r="D64" s="191">
        <f t="shared" si="29"/>
        <v>1</v>
      </c>
      <c r="E64" s="192">
        <f t="shared" si="29"/>
        <v>0</v>
      </c>
      <c r="F64" s="193">
        <f t="shared" si="29"/>
        <v>0</v>
      </c>
      <c r="G64" s="190">
        <f t="shared" si="29"/>
        <v>0</v>
      </c>
      <c r="H64" s="191">
        <f t="shared" si="29"/>
        <v>0</v>
      </c>
      <c r="I64" s="192">
        <f t="shared" si="29"/>
        <v>0</v>
      </c>
      <c r="J64" s="193">
        <f t="shared" si="29"/>
        <v>0</v>
      </c>
      <c r="K64" s="190">
        <f t="shared" si="29"/>
        <v>0</v>
      </c>
      <c r="L64" s="191">
        <f t="shared" si="29"/>
        <v>1</v>
      </c>
      <c r="M64" s="192">
        <f t="shared" si="29"/>
        <v>0</v>
      </c>
      <c r="N64" s="193">
        <f t="shared" si="29"/>
        <v>0</v>
      </c>
      <c r="O64" s="194"/>
      <c r="P64" s="190">
        <f t="shared" si="29"/>
        <v>0</v>
      </c>
      <c r="Q64" s="191">
        <f t="shared" si="29"/>
        <v>0</v>
      </c>
      <c r="R64" s="192">
        <f t="shared" si="29"/>
        <v>0</v>
      </c>
      <c r="S64" s="193">
        <f t="shared" si="29"/>
        <v>0</v>
      </c>
      <c r="T64" s="190">
        <f t="shared" si="29"/>
        <v>0</v>
      </c>
      <c r="U64" s="191">
        <f t="shared" si="29"/>
        <v>0</v>
      </c>
      <c r="V64" s="192">
        <f t="shared" si="29"/>
        <v>0</v>
      </c>
      <c r="W64" s="193">
        <f t="shared" si="29"/>
        <v>0</v>
      </c>
      <c r="X64" s="190">
        <f t="shared" si="29"/>
        <v>0</v>
      </c>
      <c r="Y64" s="191">
        <f t="shared" si="29"/>
        <v>0</v>
      </c>
      <c r="Z64" s="192">
        <f t="shared" si="29"/>
        <v>0</v>
      </c>
      <c r="AA64" s="193">
        <f t="shared" si="29"/>
        <v>0</v>
      </c>
      <c r="AB64" s="233"/>
      <c r="AC64" s="233"/>
      <c r="AD64" s="234"/>
      <c r="AE64" s="242">
        <f t="shared" si="20"/>
        <v>1</v>
      </c>
      <c r="AF64" s="242">
        <f t="shared" si="21"/>
        <v>2</v>
      </c>
      <c r="AG64" s="242">
        <f t="shared" si="22"/>
        <v>1</v>
      </c>
      <c r="AH64" s="243">
        <f t="shared" si="23"/>
        <v>3</v>
      </c>
      <c r="AI64" s="243">
        <f t="shared" si="24"/>
        <v>2</v>
      </c>
      <c r="AJ64" s="243">
        <f t="shared" si="25"/>
        <v>1</v>
      </c>
      <c r="AK64" s="236"/>
      <c r="AL64" s="237"/>
      <c r="AM64" s="237"/>
      <c r="AN64" s="237"/>
    </row>
    <row r="65" ht="54.950000000000003" customHeight="1">
      <c r="A65" s="203" t="s">
        <v>31</v>
      </c>
      <c r="B65" s="204"/>
      <c r="C65" s="205">
        <f t="shared" ref="C65:AA65" si="30">SUM(C30:C41)</f>
        <v>0</v>
      </c>
      <c r="D65" s="206">
        <f t="shared" si="30"/>
        <v>1</v>
      </c>
      <c r="E65" s="207">
        <f t="shared" si="30"/>
        <v>0</v>
      </c>
      <c r="F65" s="208">
        <f t="shared" si="30"/>
        <v>0</v>
      </c>
      <c r="G65" s="205">
        <f t="shared" si="30"/>
        <v>1</v>
      </c>
      <c r="H65" s="206">
        <f t="shared" si="30"/>
        <v>0</v>
      </c>
      <c r="I65" s="207">
        <f t="shared" si="30"/>
        <v>1</v>
      </c>
      <c r="J65" s="208">
        <f t="shared" si="30"/>
        <v>0</v>
      </c>
      <c r="K65" s="205">
        <f t="shared" si="30"/>
        <v>0</v>
      </c>
      <c r="L65" s="206">
        <f t="shared" si="30"/>
        <v>1</v>
      </c>
      <c r="M65" s="207">
        <f t="shared" si="30"/>
        <v>0</v>
      </c>
      <c r="N65" s="208">
        <f t="shared" si="30"/>
        <v>0</v>
      </c>
      <c r="O65" s="209"/>
      <c r="P65" s="205">
        <f t="shared" si="30"/>
        <v>0</v>
      </c>
      <c r="Q65" s="206">
        <f t="shared" si="30"/>
        <v>0</v>
      </c>
      <c r="R65" s="207">
        <f t="shared" si="30"/>
        <v>0</v>
      </c>
      <c r="S65" s="208">
        <f t="shared" si="30"/>
        <v>0</v>
      </c>
      <c r="T65" s="205">
        <f t="shared" si="30"/>
        <v>0</v>
      </c>
      <c r="U65" s="206">
        <f t="shared" si="30"/>
        <v>0</v>
      </c>
      <c r="V65" s="207">
        <f t="shared" si="30"/>
        <v>0</v>
      </c>
      <c r="W65" s="208">
        <f t="shared" si="30"/>
        <v>0</v>
      </c>
      <c r="X65" s="205">
        <f t="shared" si="30"/>
        <v>0</v>
      </c>
      <c r="Y65" s="206">
        <f t="shared" si="30"/>
        <v>0</v>
      </c>
      <c r="Z65" s="207">
        <f t="shared" si="30"/>
        <v>0</v>
      </c>
      <c r="AA65" s="208">
        <f t="shared" si="30"/>
        <v>0</v>
      </c>
      <c r="AB65" s="237"/>
      <c r="AC65" s="237"/>
      <c r="AD65" s="237"/>
      <c r="AE65" s="244">
        <f t="shared" si="20"/>
        <v>12</v>
      </c>
      <c r="AF65" s="244">
        <f t="shared" si="21"/>
        <v>13</v>
      </c>
      <c r="AG65" s="244">
        <f t="shared" si="22"/>
        <v>8</v>
      </c>
      <c r="AH65" s="245">
        <f t="shared" si="23"/>
        <v>22</v>
      </c>
      <c r="AI65" s="245">
        <f t="shared" si="24"/>
        <v>8</v>
      </c>
      <c r="AJ65" s="245">
        <f t="shared" si="25"/>
        <v>15</v>
      </c>
      <c r="AK65" s="237"/>
      <c r="AL65" s="237"/>
      <c r="AM65" s="237"/>
      <c r="AN65" s="237"/>
    </row>
    <row r="66" ht="54.950000000000003" customHeight="1">
      <c r="A66" s="218" t="str">
        <f>IF($AD$48=MAX($AD$48:$AD$52),A60,IF($AD$49=MAX($AD$48:$AD$52),A61,IF($AD$50=MAX($AD$48:$AD$52),A62,IF($AD$51=MAX($AD$48:$AD$52),A63,A64))))</f>
        <v xml:space="preserve">de 7:00 à 8:00</v>
      </c>
      <c r="B66" s="219"/>
      <c r="C66" s="220">
        <f t="shared" ref="C66:AA66" si="31">IF($AD$48=MAX($AD$48:$AD$52),C60,IF($AD$49=MAX($AD$48:$AD$52),C61,IF($AD$50=MAX($AD$48:$AD$52),C62,IF($AD$51=MAX($AD$48:$AD$52),C63,C64))))</f>
        <v>0</v>
      </c>
      <c r="D66" s="221">
        <f t="shared" si="31"/>
        <v>0</v>
      </c>
      <c r="E66" s="222">
        <f t="shared" si="31"/>
        <v>0</v>
      </c>
      <c r="F66" s="223">
        <f t="shared" si="31"/>
        <v>0</v>
      </c>
      <c r="G66" s="220">
        <f t="shared" si="31"/>
        <v>0</v>
      </c>
      <c r="H66" s="221">
        <f t="shared" si="31"/>
        <v>0</v>
      </c>
      <c r="I66" s="222">
        <f t="shared" si="31"/>
        <v>0</v>
      </c>
      <c r="J66" s="223">
        <f t="shared" si="31"/>
        <v>0</v>
      </c>
      <c r="K66" s="220">
        <f t="shared" si="31"/>
        <v>0</v>
      </c>
      <c r="L66" s="221">
        <f t="shared" si="31"/>
        <v>0</v>
      </c>
      <c r="M66" s="222">
        <f t="shared" si="31"/>
        <v>0</v>
      </c>
      <c r="N66" s="223">
        <f t="shared" si="31"/>
        <v>0</v>
      </c>
      <c r="O66" s="224"/>
      <c r="P66" s="220">
        <f t="shared" si="31"/>
        <v>0</v>
      </c>
      <c r="Q66" s="221">
        <f t="shared" si="31"/>
        <v>0</v>
      </c>
      <c r="R66" s="222">
        <f t="shared" si="31"/>
        <v>0</v>
      </c>
      <c r="S66" s="223">
        <f t="shared" si="31"/>
        <v>0</v>
      </c>
      <c r="T66" s="220">
        <f t="shared" si="31"/>
        <v>0</v>
      </c>
      <c r="U66" s="221">
        <f t="shared" si="31"/>
        <v>0</v>
      </c>
      <c r="V66" s="222">
        <f t="shared" si="31"/>
        <v>0</v>
      </c>
      <c r="W66" s="223">
        <f t="shared" si="31"/>
        <v>0</v>
      </c>
      <c r="X66" s="220">
        <f t="shared" si="31"/>
        <v>0</v>
      </c>
      <c r="Y66" s="221">
        <f t="shared" si="31"/>
        <v>0</v>
      </c>
      <c r="Z66" s="222">
        <f t="shared" si="31"/>
        <v>0</v>
      </c>
      <c r="AA66" s="223">
        <f t="shared" si="31"/>
        <v>0</v>
      </c>
      <c r="AB66" s="237"/>
      <c r="AC66" s="237"/>
      <c r="AD66" s="237"/>
      <c r="AE66" s="246">
        <f t="shared" si="20"/>
        <v>8</v>
      </c>
      <c r="AF66" s="246">
        <f t="shared" si="21"/>
        <v>9</v>
      </c>
      <c r="AG66" s="246">
        <f t="shared" si="22"/>
        <v>5</v>
      </c>
      <c r="AH66" s="247">
        <f t="shared" si="23"/>
        <v>16</v>
      </c>
      <c r="AI66" s="247">
        <f t="shared" si="24"/>
        <v>5</v>
      </c>
      <c r="AJ66" s="247">
        <f t="shared" si="25"/>
        <v>12</v>
      </c>
      <c r="AK66" s="237"/>
      <c r="AL66" s="237"/>
      <c r="AM66" s="237"/>
      <c r="AN66" s="237"/>
    </row>
    <row r="67" ht="9" customHeight="1">
      <c r="A67" s="248"/>
      <c r="B67" s="249"/>
      <c r="C67" s="249"/>
      <c r="D67" s="249"/>
      <c r="E67" s="249"/>
      <c r="F67" s="249"/>
      <c r="G67" s="249"/>
      <c r="H67" s="249"/>
      <c r="I67" s="249"/>
      <c r="J67" s="249"/>
      <c r="K67" s="249"/>
      <c r="L67" s="249"/>
      <c r="M67" s="249"/>
      <c r="N67" s="249"/>
      <c r="O67" s="249"/>
      <c r="P67" s="249"/>
      <c r="Q67" s="249"/>
      <c r="R67" s="249"/>
      <c r="S67" s="249"/>
      <c r="T67" s="249"/>
      <c r="U67" s="249"/>
      <c r="V67" s="249"/>
      <c r="W67" s="249"/>
      <c r="X67" s="249"/>
      <c r="Y67" s="249"/>
      <c r="Z67" s="249"/>
      <c r="AA67" s="249"/>
      <c r="AB67" s="248"/>
      <c r="AC67" s="249"/>
      <c r="AD67" s="249"/>
      <c r="AE67" s="249"/>
      <c r="AF67" s="249"/>
      <c r="AG67" s="249"/>
      <c r="AH67" s="249"/>
      <c r="AI67" s="249"/>
      <c r="AJ67" s="249"/>
      <c r="AK67" s="249"/>
      <c r="AL67" s="249"/>
      <c r="AM67" s="248"/>
      <c r="AN67" s="249"/>
      <c r="AO67" s="250"/>
      <c r="AP67" s="250"/>
      <c r="AQ67" s="250"/>
      <c r="AR67" s="250"/>
    </row>
  </sheetData>
  <mergeCells count="138">
    <mergeCell ref="X58:Y58"/>
    <mergeCell ref="Z58:AA58"/>
    <mergeCell ref="AB58:AC58"/>
    <mergeCell ref="A59:B59"/>
    <mergeCell ref="AB59:AC59"/>
    <mergeCell ref="AB57:AC57"/>
    <mergeCell ref="C58:D58"/>
    <mergeCell ref="E58:F58"/>
    <mergeCell ref="G58:H58"/>
    <mergeCell ref="I58:J58"/>
    <mergeCell ref="K58:L58"/>
    <mergeCell ref="M58:N58"/>
    <mergeCell ref="P58:Q58"/>
    <mergeCell ref="R58:S58"/>
    <mergeCell ref="T58:U58"/>
    <mergeCell ref="C57:F57"/>
    <mergeCell ref="G57:J57"/>
    <mergeCell ref="K57:N57"/>
    <mergeCell ref="P57:S57"/>
    <mergeCell ref="T57:W57"/>
    <mergeCell ref="V58:W58"/>
    <mergeCell ref="X57:AA57"/>
    <mergeCell ref="A63:B63"/>
    <mergeCell ref="AB63:AC63"/>
    <mergeCell ref="A64:B64"/>
    <mergeCell ref="AB64:AC64"/>
    <mergeCell ref="A65:B65"/>
    <mergeCell ref="A66:B66"/>
    <mergeCell ref="A60:B60"/>
    <mergeCell ref="AB60:AC60"/>
    <mergeCell ref="A61:B61"/>
    <mergeCell ref="AB61:AC61"/>
    <mergeCell ref="A62:B62"/>
    <mergeCell ref="AB62:AC62"/>
    <mergeCell ref="A53:B53"/>
    <mergeCell ref="AB53:AC53"/>
    <mergeCell ref="A54:B54"/>
    <mergeCell ref="AB54:AC54"/>
    <mergeCell ref="AB55:AC55"/>
    <mergeCell ref="C56:N56"/>
    <mergeCell ref="P56:AA56"/>
    <mergeCell ref="AB56:AC56"/>
    <mergeCell ref="A50:B50"/>
    <mergeCell ref="AB50:AC50"/>
    <mergeCell ref="A51:B51"/>
    <mergeCell ref="AB51:AC51"/>
    <mergeCell ref="A52:B52"/>
    <mergeCell ref="AB52:AC52"/>
    <mergeCell ref="A47:B47"/>
    <mergeCell ref="AB47:AC47"/>
    <mergeCell ref="A48:B48"/>
    <mergeCell ref="AB48:AC48"/>
    <mergeCell ref="A49:B49"/>
    <mergeCell ref="AB49:AC49"/>
    <mergeCell ref="AG44:AG47"/>
    <mergeCell ref="E46:F46"/>
    <mergeCell ref="G46:H46"/>
    <mergeCell ref="I46:J46"/>
    <mergeCell ref="K46:L46"/>
    <mergeCell ref="Z46:AA46"/>
    <mergeCell ref="C45:F45"/>
    <mergeCell ref="G45:J45"/>
    <mergeCell ref="K45:N45"/>
    <mergeCell ref="P45:S45"/>
    <mergeCell ref="T45:W45"/>
    <mergeCell ref="X45:AA45"/>
    <mergeCell ref="C46:D46"/>
    <mergeCell ref="C44:N44"/>
    <mergeCell ref="P44:AA44"/>
    <mergeCell ref="M46:N46"/>
    <mergeCell ref="P46:Q46"/>
    <mergeCell ref="R46:S46"/>
    <mergeCell ref="T46:U46"/>
    <mergeCell ref="V46:W46"/>
    <mergeCell ref="X46:Y46"/>
    <mergeCell ref="AD44:AD47"/>
    <mergeCell ref="AE44:AE47"/>
    <mergeCell ref="AF44:AF47"/>
    <mergeCell ref="V28:W28"/>
    <mergeCell ref="X28:Y28"/>
    <mergeCell ref="Z28:AA28"/>
    <mergeCell ref="C28:D28"/>
    <mergeCell ref="E28:F28"/>
    <mergeCell ref="G28:H28"/>
    <mergeCell ref="I28:J28"/>
    <mergeCell ref="K28:L28"/>
    <mergeCell ref="M28:N28"/>
    <mergeCell ref="C9:D9"/>
    <mergeCell ref="E9:F9"/>
    <mergeCell ref="G9:H9"/>
    <mergeCell ref="I9:J9"/>
    <mergeCell ref="K9:L9"/>
    <mergeCell ref="M9:N9"/>
    <mergeCell ref="P28:Q28"/>
    <mergeCell ref="R28:S28"/>
    <mergeCell ref="T28:U28"/>
    <mergeCell ref="P27:S27"/>
    <mergeCell ref="T27:W27"/>
    <mergeCell ref="X27:AA27"/>
    <mergeCell ref="P9:Q9"/>
    <mergeCell ref="R9:S9"/>
    <mergeCell ref="T9:U9"/>
    <mergeCell ref="V9:W9"/>
    <mergeCell ref="X9:Y9"/>
    <mergeCell ref="Z9:AA9"/>
    <mergeCell ref="AK44:AN47"/>
    <mergeCell ref="AK48:AN48"/>
    <mergeCell ref="AK49:AN49"/>
    <mergeCell ref="AK50:AN50"/>
    <mergeCell ref="AK51:AN51"/>
    <mergeCell ref="AK52:AN52"/>
    <mergeCell ref="AK53:AN53"/>
    <mergeCell ref="AK54:AN54"/>
    <mergeCell ref="AJ56:AJ59"/>
    <mergeCell ref="C5:N5"/>
    <mergeCell ref="C24:N24"/>
    <mergeCell ref="R5:AA5"/>
    <mergeCell ref="AE56:AE59"/>
    <mergeCell ref="AF56:AF59"/>
    <mergeCell ref="AG56:AG59"/>
    <mergeCell ref="AI56:AI59"/>
    <mergeCell ref="AI44:AI47"/>
    <mergeCell ref="AJ44:AJ47"/>
    <mergeCell ref="AH44:AH47"/>
    <mergeCell ref="AH56:AH59"/>
    <mergeCell ref="C7:N7"/>
    <mergeCell ref="P7:AA7"/>
    <mergeCell ref="C8:F8"/>
    <mergeCell ref="G8:J8"/>
    <mergeCell ref="K8:N8"/>
    <mergeCell ref="P8:S8"/>
    <mergeCell ref="T8:W8"/>
    <mergeCell ref="X8:AA8"/>
    <mergeCell ref="C26:N26"/>
    <mergeCell ref="P26:AA26"/>
    <mergeCell ref="C27:F27"/>
    <mergeCell ref="G27:J27"/>
    <mergeCell ref="K27:N27"/>
  </mergeCells>
  <printOptions headings="0" gridLines="0"/>
  <pageMargins left="0.39370078740157477" right="0.39370078740157477" top="0.39370078740157477" bottom="0.39370078740157477" header="0.59055118110236238" footer="0.59055118110236238"/>
  <pageSetup paperSize="9" scale="38" fitToWidth="1" fitToHeight="0" pageOrder="overThenDown" orientation="landscape" usePrinterDefaults="1" blackAndWhite="0" draft="0" cellComments="none" useFirstPageNumber="1" errors="displayed" horizontalDpi="600" verticalDpi="600" copies="1"/>
  <headerFooter/>
  <rowBreaks count="1" manualBreakCount="1">
    <brk id="67" man="1" max="27"/>
  </rowBreak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tabColor rgb="FF00B050"/>
    <outlinePr applyStyles="0" summaryBelow="1" summaryRight="1" showOutlineSymbols="1"/>
    <pageSetUpPr autoPageBreaks="1" fitToPage="1"/>
  </sheetPr>
  <sheetViews>
    <sheetView view="pageBreakPreview" zoomScale="40" workbookViewId="0">
      <selection activeCell="AE20" activeCellId="0" sqref="AE20"/>
    </sheetView>
  </sheetViews>
  <sheetFormatPr baseColWidth="10" defaultRowHeight="14.25" outlineLevelRow="1"/>
  <cols>
    <col customWidth="1" min="1" max="1" style="251" width="9.125"/>
    <col customWidth="1" min="2" max="2" style="251" width="13.75"/>
    <col customWidth="1" min="3" max="10" style="251" width="12.875"/>
    <col customWidth="1" min="11" max="11" style="251" width="2.625"/>
    <col customWidth="1" min="12" max="19" style="251" width="12.875"/>
    <col customWidth="1" min="20" max="20" style="251" width="2.625"/>
    <col customWidth="1" min="21" max="28" style="251" width="12.875"/>
    <col customWidth="1" min="29" max="29" style="251" width="9.125"/>
    <col customWidth="1" min="30" max="30" style="251" width="13.75"/>
    <col customWidth="1" min="31" max="38" style="251" width="21.125"/>
    <col customWidth="1" min="39" max="39" style="251" width="82.625"/>
    <col customWidth="1" min="40" max="40" style="251" width="21.125"/>
    <col customWidth="1" min="41" max="45" style="251" width="10.625"/>
    <col min="46" max="16384" style="251" width="11"/>
  </cols>
  <sheetData>
    <row r="1" ht="52.5" customHeight="1">
      <c r="A1" s="2" t="s">
        <v>0</v>
      </c>
      <c r="B1" s="3" t="s">
        <v>51</v>
      </c>
      <c r="C1" s="4"/>
      <c r="D1" s="4"/>
      <c r="E1" s="4"/>
      <c r="F1" s="5"/>
      <c r="G1" s="5"/>
      <c r="H1" s="4"/>
      <c r="I1" s="4"/>
      <c r="J1" s="5"/>
      <c r="K1" s="5"/>
      <c r="L1" s="5"/>
      <c r="M1" s="6"/>
      <c r="N1" s="7" t="s">
        <v>2</v>
      </c>
      <c r="O1" s="8" t="s">
        <v>3</v>
      </c>
      <c r="P1" s="4"/>
      <c r="Q1" s="4"/>
      <c r="R1" s="4"/>
      <c r="S1" s="4"/>
      <c r="T1" s="4"/>
      <c r="U1" s="4"/>
      <c r="V1" s="4"/>
      <c r="W1" s="4"/>
      <c r="X1" s="10"/>
      <c r="Y1" s="11"/>
      <c r="Z1" s="11"/>
      <c r="AA1" s="11"/>
      <c r="AB1" s="12"/>
    </row>
    <row r="2" ht="52.5" customHeight="1">
      <c r="A2" s="13" t="s">
        <v>4</v>
      </c>
      <c r="B2" s="14"/>
      <c r="C2" s="14"/>
      <c r="D2" s="14"/>
      <c r="E2" s="14"/>
      <c r="F2" s="14"/>
      <c r="G2" s="3" t="s">
        <v>52</v>
      </c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10"/>
      <c r="Y2" s="14"/>
      <c r="Z2" s="14"/>
      <c r="AA2" s="14"/>
      <c r="AB2" s="14"/>
    </row>
    <row r="3" ht="52.5" customHeight="1">
      <c r="A3" s="13" t="s">
        <v>6</v>
      </c>
      <c r="B3" s="14"/>
      <c r="C3" s="3" t="s">
        <v>7</v>
      </c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10"/>
      <c r="Y3" s="14"/>
      <c r="Z3" s="14"/>
      <c r="AA3" s="14"/>
      <c r="AB3" s="15"/>
    </row>
    <row r="4" ht="24.949999999999999" customHeight="1">
      <c r="A4" s="13"/>
      <c r="B4" s="14"/>
      <c r="C4" s="14"/>
      <c r="D4" s="14"/>
      <c r="E4" s="14"/>
      <c r="F4" s="14"/>
      <c r="G4" s="14"/>
      <c r="H4" s="14"/>
      <c r="I4" s="14"/>
      <c r="J4" s="14"/>
      <c r="K4" s="14"/>
      <c r="L4" s="14"/>
      <c r="M4" s="14"/>
      <c r="N4" s="14"/>
      <c r="O4" s="14"/>
      <c r="P4" s="14"/>
      <c r="Q4" s="14"/>
      <c r="R4" s="14"/>
      <c r="S4" s="14"/>
      <c r="T4" s="14"/>
      <c r="U4" s="14"/>
      <c r="V4" s="14"/>
      <c r="W4" s="14"/>
      <c r="X4" s="14"/>
      <c r="Y4" s="14"/>
      <c r="Z4" s="14"/>
      <c r="AA4" s="14"/>
      <c r="AB4" s="15"/>
    </row>
    <row r="5" s="252" customFormat="1" ht="75" customHeight="1">
      <c r="A5" s="17" t="s">
        <v>8</v>
      </c>
      <c r="B5" s="18"/>
      <c r="C5" s="19" t="s">
        <v>53</v>
      </c>
      <c r="D5" s="20"/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2" t="s">
        <v>10</v>
      </c>
      <c r="Q5" s="22"/>
      <c r="R5" s="21" t="s">
        <v>11</v>
      </c>
      <c r="S5" s="21"/>
      <c r="T5" s="21"/>
      <c r="U5" s="21"/>
      <c r="V5" s="21"/>
      <c r="W5" s="21"/>
      <c r="X5" s="21"/>
      <c r="Y5" s="21"/>
      <c r="Z5" s="21"/>
      <c r="AA5" s="21"/>
      <c r="AB5" s="21"/>
      <c r="AC5" s="21"/>
    </row>
    <row r="6" ht="8.0999999999999996" customHeight="1">
      <c r="A6" s="23"/>
      <c r="B6" s="14"/>
      <c r="C6" s="14"/>
      <c r="D6" s="14"/>
      <c r="E6" s="14"/>
      <c r="F6" s="14"/>
      <c r="G6" s="14"/>
      <c r="H6" s="14"/>
      <c r="I6" s="14"/>
      <c r="J6" s="14"/>
      <c r="K6" s="14"/>
      <c r="L6" s="14"/>
      <c r="M6" s="14"/>
      <c r="N6" s="14"/>
      <c r="O6" s="14"/>
      <c r="P6" s="14"/>
      <c r="Q6" s="14"/>
      <c r="R6" s="14"/>
      <c r="S6" s="15"/>
      <c r="T6" s="15"/>
      <c r="U6" s="14"/>
      <c r="V6" s="14"/>
      <c r="W6" s="14"/>
      <c r="X6" s="14"/>
      <c r="Y6" s="14"/>
      <c r="Z6" s="14"/>
      <c r="AA6" s="14"/>
      <c r="AB6" s="15"/>
    </row>
    <row r="7" ht="32.25" customHeight="1">
      <c r="A7" s="13"/>
      <c r="B7" s="14"/>
      <c r="C7" s="24" t="s">
        <v>13</v>
      </c>
      <c r="D7" s="25"/>
      <c r="E7" s="25"/>
      <c r="F7" s="25"/>
      <c r="G7" s="25"/>
      <c r="H7" s="25"/>
      <c r="I7" s="25"/>
      <c r="J7" s="25"/>
      <c r="K7" s="253"/>
      <c r="L7" s="25" t="s">
        <v>54</v>
      </c>
      <c r="M7" s="25"/>
      <c r="N7" s="25"/>
      <c r="O7" s="25"/>
      <c r="P7" s="25"/>
      <c r="Q7" s="25"/>
      <c r="R7" s="25"/>
      <c r="S7" s="27"/>
      <c r="T7" s="254"/>
      <c r="U7" s="25" t="s">
        <v>55</v>
      </c>
      <c r="V7" s="25"/>
      <c r="W7" s="25"/>
      <c r="X7" s="25"/>
      <c r="Y7" s="25"/>
      <c r="Z7" s="25"/>
      <c r="AA7" s="25"/>
      <c r="AB7" s="27"/>
      <c r="AC7" s="255"/>
      <c r="AD7" s="255"/>
      <c r="AF7" s="256"/>
      <c r="AG7" s="256"/>
      <c r="AH7" s="256"/>
      <c r="AI7" s="256"/>
      <c r="AJ7" s="256"/>
      <c r="AK7" s="256"/>
      <c r="AL7" s="256"/>
    </row>
    <row r="8" ht="22.699999999999999" customHeight="1">
      <c r="A8" s="13"/>
      <c r="B8" s="14"/>
      <c r="C8" s="29" t="s">
        <v>14</v>
      </c>
      <c r="D8" s="30"/>
      <c r="E8" s="30"/>
      <c r="F8" s="30"/>
      <c r="G8" s="31" t="s">
        <v>56</v>
      </c>
      <c r="H8" s="31"/>
      <c r="I8" s="31"/>
      <c r="J8" s="31"/>
      <c r="K8" s="31"/>
      <c r="L8" s="30" t="s">
        <v>16</v>
      </c>
      <c r="M8" s="30"/>
      <c r="N8" s="30"/>
      <c r="O8" s="30"/>
      <c r="P8" s="31" t="s">
        <v>56</v>
      </c>
      <c r="Q8" s="31"/>
      <c r="R8" s="31"/>
      <c r="S8" s="257"/>
      <c r="T8" s="258"/>
      <c r="U8" s="30" t="s">
        <v>57</v>
      </c>
      <c r="V8" s="30"/>
      <c r="W8" s="30"/>
      <c r="X8" s="30"/>
      <c r="Y8" s="31" t="s">
        <v>16</v>
      </c>
      <c r="Z8" s="31"/>
      <c r="AA8" s="31"/>
      <c r="AB8" s="257"/>
      <c r="AC8" s="255"/>
      <c r="AD8" s="255"/>
    </row>
    <row r="9" ht="18.600000000000001" customHeight="1">
      <c r="A9" s="13"/>
      <c r="B9" s="14"/>
      <c r="C9" s="259" t="s">
        <v>18</v>
      </c>
      <c r="D9" s="260"/>
      <c r="E9" s="39" t="s">
        <v>19</v>
      </c>
      <c r="F9" s="40"/>
      <c r="G9" s="261" t="s">
        <v>18</v>
      </c>
      <c r="H9" s="260"/>
      <c r="I9" s="39" t="s">
        <v>19</v>
      </c>
      <c r="J9" s="40"/>
      <c r="K9" s="41"/>
      <c r="L9" s="261" t="s">
        <v>18</v>
      </c>
      <c r="M9" s="260"/>
      <c r="N9" s="39" t="s">
        <v>19</v>
      </c>
      <c r="O9" s="40"/>
      <c r="P9" s="261" t="s">
        <v>18</v>
      </c>
      <c r="Q9" s="260"/>
      <c r="R9" s="39" t="s">
        <v>19</v>
      </c>
      <c r="S9" s="42"/>
      <c r="T9" s="41"/>
      <c r="U9" s="261" t="s">
        <v>18</v>
      </c>
      <c r="V9" s="260"/>
      <c r="W9" s="39" t="s">
        <v>19</v>
      </c>
      <c r="X9" s="40"/>
      <c r="Y9" s="261" t="s">
        <v>18</v>
      </c>
      <c r="Z9" s="260"/>
      <c r="AA9" s="39" t="s">
        <v>19</v>
      </c>
      <c r="AB9" s="42"/>
      <c r="AC9" s="255"/>
      <c r="AD9" s="255"/>
    </row>
    <row r="10" ht="21">
      <c r="A10" s="43" t="s">
        <v>20</v>
      </c>
      <c r="B10" s="44" t="s">
        <v>21</v>
      </c>
      <c r="C10" s="262" t="s">
        <v>22</v>
      </c>
      <c r="D10" s="52" t="s">
        <v>23</v>
      </c>
      <c r="E10" s="53" t="s">
        <v>22</v>
      </c>
      <c r="F10" s="54" t="s">
        <v>23</v>
      </c>
      <c r="G10" s="51" t="s">
        <v>22</v>
      </c>
      <c r="H10" s="52" t="s">
        <v>23</v>
      </c>
      <c r="I10" s="53" t="s">
        <v>22</v>
      </c>
      <c r="J10" s="54" t="s">
        <v>23</v>
      </c>
      <c r="K10" s="55"/>
      <c r="L10" s="51" t="s">
        <v>22</v>
      </c>
      <c r="M10" s="52" t="s">
        <v>23</v>
      </c>
      <c r="N10" s="53" t="s">
        <v>22</v>
      </c>
      <c r="O10" s="54" t="s">
        <v>23</v>
      </c>
      <c r="P10" s="51" t="s">
        <v>22</v>
      </c>
      <c r="Q10" s="52" t="s">
        <v>23</v>
      </c>
      <c r="R10" s="53" t="s">
        <v>22</v>
      </c>
      <c r="S10" s="56" t="s">
        <v>23</v>
      </c>
      <c r="T10" s="55"/>
      <c r="U10" s="51" t="s">
        <v>22</v>
      </c>
      <c r="V10" s="52" t="s">
        <v>23</v>
      </c>
      <c r="W10" s="53" t="s">
        <v>22</v>
      </c>
      <c r="X10" s="54" t="s">
        <v>23</v>
      </c>
      <c r="Y10" s="51" t="s">
        <v>22</v>
      </c>
      <c r="Z10" s="52" t="s">
        <v>23</v>
      </c>
      <c r="AA10" s="53" t="s">
        <v>22</v>
      </c>
      <c r="AB10" s="56" t="s">
        <v>23</v>
      </c>
      <c r="AC10" s="255"/>
      <c r="AD10" s="255"/>
      <c r="AE10" s="263"/>
    </row>
    <row r="11" ht="54.950000000000003" hidden="1" customHeight="1" outlineLevel="1">
      <c r="A11" s="58">
        <v>6</v>
      </c>
      <c r="B11" s="59" t="s">
        <v>24</v>
      </c>
      <c r="C11" s="264"/>
      <c r="D11" s="265"/>
      <c r="E11" s="266"/>
      <c r="F11" s="267"/>
      <c r="G11" s="268"/>
      <c r="H11" s="265"/>
      <c r="I11" s="266"/>
      <c r="J11" s="267"/>
      <c r="K11" s="70"/>
      <c r="L11" s="268"/>
      <c r="M11" s="265"/>
      <c r="N11" s="266"/>
      <c r="O11" s="267"/>
      <c r="P11" s="268"/>
      <c r="Q11" s="265"/>
      <c r="R11" s="266"/>
      <c r="S11" s="269"/>
      <c r="T11" s="70"/>
      <c r="U11" s="268"/>
      <c r="V11" s="265"/>
      <c r="W11" s="266"/>
      <c r="X11" s="267"/>
      <c r="Y11" s="268"/>
      <c r="Z11" s="265"/>
      <c r="AA11" s="266"/>
      <c r="AB11" s="269"/>
      <c r="AC11" s="255"/>
      <c r="AD11" s="255"/>
      <c r="AE11" s="270"/>
      <c r="AF11" s="270"/>
      <c r="AG11" s="270"/>
      <c r="AH11" s="270"/>
      <c r="AI11" s="270"/>
      <c r="AJ11" s="270"/>
      <c r="AK11" s="270"/>
      <c r="AL11" s="270"/>
    </row>
    <row r="12" ht="54.950000000000003" hidden="1" customHeight="1" outlineLevel="1">
      <c r="A12" s="58"/>
      <c r="B12" s="59" t="s">
        <v>25</v>
      </c>
      <c r="C12" s="264"/>
      <c r="D12" s="265"/>
      <c r="E12" s="266"/>
      <c r="F12" s="267"/>
      <c r="G12" s="268"/>
      <c r="H12" s="265"/>
      <c r="I12" s="266"/>
      <c r="J12" s="267"/>
      <c r="K12" s="70"/>
      <c r="L12" s="268"/>
      <c r="M12" s="265"/>
      <c r="N12" s="266"/>
      <c r="O12" s="267"/>
      <c r="P12" s="268"/>
      <c r="Q12" s="265"/>
      <c r="R12" s="266"/>
      <c r="S12" s="269"/>
      <c r="T12" s="70"/>
      <c r="U12" s="268"/>
      <c r="V12" s="265"/>
      <c r="W12" s="266"/>
      <c r="X12" s="267"/>
      <c r="Y12" s="268"/>
      <c r="Z12" s="265"/>
      <c r="AA12" s="266"/>
      <c r="AB12" s="269"/>
      <c r="AC12" s="255"/>
      <c r="AD12" s="255"/>
      <c r="AE12" s="270"/>
      <c r="AF12" s="270"/>
      <c r="AG12" s="270"/>
      <c r="AH12" s="270"/>
      <c r="AI12" s="270"/>
      <c r="AJ12" s="270"/>
      <c r="AK12" s="270"/>
      <c r="AL12" s="270"/>
    </row>
    <row r="13" ht="54.950000000000003" customHeight="1" collapsed="1">
      <c r="A13" s="58">
        <v>7</v>
      </c>
      <c r="B13" s="59" t="s">
        <v>26</v>
      </c>
      <c r="C13" s="73">
        <v>4</v>
      </c>
      <c r="D13" s="74"/>
      <c r="E13" s="75"/>
      <c r="F13" s="76"/>
      <c r="G13" s="77"/>
      <c r="H13" s="74"/>
      <c r="I13" s="75"/>
      <c r="J13" s="76"/>
      <c r="K13" s="70"/>
      <c r="L13" s="73"/>
      <c r="M13" s="74"/>
      <c r="N13" s="75"/>
      <c r="O13" s="76"/>
      <c r="P13" s="77">
        <v>1</v>
      </c>
      <c r="Q13" s="74"/>
      <c r="R13" s="75">
        <v>1</v>
      </c>
      <c r="S13" s="76"/>
      <c r="T13" s="70"/>
      <c r="U13" s="73"/>
      <c r="V13" s="74"/>
      <c r="W13" s="75"/>
      <c r="X13" s="76"/>
      <c r="Y13" s="77"/>
      <c r="Z13" s="74"/>
      <c r="AA13" s="75"/>
      <c r="AB13" s="76"/>
      <c r="AC13" s="255"/>
      <c r="AD13" s="255"/>
      <c r="AE13" s="270"/>
      <c r="AF13" s="270"/>
      <c r="AG13" s="270"/>
      <c r="AH13" s="270"/>
      <c r="AI13" s="270"/>
      <c r="AJ13" s="270"/>
      <c r="AK13" s="270"/>
      <c r="AL13" s="270"/>
    </row>
    <row r="14" ht="54.950000000000003" customHeight="1">
      <c r="A14" s="58"/>
      <c r="B14" s="59" t="s">
        <v>27</v>
      </c>
      <c r="C14" s="78">
        <v>2</v>
      </c>
      <c r="D14" s="79"/>
      <c r="E14" s="80">
        <v>1</v>
      </c>
      <c r="F14" s="81"/>
      <c r="G14" s="82"/>
      <c r="H14" s="79"/>
      <c r="I14" s="80"/>
      <c r="J14" s="81"/>
      <c r="K14" s="70"/>
      <c r="L14" s="78"/>
      <c r="M14" s="79"/>
      <c r="N14" s="80"/>
      <c r="O14" s="81"/>
      <c r="P14" s="82"/>
      <c r="Q14" s="79">
        <v>2</v>
      </c>
      <c r="R14" s="80">
        <v>1</v>
      </c>
      <c r="S14" s="81"/>
      <c r="T14" s="70"/>
      <c r="U14" s="78"/>
      <c r="V14" s="79"/>
      <c r="W14" s="80"/>
      <c r="X14" s="81"/>
      <c r="Y14" s="82"/>
      <c r="Z14" s="79"/>
      <c r="AA14" s="80"/>
      <c r="AB14" s="81"/>
      <c r="AC14" s="255"/>
      <c r="AD14" s="255"/>
      <c r="AE14" s="270"/>
      <c r="AF14" s="270"/>
      <c r="AG14" s="270"/>
      <c r="AH14" s="270"/>
      <c r="AI14" s="270"/>
      <c r="AJ14" s="270"/>
      <c r="AK14" s="270"/>
      <c r="AL14" s="270"/>
    </row>
    <row r="15" ht="54.950000000000003" customHeight="1">
      <c r="A15" s="58"/>
      <c r="B15" s="59" t="s">
        <v>24</v>
      </c>
      <c r="C15" s="83">
        <v>1</v>
      </c>
      <c r="D15" s="84">
        <v>1</v>
      </c>
      <c r="E15" s="85"/>
      <c r="F15" s="86"/>
      <c r="G15" s="87">
        <v>1</v>
      </c>
      <c r="H15" s="84"/>
      <c r="I15" s="85">
        <v>1</v>
      </c>
      <c r="J15" s="86"/>
      <c r="K15" s="70"/>
      <c r="L15" s="83"/>
      <c r="M15" s="84"/>
      <c r="N15" s="85"/>
      <c r="O15" s="86"/>
      <c r="P15" s="87"/>
      <c r="Q15" s="84"/>
      <c r="R15" s="85">
        <v>1</v>
      </c>
      <c r="S15" s="86"/>
      <c r="T15" s="70"/>
      <c r="U15" s="83"/>
      <c r="V15" s="84"/>
      <c r="W15" s="85"/>
      <c r="X15" s="86"/>
      <c r="Y15" s="87"/>
      <c r="Z15" s="84"/>
      <c r="AA15" s="85"/>
      <c r="AB15" s="86"/>
      <c r="AC15" s="255"/>
      <c r="AD15" s="255"/>
      <c r="AE15" s="270"/>
      <c r="AF15" s="270"/>
      <c r="AG15" s="270"/>
      <c r="AH15" s="270"/>
      <c r="AI15" s="270"/>
      <c r="AJ15" s="270"/>
      <c r="AK15" s="270"/>
      <c r="AL15" s="270"/>
    </row>
    <row r="16" ht="54.950000000000003" customHeight="1">
      <c r="A16" s="58"/>
      <c r="B16" s="59" t="s">
        <v>25</v>
      </c>
      <c r="C16" s="88"/>
      <c r="D16" s="89">
        <v>1</v>
      </c>
      <c r="E16" s="90"/>
      <c r="F16" s="91"/>
      <c r="G16" s="92">
        <v>1</v>
      </c>
      <c r="H16" s="89"/>
      <c r="I16" s="90"/>
      <c r="J16" s="91"/>
      <c r="K16" s="70"/>
      <c r="L16" s="88"/>
      <c r="M16" s="89"/>
      <c r="N16" s="90"/>
      <c r="O16" s="91"/>
      <c r="P16" s="92"/>
      <c r="Q16" s="89"/>
      <c r="R16" s="90"/>
      <c r="S16" s="91">
        <v>1</v>
      </c>
      <c r="T16" s="70"/>
      <c r="U16" s="88"/>
      <c r="V16" s="89"/>
      <c r="W16" s="90"/>
      <c r="X16" s="91"/>
      <c r="Y16" s="92"/>
      <c r="Z16" s="89"/>
      <c r="AA16" s="90"/>
      <c r="AB16" s="91"/>
      <c r="AC16" s="255"/>
      <c r="AD16" s="255"/>
      <c r="AE16" s="270"/>
      <c r="AF16" s="270"/>
      <c r="AG16" s="270"/>
      <c r="AH16" s="270"/>
      <c r="AI16" s="270"/>
      <c r="AJ16" s="270"/>
      <c r="AK16" s="270"/>
      <c r="AL16" s="270"/>
    </row>
    <row r="17" ht="54.950000000000003" customHeight="1">
      <c r="A17" s="58">
        <v>8</v>
      </c>
      <c r="B17" s="59" t="s">
        <v>26</v>
      </c>
      <c r="C17" s="73"/>
      <c r="D17" s="74">
        <v>1</v>
      </c>
      <c r="E17" s="75">
        <v>1</v>
      </c>
      <c r="F17" s="76"/>
      <c r="G17" s="77"/>
      <c r="H17" s="74"/>
      <c r="I17" s="75"/>
      <c r="J17" s="76"/>
      <c r="K17" s="70"/>
      <c r="L17" s="73"/>
      <c r="M17" s="74"/>
      <c r="N17" s="75">
        <v>1</v>
      </c>
      <c r="O17" s="76"/>
      <c r="P17" s="77"/>
      <c r="Q17" s="74">
        <v>1</v>
      </c>
      <c r="R17" s="75"/>
      <c r="S17" s="76"/>
      <c r="T17" s="70"/>
      <c r="U17" s="73"/>
      <c r="V17" s="74"/>
      <c r="W17" s="75"/>
      <c r="X17" s="76">
        <v>1</v>
      </c>
      <c r="Y17" s="77"/>
      <c r="Z17" s="74"/>
      <c r="AA17" s="75"/>
      <c r="AB17" s="76"/>
      <c r="AC17" s="255"/>
      <c r="AD17" s="255"/>
      <c r="AE17" s="270"/>
      <c r="AF17" s="270"/>
      <c r="AG17" s="270"/>
      <c r="AH17" s="270"/>
      <c r="AI17" s="270"/>
      <c r="AJ17" s="270"/>
      <c r="AK17" s="270"/>
      <c r="AL17" s="270"/>
    </row>
    <row r="18" ht="54.950000000000003" customHeight="1">
      <c r="A18" s="58"/>
      <c r="B18" s="59" t="s">
        <v>27</v>
      </c>
      <c r="C18" s="78"/>
      <c r="D18" s="79"/>
      <c r="E18" s="80"/>
      <c r="F18" s="81"/>
      <c r="G18" s="82"/>
      <c r="H18" s="79"/>
      <c r="I18" s="80"/>
      <c r="J18" s="81"/>
      <c r="K18" s="70"/>
      <c r="L18" s="78"/>
      <c r="M18" s="79">
        <v>1</v>
      </c>
      <c r="N18" s="80"/>
      <c r="O18" s="81"/>
      <c r="P18" s="82"/>
      <c r="Q18" s="79"/>
      <c r="R18" s="80">
        <v>1</v>
      </c>
      <c r="S18" s="81"/>
      <c r="T18" s="70"/>
      <c r="U18" s="78"/>
      <c r="V18" s="79"/>
      <c r="W18" s="80"/>
      <c r="X18" s="81"/>
      <c r="Y18" s="82"/>
      <c r="Z18" s="79"/>
      <c r="AA18" s="80"/>
      <c r="AB18" s="81"/>
      <c r="AC18" s="255"/>
      <c r="AD18" s="255"/>
      <c r="AE18" s="270"/>
      <c r="AF18" s="270"/>
      <c r="AG18" s="270"/>
      <c r="AH18" s="270"/>
      <c r="AI18" s="270"/>
      <c r="AJ18" s="270"/>
      <c r="AK18" s="270"/>
      <c r="AL18" s="270"/>
    </row>
    <row r="19" ht="54.950000000000003" customHeight="1">
      <c r="A19" s="58"/>
      <c r="B19" s="59" t="s">
        <v>24</v>
      </c>
      <c r="C19" s="83"/>
      <c r="D19" s="84">
        <v>1</v>
      </c>
      <c r="E19" s="85"/>
      <c r="F19" s="86">
        <v>1</v>
      </c>
      <c r="G19" s="87"/>
      <c r="H19" s="84"/>
      <c r="I19" s="85"/>
      <c r="J19" s="86"/>
      <c r="K19" s="70"/>
      <c r="L19" s="83"/>
      <c r="M19" s="84"/>
      <c r="N19" s="85"/>
      <c r="O19" s="86"/>
      <c r="P19" s="87"/>
      <c r="Q19" s="84"/>
      <c r="R19" s="85"/>
      <c r="S19" s="86"/>
      <c r="T19" s="70"/>
      <c r="U19" s="83"/>
      <c r="V19" s="84">
        <v>1</v>
      </c>
      <c r="W19" s="85"/>
      <c r="X19" s="86"/>
      <c r="Y19" s="87"/>
      <c r="Z19" s="84"/>
      <c r="AA19" s="85"/>
      <c r="AB19" s="86"/>
      <c r="AC19" s="255"/>
      <c r="AD19" s="255"/>
      <c r="AE19" s="270"/>
      <c r="AF19" s="270"/>
      <c r="AG19" s="270"/>
      <c r="AH19" s="270"/>
      <c r="AI19" s="270"/>
      <c r="AJ19" s="270"/>
      <c r="AK19" s="270"/>
      <c r="AL19" s="270"/>
    </row>
    <row r="20" ht="54.950000000000003" customHeight="1">
      <c r="A20" s="58"/>
      <c r="B20" s="59" t="s">
        <v>25</v>
      </c>
      <c r="C20" s="88"/>
      <c r="D20" s="89"/>
      <c r="E20" s="90"/>
      <c r="F20" s="91"/>
      <c r="G20" s="92"/>
      <c r="H20" s="89"/>
      <c r="I20" s="90"/>
      <c r="J20" s="91"/>
      <c r="K20" s="70"/>
      <c r="L20" s="88"/>
      <c r="M20" s="89"/>
      <c r="N20" s="90"/>
      <c r="O20" s="91"/>
      <c r="P20" s="92"/>
      <c r="Q20" s="89"/>
      <c r="R20" s="90"/>
      <c r="S20" s="91"/>
      <c r="T20" s="70"/>
      <c r="U20" s="88"/>
      <c r="V20" s="89"/>
      <c r="W20" s="90"/>
      <c r="X20" s="91"/>
      <c r="Y20" s="92"/>
      <c r="Z20" s="89"/>
      <c r="AA20" s="90"/>
      <c r="AB20" s="91"/>
      <c r="AC20" s="255"/>
      <c r="AD20" s="255"/>
      <c r="AE20" s="270"/>
      <c r="AF20" s="270"/>
      <c r="AG20" s="270"/>
      <c r="AH20" s="270"/>
      <c r="AI20" s="270"/>
      <c r="AJ20" s="270"/>
      <c r="AK20" s="270"/>
      <c r="AL20" s="270"/>
    </row>
    <row r="21" ht="54.950000000000003" hidden="1" customHeight="1" outlineLevel="1">
      <c r="A21" s="58">
        <v>9</v>
      </c>
      <c r="B21" s="59" t="s">
        <v>26</v>
      </c>
      <c r="C21" s="264"/>
      <c r="D21" s="265"/>
      <c r="E21" s="266"/>
      <c r="F21" s="267"/>
      <c r="G21" s="268"/>
      <c r="H21" s="265"/>
      <c r="I21" s="266"/>
      <c r="J21" s="267"/>
      <c r="K21" s="70"/>
      <c r="L21" s="268"/>
      <c r="M21" s="265"/>
      <c r="N21" s="266"/>
      <c r="O21" s="267"/>
      <c r="P21" s="268"/>
      <c r="Q21" s="265"/>
      <c r="R21" s="266"/>
      <c r="S21" s="269"/>
      <c r="T21" s="70"/>
      <c r="U21" s="268"/>
      <c r="V21" s="265"/>
      <c r="W21" s="266"/>
      <c r="X21" s="267"/>
      <c r="Y21" s="268"/>
      <c r="Z21" s="265"/>
      <c r="AA21" s="266"/>
      <c r="AB21" s="269"/>
      <c r="AC21" s="255"/>
      <c r="AD21" s="255"/>
      <c r="AE21" s="270"/>
      <c r="AF21" s="270"/>
      <c r="AG21" s="270"/>
      <c r="AH21" s="270"/>
      <c r="AI21" s="270"/>
      <c r="AJ21" s="270"/>
      <c r="AK21" s="270"/>
      <c r="AL21" s="270"/>
    </row>
    <row r="22" ht="54.950000000000003" hidden="1" customHeight="1" outlineLevel="1">
      <c r="A22" s="93"/>
      <c r="B22" s="94" t="s">
        <v>27</v>
      </c>
      <c r="C22" s="271"/>
      <c r="D22" s="272"/>
      <c r="E22" s="273"/>
      <c r="F22" s="274"/>
      <c r="G22" s="275"/>
      <c r="H22" s="272"/>
      <c r="I22" s="273"/>
      <c r="J22" s="274"/>
      <c r="K22" s="70"/>
      <c r="L22" s="275"/>
      <c r="M22" s="272"/>
      <c r="N22" s="273"/>
      <c r="O22" s="274"/>
      <c r="P22" s="275"/>
      <c r="Q22" s="272"/>
      <c r="R22" s="273"/>
      <c r="S22" s="276"/>
      <c r="T22" s="70"/>
      <c r="U22" s="275"/>
      <c r="V22" s="272"/>
      <c r="W22" s="273"/>
      <c r="X22" s="274"/>
      <c r="Y22" s="275"/>
      <c r="Z22" s="272"/>
      <c r="AA22" s="273"/>
      <c r="AB22" s="276"/>
      <c r="AC22" s="255"/>
      <c r="AD22" s="255"/>
      <c r="AE22" s="270"/>
      <c r="AF22" s="270"/>
      <c r="AG22" s="270"/>
      <c r="AH22" s="270"/>
      <c r="AI22" s="270"/>
      <c r="AJ22" s="270"/>
      <c r="AK22" s="270"/>
      <c r="AL22" s="270"/>
    </row>
    <row r="23" s="1" customFormat="1" ht="24.949999999999999" customHeight="1" collapsed="1">
      <c r="A23" s="106"/>
      <c r="B23" s="106"/>
      <c r="C23" s="107"/>
      <c r="D23" s="107"/>
      <c r="E23" s="107"/>
      <c r="F23" s="107"/>
      <c r="G23" s="107"/>
      <c r="H23" s="107"/>
      <c r="I23" s="107"/>
      <c r="J23" s="107"/>
      <c r="K23" s="70"/>
      <c r="L23" s="107"/>
      <c r="M23" s="107"/>
      <c r="N23" s="107"/>
      <c r="O23" s="107"/>
      <c r="P23" s="107"/>
      <c r="Q23" s="107"/>
      <c r="R23" s="107"/>
      <c r="S23" s="107"/>
      <c r="T23" s="70"/>
      <c r="U23" s="107"/>
      <c r="V23" s="107"/>
      <c r="W23" s="107"/>
      <c r="X23" s="107"/>
      <c r="Y23" s="107"/>
      <c r="Z23" s="107"/>
      <c r="AA23" s="107"/>
      <c r="AB23" s="107"/>
      <c r="AC23" s="72"/>
      <c r="AD23" s="72"/>
      <c r="AE23" s="72"/>
      <c r="AF23" s="72"/>
      <c r="AG23" s="72"/>
      <c r="AH23" s="72"/>
    </row>
    <row r="24" s="1" customFormat="1" ht="75" customHeight="1" outlineLevel="1">
      <c r="A24" s="17"/>
      <c r="B24" s="18"/>
      <c r="C24" s="19"/>
      <c r="D24" s="20"/>
      <c r="E24" s="20"/>
      <c r="F24" s="20"/>
      <c r="G24" s="20"/>
      <c r="H24" s="20"/>
      <c r="I24" s="20"/>
      <c r="J24" s="20"/>
      <c r="K24" s="20"/>
      <c r="L24" s="20"/>
      <c r="M24" s="20"/>
      <c r="N24" s="20"/>
      <c r="O24" s="20"/>
      <c r="P24" s="108"/>
      <c r="Q24" s="108"/>
      <c r="R24" s="108"/>
      <c r="S24" s="108"/>
      <c r="T24" s="108"/>
      <c r="U24" s="108"/>
      <c r="V24" s="108"/>
      <c r="W24" s="108"/>
      <c r="X24" s="108"/>
      <c r="Y24" s="108"/>
      <c r="Z24" s="108"/>
      <c r="AA24" s="108"/>
      <c r="AB24" s="109"/>
    </row>
    <row r="25" ht="32.25" customHeight="1">
      <c r="A25" s="13"/>
      <c r="B25" s="14"/>
      <c r="C25" s="24" t="str">
        <f t="shared" ref="C25:C26" si="32">C7</f>
        <v xml:space="preserve">Depuis 'Pers-Jussy'</v>
      </c>
      <c r="D25" s="25"/>
      <c r="E25" s="25"/>
      <c r="F25" s="25"/>
      <c r="G25" s="25"/>
      <c r="H25" s="25"/>
      <c r="I25" s="25"/>
      <c r="J25" s="25"/>
      <c r="K25" s="25"/>
      <c r="L25" s="25" t="str">
        <f t="shared" ref="L25:L26" si="33">L7</f>
        <v xml:space="preserve">Depuis 'Reignier-centre'</v>
      </c>
      <c r="M25" s="25"/>
      <c r="N25" s="25"/>
      <c r="O25" s="25"/>
      <c r="P25" s="25"/>
      <c r="Q25" s="25"/>
      <c r="R25" s="25"/>
      <c r="S25" s="27"/>
      <c r="T25" s="277"/>
      <c r="U25" s="25" t="str">
        <f t="shared" ref="U25:U26" si="34">U7</f>
        <v xml:space="preserve">Depuis 'Gare'</v>
      </c>
      <c r="V25" s="25"/>
      <c r="W25" s="25"/>
      <c r="X25" s="25"/>
      <c r="Y25" s="25"/>
      <c r="Z25" s="25"/>
      <c r="AA25" s="25"/>
      <c r="AB25" s="27"/>
      <c r="AC25" s="13"/>
      <c r="AD25" s="14"/>
      <c r="AE25" s="278" t="s">
        <v>31</v>
      </c>
      <c r="AF25" s="125" t="s">
        <v>32</v>
      </c>
      <c r="AG25" s="279" t="s">
        <v>33</v>
      </c>
      <c r="AH25" s="280" t="s">
        <v>34</v>
      </c>
      <c r="AI25" s="125" t="s">
        <v>58</v>
      </c>
      <c r="AJ25" s="125" t="s">
        <v>36</v>
      </c>
      <c r="AK25" s="125" t="s">
        <v>37</v>
      </c>
      <c r="AL25" s="126" t="s">
        <v>38</v>
      </c>
      <c r="AM25" s="127"/>
      <c r="AN25" s="127"/>
      <c r="AO25" s="128"/>
    </row>
    <row r="26" ht="22.699999999999999" customHeight="1">
      <c r="A26" s="13"/>
      <c r="B26" s="14"/>
      <c r="C26" s="29" t="str">
        <f t="shared" si="32"/>
        <v xml:space="preserve">vers 'Reignier'</v>
      </c>
      <c r="D26" s="30"/>
      <c r="E26" s="30"/>
      <c r="F26" s="30"/>
      <c r="G26" s="29" t="str">
        <f>G8</f>
        <v xml:space="preserve">vers 'Gare'</v>
      </c>
      <c r="H26" s="30"/>
      <c r="I26" s="30"/>
      <c r="J26" s="30"/>
      <c r="K26" s="31"/>
      <c r="L26" s="29" t="str">
        <f t="shared" si="33"/>
        <v xml:space="preserve">vers 'Pers-Jussy'</v>
      </c>
      <c r="M26" s="30"/>
      <c r="N26" s="30"/>
      <c r="O26" s="30"/>
      <c r="P26" s="29" t="str">
        <f>P8</f>
        <v xml:space="preserve">vers 'Gare'</v>
      </c>
      <c r="Q26" s="30"/>
      <c r="R26" s="30"/>
      <c r="S26" s="30"/>
      <c r="T26" s="31"/>
      <c r="U26" s="29" t="str">
        <f t="shared" si="34"/>
        <v xml:space="preserve">vers 'Reignier-centre'</v>
      </c>
      <c r="V26" s="30"/>
      <c r="W26" s="30"/>
      <c r="X26" s="30"/>
      <c r="Y26" s="29" t="str">
        <f>Y8</f>
        <v xml:space="preserve">vers 'Pers-Jussy'</v>
      </c>
      <c r="Z26" s="30"/>
      <c r="AA26" s="30"/>
      <c r="AB26" s="32"/>
      <c r="AC26" s="13"/>
      <c r="AD26" s="14"/>
      <c r="AE26" s="281"/>
      <c r="AF26" s="135"/>
      <c r="AG26" s="282"/>
      <c r="AH26" s="283"/>
      <c r="AI26" s="135"/>
      <c r="AJ26" s="135"/>
      <c r="AK26" s="135"/>
      <c r="AL26" s="136"/>
      <c r="AM26" s="137"/>
      <c r="AN26" s="137"/>
      <c r="AO26" s="138"/>
    </row>
    <row r="27" ht="18.600000000000001" customHeight="1">
      <c r="A27" s="13"/>
      <c r="B27" s="14"/>
      <c r="C27" s="259" t="s">
        <v>18</v>
      </c>
      <c r="D27" s="260"/>
      <c r="E27" s="39" t="s">
        <v>19</v>
      </c>
      <c r="F27" s="40"/>
      <c r="G27" s="261" t="s">
        <v>18</v>
      </c>
      <c r="H27" s="260"/>
      <c r="I27" s="39" t="s">
        <v>19</v>
      </c>
      <c r="J27" s="40"/>
      <c r="K27" s="41"/>
      <c r="L27" s="261" t="s">
        <v>18</v>
      </c>
      <c r="M27" s="260"/>
      <c r="N27" s="39" t="s">
        <v>19</v>
      </c>
      <c r="O27" s="40"/>
      <c r="P27" s="261" t="s">
        <v>18</v>
      </c>
      <c r="Q27" s="260"/>
      <c r="R27" s="39" t="s">
        <v>19</v>
      </c>
      <c r="S27" s="42"/>
      <c r="T27" s="41"/>
      <c r="U27" s="261" t="s">
        <v>18</v>
      </c>
      <c r="V27" s="260"/>
      <c r="W27" s="39" t="s">
        <v>19</v>
      </c>
      <c r="X27" s="40"/>
      <c r="Y27" s="261" t="s">
        <v>18</v>
      </c>
      <c r="Z27" s="260"/>
      <c r="AA27" s="284" t="s">
        <v>19</v>
      </c>
      <c r="AB27" s="285"/>
      <c r="AC27" s="13"/>
      <c r="AD27" s="14"/>
      <c r="AE27" s="281"/>
      <c r="AF27" s="135"/>
      <c r="AG27" s="282"/>
      <c r="AH27" s="283"/>
      <c r="AI27" s="135"/>
      <c r="AJ27" s="135"/>
      <c r="AK27" s="135"/>
      <c r="AL27" s="136"/>
      <c r="AM27" s="137"/>
      <c r="AN27" s="137"/>
      <c r="AO27" s="138"/>
    </row>
    <row r="28" ht="21">
      <c r="A28" s="286" t="s">
        <v>39</v>
      </c>
      <c r="B28" s="287"/>
      <c r="C28" s="262" t="s">
        <v>22</v>
      </c>
      <c r="D28" s="52" t="s">
        <v>23</v>
      </c>
      <c r="E28" s="53" t="s">
        <v>22</v>
      </c>
      <c r="F28" s="54" t="s">
        <v>23</v>
      </c>
      <c r="G28" s="51" t="s">
        <v>22</v>
      </c>
      <c r="H28" s="52" t="s">
        <v>23</v>
      </c>
      <c r="I28" s="53" t="s">
        <v>22</v>
      </c>
      <c r="J28" s="54" t="s">
        <v>23</v>
      </c>
      <c r="K28" s="288"/>
      <c r="L28" s="51" t="s">
        <v>22</v>
      </c>
      <c r="M28" s="52" t="s">
        <v>23</v>
      </c>
      <c r="N28" s="53" t="s">
        <v>22</v>
      </c>
      <c r="O28" s="54" t="s">
        <v>23</v>
      </c>
      <c r="P28" s="51" t="s">
        <v>22</v>
      </c>
      <c r="Q28" s="52" t="s">
        <v>23</v>
      </c>
      <c r="R28" s="53" t="s">
        <v>22</v>
      </c>
      <c r="S28" s="56" t="s">
        <v>23</v>
      </c>
      <c r="T28" s="288"/>
      <c r="U28" s="51" t="s">
        <v>22</v>
      </c>
      <c r="V28" s="52" t="s">
        <v>23</v>
      </c>
      <c r="W28" s="53" t="s">
        <v>22</v>
      </c>
      <c r="X28" s="54" t="s">
        <v>23</v>
      </c>
      <c r="Y28" s="51" t="s">
        <v>22</v>
      </c>
      <c r="Z28" s="52" t="s">
        <v>23</v>
      </c>
      <c r="AA28" s="53" t="s">
        <v>22</v>
      </c>
      <c r="AB28" s="56" t="s">
        <v>23</v>
      </c>
      <c r="AC28" s="289" t="s">
        <v>39</v>
      </c>
      <c r="AD28" s="290"/>
      <c r="AE28" s="281"/>
      <c r="AF28" s="154"/>
      <c r="AG28" s="291"/>
      <c r="AH28" s="292"/>
      <c r="AI28" s="154"/>
      <c r="AJ28" s="154"/>
      <c r="AK28" s="154"/>
      <c r="AL28" s="155"/>
      <c r="AM28" s="156"/>
      <c r="AN28" s="156"/>
      <c r="AO28" s="157"/>
    </row>
    <row r="29" ht="54.950000000000003" customHeight="1">
      <c r="A29" s="293" t="s">
        <v>40</v>
      </c>
      <c r="B29" s="294"/>
      <c r="C29" s="73">
        <f t="shared" ref="C29:AB29" si="35">SUM(C11:C14)</f>
        <v>6</v>
      </c>
      <c r="D29" s="74">
        <f t="shared" si="35"/>
        <v>0</v>
      </c>
      <c r="E29" s="75">
        <f t="shared" si="35"/>
        <v>1</v>
      </c>
      <c r="F29" s="76">
        <f t="shared" si="35"/>
        <v>0</v>
      </c>
      <c r="G29" s="77">
        <f t="shared" si="35"/>
        <v>0</v>
      </c>
      <c r="H29" s="74">
        <f t="shared" si="35"/>
        <v>0</v>
      </c>
      <c r="I29" s="75">
        <f t="shared" si="35"/>
        <v>0</v>
      </c>
      <c r="J29" s="76">
        <f t="shared" si="35"/>
        <v>0</v>
      </c>
      <c r="K29" s="295"/>
      <c r="L29" s="77">
        <f t="shared" si="35"/>
        <v>0</v>
      </c>
      <c r="M29" s="74">
        <f t="shared" si="35"/>
        <v>0</v>
      </c>
      <c r="N29" s="75">
        <f t="shared" si="35"/>
        <v>0</v>
      </c>
      <c r="O29" s="76">
        <f t="shared" si="35"/>
        <v>0</v>
      </c>
      <c r="P29" s="77">
        <f t="shared" si="35"/>
        <v>1</v>
      </c>
      <c r="Q29" s="74">
        <f t="shared" si="35"/>
        <v>2</v>
      </c>
      <c r="R29" s="75">
        <f t="shared" si="35"/>
        <v>2</v>
      </c>
      <c r="S29" s="296">
        <f t="shared" si="35"/>
        <v>0</v>
      </c>
      <c r="T29" s="295"/>
      <c r="U29" s="77">
        <f t="shared" si="35"/>
        <v>0</v>
      </c>
      <c r="V29" s="74">
        <f t="shared" si="35"/>
        <v>0</v>
      </c>
      <c r="W29" s="75">
        <f t="shared" si="35"/>
        <v>0</v>
      </c>
      <c r="X29" s="76">
        <f t="shared" si="35"/>
        <v>0</v>
      </c>
      <c r="Y29" s="77">
        <f t="shared" si="35"/>
        <v>0</v>
      </c>
      <c r="Z29" s="74">
        <f t="shared" si="35"/>
        <v>0</v>
      </c>
      <c r="AA29" s="75">
        <f t="shared" si="35"/>
        <v>0</v>
      </c>
      <c r="AB29" s="296">
        <f t="shared" si="35"/>
        <v>0</v>
      </c>
      <c r="AC29" s="297" t="s">
        <v>40</v>
      </c>
      <c r="AD29" s="298"/>
      <c r="AE29" s="299">
        <f t="shared" ref="AE29:AE35" si="36">SUM(C29:AB29)</f>
        <v>12</v>
      </c>
      <c r="AF29" s="169">
        <f t="shared" ref="AF29:AF35" si="37">IF(AE29=0,0,AF41/AE29)</f>
        <v>0.83333333333333337</v>
      </c>
      <c r="AG29" s="169">
        <f t="shared" ref="AG29:AG35" si="38">IF(AE29=0,0,AG41/AE29)</f>
        <v>0.25</v>
      </c>
      <c r="AH29" s="169">
        <f t="shared" ref="AH29:AH35" si="39">IF(AG41=0,0,AH41/AG41)</f>
        <v>1</v>
      </c>
      <c r="AI29" s="169">
        <f t="shared" ref="AI29:AI35" si="40">IF(AE29=0,0,AI41/AE29)</f>
        <v>0.41666666666666669</v>
      </c>
      <c r="AJ29" s="169">
        <f t="shared" ref="AJ29:AJ35" si="41">IF(AE29=0,0,AJ41/AE29)</f>
        <v>0.41666666666666669</v>
      </c>
      <c r="AK29" s="169">
        <f t="shared" ref="AK29:AK35" si="42">IF(AE29=0,0,AK41/AE29)</f>
        <v>0.58333333333333337</v>
      </c>
      <c r="AL29" s="170"/>
      <c r="AM29" s="171"/>
      <c r="AN29" s="171"/>
      <c r="AO29" s="172"/>
    </row>
    <row r="30" ht="54.950000000000003" hidden="1" customHeight="1">
      <c r="A30" s="300" t="s">
        <v>41</v>
      </c>
      <c r="B30" s="301"/>
      <c r="C30" s="83">
        <f t="shared" ref="C30:AB30" si="43">SUM(C13:C16)</f>
        <v>7</v>
      </c>
      <c r="D30" s="84">
        <f t="shared" si="43"/>
        <v>2</v>
      </c>
      <c r="E30" s="85">
        <f t="shared" si="43"/>
        <v>1</v>
      </c>
      <c r="F30" s="86">
        <f t="shared" si="43"/>
        <v>0</v>
      </c>
      <c r="G30" s="87">
        <f t="shared" si="43"/>
        <v>2</v>
      </c>
      <c r="H30" s="84">
        <f t="shared" si="43"/>
        <v>0</v>
      </c>
      <c r="I30" s="85">
        <f t="shared" si="43"/>
        <v>1</v>
      </c>
      <c r="J30" s="86">
        <f t="shared" si="43"/>
        <v>0</v>
      </c>
      <c r="K30" s="302"/>
      <c r="L30" s="87">
        <f t="shared" si="43"/>
        <v>0</v>
      </c>
      <c r="M30" s="84">
        <f t="shared" si="43"/>
        <v>0</v>
      </c>
      <c r="N30" s="85">
        <f t="shared" si="43"/>
        <v>0</v>
      </c>
      <c r="O30" s="86">
        <f t="shared" si="43"/>
        <v>0</v>
      </c>
      <c r="P30" s="87">
        <f t="shared" si="43"/>
        <v>1</v>
      </c>
      <c r="Q30" s="84">
        <f t="shared" si="43"/>
        <v>2</v>
      </c>
      <c r="R30" s="85">
        <f t="shared" si="43"/>
        <v>3</v>
      </c>
      <c r="S30" s="303">
        <f t="shared" si="43"/>
        <v>1</v>
      </c>
      <c r="T30" s="302"/>
      <c r="U30" s="87">
        <f t="shared" si="43"/>
        <v>0</v>
      </c>
      <c r="V30" s="84">
        <f t="shared" si="43"/>
        <v>0</v>
      </c>
      <c r="W30" s="85">
        <f t="shared" si="43"/>
        <v>0</v>
      </c>
      <c r="X30" s="86">
        <f t="shared" si="43"/>
        <v>0</v>
      </c>
      <c r="Y30" s="87">
        <f t="shared" si="43"/>
        <v>0</v>
      </c>
      <c r="Z30" s="84">
        <f t="shared" si="43"/>
        <v>0</v>
      </c>
      <c r="AA30" s="85">
        <f t="shared" si="43"/>
        <v>0</v>
      </c>
      <c r="AB30" s="303">
        <f t="shared" si="43"/>
        <v>0</v>
      </c>
      <c r="AC30" s="304" t="s">
        <v>41</v>
      </c>
      <c r="AD30" s="305"/>
      <c r="AE30" s="306">
        <f t="shared" si="36"/>
        <v>20</v>
      </c>
      <c r="AF30" s="184">
        <f t="shared" si="37"/>
        <v>0.75</v>
      </c>
      <c r="AG30" s="184">
        <f t="shared" si="38"/>
        <v>0.29999999999999999</v>
      </c>
      <c r="AH30" s="184">
        <f t="shared" si="39"/>
        <v>0.83333333333333337</v>
      </c>
      <c r="AI30" s="184">
        <f t="shared" si="40"/>
        <v>0.5</v>
      </c>
      <c r="AJ30" s="184">
        <f t="shared" si="41"/>
        <v>0.34999999999999998</v>
      </c>
      <c r="AK30" s="184">
        <f t="shared" si="42"/>
        <v>0.65000000000000002</v>
      </c>
      <c r="AL30" s="185"/>
      <c r="AM30" s="186"/>
      <c r="AN30" s="186"/>
      <c r="AO30" s="187"/>
    </row>
    <row r="31" ht="54.950000000000003" customHeight="1">
      <c r="A31" s="300" t="s">
        <v>42</v>
      </c>
      <c r="B31" s="301"/>
      <c r="C31" s="83">
        <f t="shared" ref="C31:AB31" si="44">SUM(C15:C18)</f>
        <v>1</v>
      </c>
      <c r="D31" s="84">
        <f t="shared" si="44"/>
        <v>3</v>
      </c>
      <c r="E31" s="85">
        <f t="shared" si="44"/>
        <v>1</v>
      </c>
      <c r="F31" s="86">
        <f t="shared" si="44"/>
        <v>0</v>
      </c>
      <c r="G31" s="87">
        <f t="shared" si="44"/>
        <v>2</v>
      </c>
      <c r="H31" s="84">
        <f t="shared" si="44"/>
        <v>0</v>
      </c>
      <c r="I31" s="85">
        <f t="shared" si="44"/>
        <v>1</v>
      </c>
      <c r="J31" s="86">
        <f t="shared" si="44"/>
        <v>0</v>
      </c>
      <c r="K31" s="302"/>
      <c r="L31" s="87">
        <f t="shared" si="44"/>
        <v>0</v>
      </c>
      <c r="M31" s="84">
        <f t="shared" si="44"/>
        <v>1</v>
      </c>
      <c r="N31" s="85">
        <f t="shared" si="44"/>
        <v>1</v>
      </c>
      <c r="O31" s="86">
        <f t="shared" si="44"/>
        <v>0</v>
      </c>
      <c r="P31" s="87">
        <f t="shared" si="44"/>
        <v>0</v>
      </c>
      <c r="Q31" s="84">
        <f t="shared" si="44"/>
        <v>1</v>
      </c>
      <c r="R31" s="85">
        <f t="shared" si="44"/>
        <v>2</v>
      </c>
      <c r="S31" s="303">
        <f t="shared" si="44"/>
        <v>1</v>
      </c>
      <c r="T31" s="302"/>
      <c r="U31" s="87">
        <f t="shared" si="44"/>
        <v>0</v>
      </c>
      <c r="V31" s="84">
        <f t="shared" si="44"/>
        <v>0</v>
      </c>
      <c r="W31" s="85">
        <f t="shared" si="44"/>
        <v>0</v>
      </c>
      <c r="X31" s="86">
        <f t="shared" si="44"/>
        <v>1</v>
      </c>
      <c r="Y31" s="87">
        <f t="shared" si="44"/>
        <v>0</v>
      </c>
      <c r="Z31" s="84">
        <f t="shared" si="44"/>
        <v>0</v>
      </c>
      <c r="AA31" s="85">
        <f t="shared" si="44"/>
        <v>0</v>
      </c>
      <c r="AB31" s="303">
        <f t="shared" si="44"/>
        <v>0</v>
      </c>
      <c r="AC31" s="304" t="s">
        <v>42</v>
      </c>
      <c r="AD31" s="305"/>
      <c r="AE31" s="306">
        <f t="shared" si="36"/>
        <v>15</v>
      </c>
      <c r="AF31" s="184">
        <f t="shared" si="37"/>
        <v>0.53333333333333333</v>
      </c>
      <c r="AG31" s="184">
        <f t="shared" si="38"/>
        <v>0.46666666666666667</v>
      </c>
      <c r="AH31" s="184">
        <f t="shared" si="39"/>
        <v>0.7142857142857143</v>
      </c>
      <c r="AI31" s="184">
        <f t="shared" si="40"/>
        <v>0.46666666666666667</v>
      </c>
      <c r="AJ31" s="184">
        <f t="shared" si="41"/>
        <v>0.40000000000000002</v>
      </c>
      <c r="AK31" s="184">
        <f t="shared" si="42"/>
        <v>0.53333333333333333</v>
      </c>
      <c r="AL31" s="185"/>
      <c r="AM31" s="186"/>
      <c r="AN31" s="186"/>
      <c r="AO31" s="187"/>
    </row>
    <row r="32" ht="54.950000000000003" customHeight="1">
      <c r="A32" s="300" t="s">
        <v>43</v>
      </c>
      <c r="B32" s="301"/>
      <c r="C32" s="83">
        <f t="shared" ref="C32:AB32" si="45">SUM(C17:C20)</f>
        <v>0</v>
      </c>
      <c r="D32" s="84">
        <f t="shared" si="45"/>
        <v>2</v>
      </c>
      <c r="E32" s="85">
        <f t="shared" si="45"/>
        <v>1</v>
      </c>
      <c r="F32" s="86">
        <f t="shared" si="45"/>
        <v>1</v>
      </c>
      <c r="G32" s="87">
        <f t="shared" si="45"/>
        <v>0</v>
      </c>
      <c r="H32" s="84">
        <f t="shared" si="45"/>
        <v>0</v>
      </c>
      <c r="I32" s="85">
        <f t="shared" si="45"/>
        <v>0</v>
      </c>
      <c r="J32" s="86">
        <f t="shared" si="45"/>
        <v>0</v>
      </c>
      <c r="K32" s="302"/>
      <c r="L32" s="87">
        <f t="shared" si="45"/>
        <v>0</v>
      </c>
      <c r="M32" s="84">
        <f t="shared" si="45"/>
        <v>1</v>
      </c>
      <c r="N32" s="85">
        <f t="shared" si="45"/>
        <v>1</v>
      </c>
      <c r="O32" s="86">
        <f t="shared" si="45"/>
        <v>0</v>
      </c>
      <c r="P32" s="87">
        <f t="shared" si="45"/>
        <v>0</v>
      </c>
      <c r="Q32" s="84">
        <f t="shared" si="45"/>
        <v>1</v>
      </c>
      <c r="R32" s="85">
        <f t="shared" si="45"/>
        <v>1</v>
      </c>
      <c r="S32" s="303">
        <f t="shared" si="45"/>
        <v>0</v>
      </c>
      <c r="T32" s="302"/>
      <c r="U32" s="87">
        <f t="shared" si="45"/>
        <v>0</v>
      </c>
      <c r="V32" s="84">
        <f t="shared" si="45"/>
        <v>1</v>
      </c>
      <c r="W32" s="85">
        <f t="shared" si="45"/>
        <v>0</v>
      </c>
      <c r="X32" s="86">
        <f t="shared" si="45"/>
        <v>1</v>
      </c>
      <c r="Y32" s="87">
        <f t="shared" si="45"/>
        <v>0</v>
      </c>
      <c r="Z32" s="84">
        <f t="shared" si="45"/>
        <v>0</v>
      </c>
      <c r="AA32" s="85">
        <f t="shared" si="45"/>
        <v>0</v>
      </c>
      <c r="AB32" s="303">
        <f t="shared" si="45"/>
        <v>0</v>
      </c>
      <c r="AC32" s="304" t="s">
        <v>43</v>
      </c>
      <c r="AD32" s="305"/>
      <c r="AE32" s="306">
        <f t="shared" si="36"/>
        <v>10</v>
      </c>
      <c r="AF32" s="184">
        <f t="shared" si="37"/>
        <v>0.29999999999999999</v>
      </c>
      <c r="AG32" s="184">
        <f t="shared" si="38"/>
        <v>0.5</v>
      </c>
      <c r="AH32" s="184">
        <f t="shared" si="39"/>
        <v>0.59999999999999998</v>
      </c>
      <c r="AI32" s="184">
        <f t="shared" si="40"/>
        <v>0.20000000000000001</v>
      </c>
      <c r="AJ32" s="184">
        <f t="shared" si="41"/>
        <v>0.40000000000000002</v>
      </c>
      <c r="AK32" s="184">
        <f t="shared" si="42"/>
        <v>0.40000000000000002</v>
      </c>
      <c r="AL32" s="185"/>
      <c r="AM32" s="186"/>
      <c r="AN32" s="186"/>
      <c r="AO32" s="187"/>
    </row>
    <row r="33" ht="54.950000000000003" customHeight="1">
      <c r="A33" s="307" t="s">
        <v>44</v>
      </c>
      <c r="B33" s="308"/>
      <c r="C33" s="309">
        <f t="shared" ref="C33:AB33" si="46">SUM(C19:C22)</f>
        <v>0</v>
      </c>
      <c r="D33" s="310">
        <f t="shared" si="46"/>
        <v>1</v>
      </c>
      <c r="E33" s="311">
        <f t="shared" si="46"/>
        <v>0</v>
      </c>
      <c r="F33" s="312">
        <f t="shared" si="46"/>
        <v>1</v>
      </c>
      <c r="G33" s="313">
        <f t="shared" si="46"/>
        <v>0</v>
      </c>
      <c r="H33" s="310">
        <f t="shared" si="46"/>
        <v>0</v>
      </c>
      <c r="I33" s="311">
        <f t="shared" si="46"/>
        <v>0</v>
      </c>
      <c r="J33" s="312">
        <f t="shared" si="46"/>
        <v>0</v>
      </c>
      <c r="K33" s="314"/>
      <c r="L33" s="313">
        <f t="shared" si="46"/>
        <v>0</v>
      </c>
      <c r="M33" s="310">
        <f t="shared" si="46"/>
        <v>0</v>
      </c>
      <c r="N33" s="311">
        <f t="shared" si="46"/>
        <v>0</v>
      </c>
      <c r="O33" s="312">
        <f t="shared" si="46"/>
        <v>0</v>
      </c>
      <c r="P33" s="313">
        <f t="shared" si="46"/>
        <v>0</v>
      </c>
      <c r="Q33" s="310">
        <f t="shared" si="46"/>
        <v>0</v>
      </c>
      <c r="R33" s="311">
        <f t="shared" si="46"/>
        <v>0</v>
      </c>
      <c r="S33" s="315">
        <f t="shared" si="46"/>
        <v>0</v>
      </c>
      <c r="T33" s="314"/>
      <c r="U33" s="313">
        <f t="shared" si="46"/>
        <v>0</v>
      </c>
      <c r="V33" s="310">
        <f t="shared" si="46"/>
        <v>1</v>
      </c>
      <c r="W33" s="311">
        <f t="shared" si="46"/>
        <v>0</v>
      </c>
      <c r="X33" s="312">
        <f t="shared" si="46"/>
        <v>0</v>
      </c>
      <c r="Y33" s="313">
        <f t="shared" si="46"/>
        <v>0</v>
      </c>
      <c r="Z33" s="310">
        <f t="shared" si="46"/>
        <v>0</v>
      </c>
      <c r="AA33" s="311">
        <f t="shared" si="46"/>
        <v>0</v>
      </c>
      <c r="AB33" s="315">
        <f t="shared" si="46"/>
        <v>0</v>
      </c>
      <c r="AC33" s="316" t="s">
        <v>44</v>
      </c>
      <c r="AD33" s="317"/>
      <c r="AE33" s="318">
        <f t="shared" si="36"/>
        <v>3</v>
      </c>
      <c r="AF33" s="199">
        <f t="shared" si="37"/>
        <v>0</v>
      </c>
      <c r="AG33" s="199">
        <f t="shared" si="38"/>
        <v>0.33333333333333331</v>
      </c>
      <c r="AH33" s="199">
        <f t="shared" si="39"/>
        <v>0</v>
      </c>
      <c r="AI33" s="199">
        <f t="shared" si="40"/>
        <v>0</v>
      </c>
      <c r="AJ33" s="199">
        <f t="shared" si="41"/>
        <v>0</v>
      </c>
      <c r="AK33" s="199">
        <f t="shared" si="42"/>
        <v>0.66666666666666663</v>
      </c>
      <c r="AL33" s="200"/>
      <c r="AM33" s="201"/>
      <c r="AN33" s="201"/>
      <c r="AO33" s="202"/>
    </row>
    <row r="34" ht="54.950000000000003" customHeight="1">
      <c r="A34" s="319" t="s">
        <v>31</v>
      </c>
      <c r="B34" s="320"/>
      <c r="C34" s="321">
        <f t="shared" ref="C34:AB34" si="47">SUM(C11:C22)</f>
        <v>7</v>
      </c>
      <c r="D34" s="322">
        <f t="shared" si="47"/>
        <v>4</v>
      </c>
      <c r="E34" s="323">
        <f t="shared" si="47"/>
        <v>2</v>
      </c>
      <c r="F34" s="324">
        <f t="shared" si="47"/>
        <v>1</v>
      </c>
      <c r="G34" s="325">
        <f t="shared" si="47"/>
        <v>2</v>
      </c>
      <c r="H34" s="322">
        <f t="shared" si="47"/>
        <v>0</v>
      </c>
      <c r="I34" s="323">
        <f t="shared" si="47"/>
        <v>1</v>
      </c>
      <c r="J34" s="324">
        <f t="shared" si="47"/>
        <v>0</v>
      </c>
      <c r="K34" s="326"/>
      <c r="L34" s="325">
        <f t="shared" si="47"/>
        <v>0</v>
      </c>
      <c r="M34" s="322">
        <f t="shared" si="47"/>
        <v>1</v>
      </c>
      <c r="N34" s="323">
        <f t="shared" si="47"/>
        <v>1</v>
      </c>
      <c r="O34" s="324">
        <f t="shared" si="47"/>
        <v>0</v>
      </c>
      <c r="P34" s="325">
        <f t="shared" si="47"/>
        <v>1</v>
      </c>
      <c r="Q34" s="322">
        <f t="shared" si="47"/>
        <v>3</v>
      </c>
      <c r="R34" s="323">
        <f t="shared" si="47"/>
        <v>4</v>
      </c>
      <c r="S34" s="327">
        <f t="shared" si="47"/>
        <v>1</v>
      </c>
      <c r="T34" s="326"/>
      <c r="U34" s="325">
        <f t="shared" si="47"/>
        <v>0</v>
      </c>
      <c r="V34" s="322">
        <f t="shared" si="47"/>
        <v>1</v>
      </c>
      <c r="W34" s="323">
        <f t="shared" si="47"/>
        <v>0</v>
      </c>
      <c r="X34" s="324">
        <f t="shared" si="47"/>
        <v>1</v>
      </c>
      <c r="Y34" s="325">
        <f t="shared" si="47"/>
        <v>0</v>
      </c>
      <c r="Z34" s="322">
        <f t="shared" si="47"/>
        <v>0</v>
      </c>
      <c r="AA34" s="323">
        <f t="shared" si="47"/>
        <v>0</v>
      </c>
      <c r="AB34" s="327">
        <f t="shared" si="47"/>
        <v>0</v>
      </c>
      <c r="AC34" s="328" t="s">
        <v>31</v>
      </c>
      <c r="AD34" s="329"/>
      <c r="AE34" s="330">
        <f t="shared" si="36"/>
        <v>30</v>
      </c>
      <c r="AF34" s="214">
        <f t="shared" si="37"/>
        <v>0.59999999999999998</v>
      </c>
      <c r="AG34" s="214">
        <f t="shared" si="38"/>
        <v>0.36666666666666664</v>
      </c>
      <c r="AH34" s="214">
        <f t="shared" si="39"/>
        <v>0.72727272727272729</v>
      </c>
      <c r="AI34" s="214">
        <f t="shared" si="40"/>
        <v>0.40000000000000002</v>
      </c>
      <c r="AJ34" s="214">
        <f t="shared" si="41"/>
        <v>0.36666666666666664</v>
      </c>
      <c r="AK34" s="214">
        <f t="shared" si="42"/>
        <v>0.56666666666666665</v>
      </c>
      <c r="AL34" s="215"/>
      <c r="AM34" s="216"/>
      <c r="AN34" s="216"/>
      <c r="AO34" s="217"/>
    </row>
    <row r="35" ht="54.950000000000003" customHeight="1">
      <c r="A35" s="331" t="str">
        <f>IF($AE$29=MAX($AE$29:$AE$33),A29,IF($AE$30=MAX($AE$29:$AE$33),A30,IF($AE$31=MAX($AE$29:$AE$33),A31,IF($AE$32=MAX($AE$29:$AE$33),A32,A33))))</f>
        <v xml:space="preserve">de 7:00 à 8:00</v>
      </c>
      <c r="B35" s="332"/>
      <c r="C35" s="333">
        <f t="shared" ref="C35:J35" si="48">IF($AE$29=MAX($AE$29:$AE$33),C29,IF($AE$30=MAX($AE$29:$AE$33),C30,IF($AE$31=MAX($AE$29:$AE$33),C31,IF($AE$32=MAX($AE$29:$AE$33),C32,C33))))</f>
        <v>7</v>
      </c>
      <c r="D35" s="334">
        <f t="shared" si="48"/>
        <v>2</v>
      </c>
      <c r="E35" s="335">
        <f t="shared" si="48"/>
        <v>1</v>
      </c>
      <c r="F35" s="336">
        <f t="shared" si="48"/>
        <v>0</v>
      </c>
      <c r="G35" s="337">
        <f t="shared" si="48"/>
        <v>2</v>
      </c>
      <c r="H35" s="334">
        <f t="shared" si="48"/>
        <v>0</v>
      </c>
      <c r="I35" s="335">
        <f t="shared" si="48"/>
        <v>1</v>
      </c>
      <c r="J35" s="336">
        <f t="shared" si="48"/>
        <v>0</v>
      </c>
      <c r="K35" s="338"/>
      <c r="L35" s="337">
        <f t="shared" ref="L35:S35" si="49">IF($AE$29=MAX($AE$29:$AE$33),L29,IF($AE$30=MAX($AE$29:$AE$33),L30,IF($AE$31=MAX($AE$29:$AE$33),L31,IF($AE$32=MAX($AE$29:$AE$33),L32,L33))))</f>
        <v>0</v>
      </c>
      <c r="M35" s="334">
        <f t="shared" si="49"/>
        <v>0</v>
      </c>
      <c r="N35" s="335">
        <f t="shared" si="49"/>
        <v>0</v>
      </c>
      <c r="O35" s="336">
        <f t="shared" si="49"/>
        <v>0</v>
      </c>
      <c r="P35" s="337">
        <f t="shared" si="49"/>
        <v>1</v>
      </c>
      <c r="Q35" s="334">
        <f t="shared" si="49"/>
        <v>2</v>
      </c>
      <c r="R35" s="335">
        <f t="shared" si="49"/>
        <v>3</v>
      </c>
      <c r="S35" s="339">
        <f t="shared" si="49"/>
        <v>1</v>
      </c>
      <c r="T35" s="338"/>
      <c r="U35" s="337">
        <f t="shared" ref="U35:AB35" si="50">IF($AE$29=MAX($AE$29:$AE$33),U29,IF($AE$30=MAX($AE$29:$AE$33),U30,IF($AE$31=MAX($AE$29:$AE$33),U31,IF($AE$32=MAX($AE$29:$AE$33),U32,U33))))</f>
        <v>0</v>
      </c>
      <c r="V35" s="334">
        <f t="shared" si="50"/>
        <v>0</v>
      </c>
      <c r="W35" s="335">
        <f t="shared" si="50"/>
        <v>0</v>
      </c>
      <c r="X35" s="336">
        <f t="shared" si="50"/>
        <v>0</v>
      </c>
      <c r="Y35" s="337">
        <f t="shared" si="50"/>
        <v>0</v>
      </c>
      <c r="Z35" s="334">
        <f t="shared" si="50"/>
        <v>0</v>
      </c>
      <c r="AA35" s="335">
        <f t="shared" si="50"/>
        <v>0</v>
      </c>
      <c r="AB35" s="339">
        <f t="shared" si="50"/>
        <v>0</v>
      </c>
      <c r="AC35" s="340" t="str">
        <f>A35</f>
        <v xml:space="preserve">de 7:00 à 8:00</v>
      </c>
      <c r="AD35" s="341"/>
      <c r="AE35" s="342">
        <f t="shared" si="36"/>
        <v>20</v>
      </c>
      <c r="AF35" s="229">
        <f t="shared" si="37"/>
        <v>0.75</v>
      </c>
      <c r="AG35" s="229">
        <f t="shared" si="38"/>
        <v>0.29999999999999999</v>
      </c>
      <c r="AH35" s="229">
        <f t="shared" si="39"/>
        <v>0.83333333333333337</v>
      </c>
      <c r="AI35" s="229">
        <f t="shared" si="40"/>
        <v>0.5</v>
      </c>
      <c r="AJ35" s="229">
        <f t="shared" si="41"/>
        <v>0.34999999999999998</v>
      </c>
      <c r="AK35" s="229">
        <f t="shared" si="42"/>
        <v>0.65000000000000002</v>
      </c>
      <c r="AL35" s="230"/>
      <c r="AM35" s="231"/>
      <c r="AN35" s="231"/>
      <c r="AO35" s="232"/>
    </row>
    <row r="36" ht="12.75" customHeight="1">
      <c r="A36" s="343"/>
      <c r="B36" s="344"/>
      <c r="C36" s="344"/>
      <c r="D36" s="344"/>
      <c r="E36" s="344"/>
      <c r="F36" s="344"/>
      <c r="G36" s="344"/>
      <c r="H36" s="344"/>
      <c r="I36" s="344"/>
      <c r="J36" s="344"/>
      <c r="K36" s="344"/>
      <c r="L36" s="344"/>
      <c r="M36" s="344"/>
      <c r="N36" s="344"/>
      <c r="O36" s="344"/>
      <c r="P36" s="344"/>
      <c r="Q36" s="344"/>
      <c r="R36" s="344"/>
      <c r="S36" s="344"/>
      <c r="T36" s="344"/>
      <c r="U36" s="343"/>
      <c r="V36" s="344"/>
      <c r="W36" s="344"/>
      <c r="X36" s="344"/>
      <c r="Y36" s="344"/>
      <c r="Z36" s="344"/>
      <c r="AA36" s="344"/>
      <c r="AB36" s="344"/>
      <c r="AC36" s="345"/>
      <c r="AD36" s="345"/>
      <c r="AE36" s="344"/>
      <c r="AF36" s="344"/>
      <c r="AG36" s="343"/>
      <c r="AH36" s="344"/>
      <c r="AI36" s="344"/>
      <c r="AJ36" s="344"/>
      <c r="AK36" s="344"/>
      <c r="AL36" s="345"/>
      <c r="AM36" s="345"/>
      <c r="AN36" s="346"/>
      <c r="AO36" s="346"/>
    </row>
    <row r="37" ht="32.25" customHeight="1">
      <c r="A37" s="347"/>
      <c r="B37" s="345"/>
      <c r="C37" s="348"/>
      <c r="D37" s="348"/>
      <c r="E37" s="348"/>
      <c r="F37" s="348"/>
      <c r="G37" s="348"/>
      <c r="H37" s="348"/>
      <c r="I37" s="348"/>
      <c r="J37" s="348"/>
      <c r="K37" s="348"/>
      <c r="L37" s="348"/>
      <c r="M37" s="348"/>
      <c r="N37" s="348"/>
      <c r="O37" s="348"/>
      <c r="P37" s="348"/>
      <c r="Q37" s="348"/>
      <c r="R37" s="348"/>
      <c r="S37" s="348"/>
      <c r="T37" s="348"/>
      <c r="U37" s="348"/>
      <c r="V37" s="348"/>
      <c r="W37" s="348"/>
      <c r="X37" s="348"/>
      <c r="Y37" s="348"/>
      <c r="Z37" s="348"/>
      <c r="AA37" s="348"/>
      <c r="AB37" s="348"/>
      <c r="AC37" s="347"/>
      <c r="AD37" s="345"/>
      <c r="AE37" s="349"/>
      <c r="AF37" s="350" t="s">
        <v>45</v>
      </c>
      <c r="AG37" s="350" t="s">
        <v>46</v>
      </c>
      <c r="AH37" s="350" t="s">
        <v>47</v>
      </c>
      <c r="AI37" s="350" t="s">
        <v>59</v>
      </c>
      <c r="AJ37" s="350" t="s">
        <v>60</v>
      </c>
      <c r="AK37" s="350" t="s">
        <v>61</v>
      </c>
      <c r="AL37" s="351"/>
      <c r="AM37" s="352"/>
      <c r="AN37" s="352"/>
      <c r="AO37" s="346"/>
    </row>
    <row r="38" ht="22.699999999999999" customHeight="1">
      <c r="A38" s="347"/>
      <c r="B38" s="345"/>
      <c r="C38" s="353"/>
      <c r="D38" s="353"/>
      <c r="E38" s="353"/>
      <c r="F38" s="353"/>
      <c r="G38" s="353"/>
      <c r="H38" s="353"/>
      <c r="I38" s="353"/>
      <c r="J38" s="353"/>
      <c r="K38" s="353"/>
      <c r="L38" s="353"/>
      <c r="M38" s="353"/>
      <c r="N38" s="353"/>
      <c r="O38" s="353"/>
      <c r="P38" s="353"/>
      <c r="Q38" s="353"/>
      <c r="R38" s="353"/>
      <c r="S38" s="353"/>
      <c r="T38" s="353"/>
      <c r="U38" s="353"/>
      <c r="V38" s="353"/>
      <c r="W38" s="353"/>
      <c r="X38" s="353"/>
      <c r="Y38" s="353"/>
      <c r="Z38" s="353"/>
      <c r="AA38" s="353"/>
      <c r="AB38" s="353"/>
      <c r="AC38" s="347"/>
      <c r="AD38" s="345"/>
      <c r="AE38" s="349"/>
      <c r="AF38" s="354"/>
      <c r="AG38" s="354"/>
      <c r="AH38" s="354"/>
      <c r="AI38" s="354"/>
      <c r="AJ38" s="354"/>
      <c r="AK38" s="354"/>
      <c r="AL38" s="351"/>
      <c r="AM38" s="352"/>
      <c r="AN38" s="352"/>
      <c r="AO38" s="346"/>
    </row>
    <row r="39" ht="18.600000000000001" hidden="1" customHeight="1">
      <c r="A39" s="347"/>
      <c r="B39" s="345"/>
      <c r="C39" s="355"/>
      <c r="D39" s="355"/>
      <c r="E39" s="355"/>
      <c r="F39" s="355"/>
      <c r="G39" s="355"/>
      <c r="H39" s="355"/>
      <c r="I39" s="355"/>
      <c r="J39" s="355"/>
      <c r="K39" s="355"/>
      <c r="L39" s="355"/>
      <c r="M39" s="355"/>
      <c r="N39" s="355"/>
      <c r="O39" s="355"/>
      <c r="P39" s="355"/>
      <c r="Q39" s="355"/>
      <c r="R39" s="355"/>
      <c r="S39" s="355"/>
      <c r="T39" s="355"/>
      <c r="U39" s="355"/>
      <c r="V39" s="355"/>
      <c r="W39" s="355"/>
      <c r="X39" s="355"/>
      <c r="Y39" s="355"/>
      <c r="Z39" s="355"/>
      <c r="AA39" s="355"/>
      <c r="AB39" s="355"/>
      <c r="AC39" s="347"/>
      <c r="AD39" s="345"/>
      <c r="AE39" s="349"/>
      <c r="AF39" s="354"/>
      <c r="AG39" s="354"/>
      <c r="AH39" s="354"/>
      <c r="AI39" s="354"/>
      <c r="AJ39" s="354"/>
      <c r="AK39" s="354"/>
      <c r="AL39" s="351"/>
      <c r="AM39" s="352"/>
      <c r="AN39" s="352"/>
      <c r="AO39" s="346"/>
    </row>
    <row r="40" ht="20.25" hidden="1">
      <c r="A40" s="356"/>
      <c r="B40" s="356"/>
      <c r="C40" s="357"/>
      <c r="D40" s="357"/>
      <c r="E40" s="357"/>
      <c r="F40" s="357"/>
      <c r="G40" s="357"/>
      <c r="H40" s="357"/>
      <c r="I40" s="357"/>
      <c r="J40" s="357"/>
      <c r="K40" s="357"/>
      <c r="L40" s="357"/>
      <c r="M40" s="357"/>
      <c r="N40" s="357"/>
      <c r="O40" s="357"/>
      <c r="P40" s="357"/>
      <c r="Q40" s="357"/>
      <c r="R40" s="357"/>
      <c r="S40" s="357"/>
      <c r="T40" s="357"/>
      <c r="U40" s="357"/>
      <c r="V40" s="357"/>
      <c r="W40" s="357"/>
      <c r="X40" s="357"/>
      <c r="Y40" s="357"/>
      <c r="Z40" s="357"/>
      <c r="AA40" s="357"/>
      <c r="AB40" s="357"/>
      <c r="AC40" s="356"/>
      <c r="AD40" s="356"/>
      <c r="AE40" s="349"/>
      <c r="AF40" s="358"/>
      <c r="AG40" s="358"/>
      <c r="AH40" s="358"/>
      <c r="AI40" s="358"/>
      <c r="AJ40" s="358"/>
      <c r="AK40" s="358"/>
      <c r="AL40" s="351"/>
      <c r="AM40" s="352"/>
      <c r="AN40" s="352"/>
      <c r="AO40" s="346"/>
    </row>
    <row r="41" ht="54.950000000000003" customHeight="1">
      <c r="A41" s="356"/>
      <c r="B41" s="356"/>
      <c r="C41" s="113"/>
      <c r="D41" s="113"/>
      <c r="E41" s="113"/>
      <c r="F41" s="113"/>
      <c r="G41" s="113"/>
      <c r="H41" s="113"/>
      <c r="I41" s="113"/>
      <c r="J41" s="113"/>
      <c r="K41" s="113"/>
      <c r="L41" s="113"/>
      <c r="M41" s="113"/>
      <c r="N41" s="113"/>
      <c r="O41" s="113"/>
      <c r="P41" s="113"/>
      <c r="Q41" s="113"/>
      <c r="R41" s="113"/>
      <c r="S41" s="113"/>
      <c r="T41" s="113"/>
      <c r="U41" s="113"/>
      <c r="V41" s="113"/>
      <c r="W41" s="113"/>
      <c r="X41" s="113"/>
      <c r="Y41" s="113"/>
      <c r="Z41" s="113"/>
      <c r="AA41" s="113"/>
      <c r="AB41" s="113"/>
      <c r="AC41" s="356"/>
      <c r="AD41" s="356"/>
      <c r="AE41" s="359"/>
      <c r="AF41" s="360">
        <f t="shared" ref="AF41:AF47" si="51">(C29+E29+G29+I29+L29+N29+P29+R29+U29+W29+Y29+AA29)</f>
        <v>10</v>
      </c>
      <c r="AG41" s="360">
        <f t="shared" ref="AG41:AG47" si="52">(E29+F29+I29+J29+N29+O29+R29+S29+W29+X29+AA29+AB29)</f>
        <v>3</v>
      </c>
      <c r="AH41" s="360">
        <f t="shared" ref="AH41:AH47" si="53">(E29+I29+N29+R29+W29+AA29)</f>
        <v>3</v>
      </c>
      <c r="AI41" s="360">
        <f t="shared" ref="AI41:AI47" si="54">SUM(G29:J29,P29:S29)</f>
        <v>5</v>
      </c>
      <c r="AJ41" s="360">
        <f t="shared" ref="AJ41:AJ47" si="55">SUM(L29:S29)</f>
        <v>5</v>
      </c>
      <c r="AK41" s="360">
        <f t="shared" ref="AK41:AK47" si="56">SUM(C29:J29)</f>
        <v>7</v>
      </c>
      <c r="AL41" s="361"/>
      <c r="AM41" s="362"/>
      <c r="AN41" s="362"/>
      <c r="AO41" s="346"/>
    </row>
    <row r="42" ht="54.950000000000003" customHeight="1">
      <c r="A42" s="356"/>
      <c r="B42" s="356"/>
      <c r="C42" s="113"/>
      <c r="D42" s="113"/>
      <c r="E42" s="113"/>
      <c r="F42" s="113"/>
      <c r="G42" s="113"/>
      <c r="H42" s="113"/>
      <c r="I42" s="113"/>
      <c r="J42" s="113"/>
      <c r="K42" s="113"/>
      <c r="L42" s="113"/>
      <c r="M42" s="113"/>
      <c r="N42" s="113"/>
      <c r="O42" s="113"/>
      <c r="P42" s="113"/>
      <c r="Q42" s="113"/>
      <c r="R42" s="113"/>
      <c r="S42" s="113"/>
      <c r="T42" s="113"/>
      <c r="U42" s="113"/>
      <c r="V42" s="113"/>
      <c r="W42" s="113"/>
      <c r="X42" s="113"/>
      <c r="Y42" s="113"/>
      <c r="Z42" s="113"/>
      <c r="AA42" s="113"/>
      <c r="AB42" s="113"/>
      <c r="AC42" s="356"/>
      <c r="AD42" s="356"/>
      <c r="AE42" s="359"/>
      <c r="AF42" s="363">
        <f t="shared" si="51"/>
        <v>15</v>
      </c>
      <c r="AG42" s="363">
        <f t="shared" si="52"/>
        <v>6</v>
      </c>
      <c r="AH42" s="363">
        <f t="shared" si="53"/>
        <v>5</v>
      </c>
      <c r="AI42" s="363">
        <f t="shared" si="54"/>
        <v>10</v>
      </c>
      <c r="AJ42" s="363">
        <f t="shared" si="55"/>
        <v>7</v>
      </c>
      <c r="AK42" s="363">
        <f t="shared" si="56"/>
        <v>13</v>
      </c>
      <c r="AL42" s="361"/>
      <c r="AM42" s="362"/>
      <c r="AN42" s="362"/>
      <c r="AO42" s="346"/>
    </row>
    <row r="43" ht="54.950000000000003" customHeight="1">
      <c r="A43" s="356"/>
      <c r="B43" s="356"/>
      <c r="C43" s="113"/>
      <c r="D43" s="113"/>
      <c r="E43" s="113"/>
      <c r="F43" s="113"/>
      <c r="G43" s="113"/>
      <c r="H43" s="113"/>
      <c r="I43" s="113"/>
      <c r="J43" s="113"/>
      <c r="K43" s="113"/>
      <c r="L43" s="113"/>
      <c r="M43" s="113"/>
      <c r="N43" s="113"/>
      <c r="O43" s="113"/>
      <c r="P43" s="113"/>
      <c r="Q43" s="113"/>
      <c r="R43" s="113"/>
      <c r="S43" s="113"/>
      <c r="T43" s="113"/>
      <c r="U43" s="113"/>
      <c r="V43" s="113"/>
      <c r="W43" s="113"/>
      <c r="X43" s="113"/>
      <c r="Y43" s="113"/>
      <c r="Z43" s="113"/>
      <c r="AA43" s="113"/>
      <c r="AB43" s="113"/>
      <c r="AC43" s="356"/>
      <c r="AD43" s="356"/>
      <c r="AE43" s="359"/>
      <c r="AF43" s="363">
        <f t="shared" si="51"/>
        <v>8</v>
      </c>
      <c r="AG43" s="363">
        <f t="shared" si="52"/>
        <v>7</v>
      </c>
      <c r="AH43" s="363">
        <f t="shared" si="53"/>
        <v>5</v>
      </c>
      <c r="AI43" s="363">
        <f t="shared" si="54"/>
        <v>7</v>
      </c>
      <c r="AJ43" s="363">
        <f t="shared" si="55"/>
        <v>6</v>
      </c>
      <c r="AK43" s="363">
        <f t="shared" si="56"/>
        <v>8</v>
      </c>
      <c r="AL43" s="361"/>
      <c r="AM43" s="362"/>
      <c r="AN43" s="362"/>
      <c r="AO43" s="346"/>
    </row>
    <row r="44" ht="54.950000000000003" customHeight="1">
      <c r="A44" s="356"/>
      <c r="B44" s="356"/>
      <c r="C44" s="113"/>
      <c r="D44" s="113"/>
      <c r="E44" s="113"/>
      <c r="F44" s="113"/>
      <c r="G44" s="113"/>
      <c r="H44" s="113"/>
      <c r="I44" s="113"/>
      <c r="J44" s="113"/>
      <c r="K44" s="113"/>
      <c r="L44" s="113"/>
      <c r="M44" s="113"/>
      <c r="N44" s="113"/>
      <c r="O44" s="113"/>
      <c r="P44" s="113"/>
      <c r="Q44" s="113"/>
      <c r="R44" s="113"/>
      <c r="S44" s="113"/>
      <c r="T44" s="113"/>
      <c r="U44" s="113"/>
      <c r="V44" s="113"/>
      <c r="W44" s="113"/>
      <c r="X44" s="113"/>
      <c r="Y44" s="113"/>
      <c r="Z44" s="113"/>
      <c r="AA44" s="113"/>
      <c r="AB44" s="113"/>
      <c r="AC44" s="356"/>
      <c r="AD44" s="356"/>
      <c r="AE44" s="359"/>
      <c r="AF44" s="363">
        <f t="shared" si="51"/>
        <v>3</v>
      </c>
      <c r="AG44" s="363">
        <f t="shared" si="52"/>
        <v>5</v>
      </c>
      <c r="AH44" s="363">
        <f t="shared" si="53"/>
        <v>3</v>
      </c>
      <c r="AI44" s="363">
        <f t="shared" si="54"/>
        <v>2</v>
      </c>
      <c r="AJ44" s="363">
        <f t="shared" si="55"/>
        <v>4</v>
      </c>
      <c r="AK44" s="363">
        <f t="shared" si="56"/>
        <v>4</v>
      </c>
      <c r="AL44" s="361"/>
      <c r="AM44" s="362"/>
      <c r="AN44" s="362"/>
      <c r="AO44" s="346"/>
    </row>
    <row r="45" ht="54.950000000000003" customHeight="1">
      <c r="A45" s="356"/>
      <c r="B45" s="356"/>
      <c r="C45" s="113"/>
      <c r="D45" s="113"/>
      <c r="E45" s="113"/>
      <c r="F45" s="113"/>
      <c r="G45" s="113"/>
      <c r="H45" s="113"/>
      <c r="I45" s="113"/>
      <c r="J45" s="113"/>
      <c r="K45" s="113"/>
      <c r="L45" s="113"/>
      <c r="M45" s="113"/>
      <c r="N45" s="113"/>
      <c r="O45" s="113"/>
      <c r="P45" s="113"/>
      <c r="Q45" s="113"/>
      <c r="R45" s="113"/>
      <c r="S45" s="113"/>
      <c r="T45" s="113"/>
      <c r="U45" s="113"/>
      <c r="V45" s="113"/>
      <c r="W45" s="113"/>
      <c r="X45" s="113"/>
      <c r="Y45" s="113"/>
      <c r="Z45" s="113"/>
      <c r="AA45" s="113"/>
      <c r="AB45" s="113"/>
      <c r="AC45" s="356"/>
      <c r="AD45" s="356"/>
      <c r="AE45" s="359"/>
      <c r="AF45" s="364">
        <f t="shared" si="51"/>
        <v>0</v>
      </c>
      <c r="AG45" s="364">
        <f t="shared" si="52"/>
        <v>1</v>
      </c>
      <c r="AH45" s="364">
        <f t="shared" si="53"/>
        <v>0</v>
      </c>
      <c r="AI45" s="364">
        <f t="shared" si="54"/>
        <v>0</v>
      </c>
      <c r="AJ45" s="364">
        <f t="shared" si="55"/>
        <v>0</v>
      </c>
      <c r="AK45" s="364">
        <f t="shared" si="56"/>
        <v>2</v>
      </c>
      <c r="AL45" s="361"/>
      <c r="AM45" s="362"/>
      <c r="AN45" s="362"/>
      <c r="AO45" s="346"/>
    </row>
    <row r="46" ht="54.950000000000003" customHeight="1">
      <c r="A46" s="356"/>
      <c r="B46" s="356"/>
      <c r="C46" s="113"/>
      <c r="D46" s="113"/>
      <c r="E46" s="113"/>
      <c r="F46" s="113"/>
      <c r="G46" s="113"/>
      <c r="H46" s="113"/>
      <c r="I46" s="113"/>
      <c r="J46" s="113"/>
      <c r="K46" s="113"/>
      <c r="L46" s="113"/>
      <c r="M46" s="113"/>
      <c r="N46" s="113"/>
      <c r="O46" s="113"/>
      <c r="P46" s="113"/>
      <c r="Q46" s="113"/>
      <c r="R46" s="113"/>
      <c r="S46" s="113"/>
      <c r="T46" s="113"/>
      <c r="U46" s="113"/>
      <c r="V46" s="113"/>
      <c r="W46" s="113"/>
      <c r="X46" s="113"/>
      <c r="Y46" s="113"/>
      <c r="Z46" s="113"/>
      <c r="AA46" s="113"/>
      <c r="AB46" s="113"/>
      <c r="AC46" s="356"/>
      <c r="AD46" s="356"/>
      <c r="AE46" s="359"/>
      <c r="AF46" s="365">
        <f t="shared" si="51"/>
        <v>18</v>
      </c>
      <c r="AG46" s="365">
        <f t="shared" si="52"/>
        <v>11</v>
      </c>
      <c r="AH46" s="365">
        <f t="shared" si="53"/>
        <v>8</v>
      </c>
      <c r="AI46" s="365">
        <f t="shared" si="54"/>
        <v>12</v>
      </c>
      <c r="AJ46" s="365">
        <f t="shared" si="55"/>
        <v>11</v>
      </c>
      <c r="AK46" s="365">
        <f t="shared" si="56"/>
        <v>17</v>
      </c>
      <c r="AL46" s="361"/>
      <c r="AM46" s="362"/>
      <c r="AN46" s="362"/>
      <c r="AO46" s="346"/>
    </row>
    <row r="47" ht="54.950000000000003" customHeight="1">
      <c r="A47" s="356"/>
      <c r="B47" s="356"/>
      <c r="C47" s="113"/>
      <c r="D47" s="113"/>
      <c r="E47" s="113"/>
      <c r="F47" s="113"/>
      <c r="G47" s="113"/>
      <c r="H47" s="113"/>
      <c r="I47" s="113"/>
      <c r="J47" s="113"/>
      <c r="K47" s="113"/>
      <c r="L47" s="113"/>
      <c r="M47" s="113"/>
      <c r="N47" s="113"/>
      <c r="O47" s="113"/>
      <c r="P47" s="113"/>
      <c r="Q47" s="113"/>
      <c r="R47" s="113"/>
      <c r="S47" s="113"/>
      <c r="T47" s="113"/>
      <c r="U47" s="113"/>
      <c r="V47" s="113"/>
      <c r="W47" s="113"/>
      <c r="X47" s="113"/>
      <c r="Y47" s="113"/>
      <c r="Z47" s="113"/>
      <c r="AA47" s="113"/>
      <c r="AB47" s="113"/>
      <c r="AC47" s="356"/>
      <c r="AD47" s="356"/>
      <c r="AE47" s="359"/>
      <c r="AF47" s="366">
        <f t="shared" si="51"/>
        <v>15</v>
      </c>
      <c r="AG47" s="366">
        <f t="shared" si="52"/>
        <v>6</v>
      </c>
      <c r="AH47" s="366">
        <f t="shared" si="53"/>
        <v>5</v>
      </c>
      <c r="AI47" s="366">
        <f t="shared" si="54"/>
        <v>10</v>
      </c>
      <c r="AJ47" s="366">
        <f t="shared" si="55"/>
        <v>7</v>
      </c>
      <c r="AK47" s="366">
        <f t="shared" si="56"/>
        <v>13</v>
      </c>
      <c r="AL47" s="361"/>
      <c r="AM47" s="362"/>
      <c r="AN47" s="362"/>
      <c r="AO47" s="346"/>
    </row>
    <row r="48" ht="24">
      <c r="A48" s="367"/>
      <c r="B48" s="367"/>
      <c r="C48" s="255"/>
      <c r="D48" s="255"/>
      <c r="E48" s="255"/>
      <c r="F48" s="255"/>
      <c r="G48" s="255"/>
      <c r="H48" s="255"/>
      <c r="I48" s="255"/>
      <c r="J48" s="255"/>
      <c r="K48" s="255"/>
      <c r="L48" s="255"/>
      <c r="M48" s="255"/>
      <c r="N48" s="255"/>
      <c r="O48" s="255"/>
      <c r="P48" s="255"/>
      <c r="Q48" s="255"/>
      <c r="R48" s="255"/>
      <c r="S48" s="255"/>
      <c r="T48" s="255"/>
      <c r="U48" s="255"/>
      <c r="V48" s="255"/>
      <c r="W48" s="255"/>
      <c r="X48" s="255"/>
      <c r="Y48" s="255"/>
      <c r="Z48" s="255"/>
      <c r="AA48" s="255"/>
      <c r="AB48" s="255"/>
      <c r="AC48" s="367"/>
      <c r="AD48" s="367"/>
      <c r="AE48" s="368"/>
      <c r="AF48" s="369"/>
      <c r="AG48" s="370"/>
      <c r="AH48" s="369"/>
      <c r="AI48" s="369"/>
      <c r="AJ48" s="371"/>
      <c r="AK48" s="371"/>
      <c r="AL48" s="371"/>
      <c r="AM48" s="371"/>
    </row>
    <row r="49" ht="20.25">
      <c r="A49" s="372"/>
      <c r="B49" s="371"/>
      <c r="C49" s="371"/>
      <c r="D49" s="371"/>
      <c r="E49" s="371"/>
      <c r="F49" s="371"/>
      <c r="G49" s="371"/>
      <c r="H49" s="371"/>
      <c r="I49" s="371"/>
      <c r="J49" s="371"/>
      <c r="K49" s="371"/>
      <c r="L49" s="371"/>
      <c r="M49" s="371"/>
      <c r="N49" s="371"/>
      <c r="O49" s="371"/>
      <c r="P49" s="371"/>
      <c r="Q49" s="371"/>
      <c r="R49" s="371"/>
      <c r="S49" s="371"/>
      <c r="T49" s="371"/>
      <c r="U49" s="372"/>
      <c r="V49" s="371"/>
      <c r="W49" s="371"/>
      <c r="X49" s="371"/>
      <c r="Y49" s="371"/>
      <c r="Z49" s="371"/>
      <c r="AA49" s="371"/>
      <c r="AB49" s="371"/>
      <c r="AC49" s="371"/>
      <c r="AD49" s="371"/>
      <c r="AE49" s="371"/>
      <c r="AF49" s="371"/>
      <c r="AG49" s="372"/>
      <c r="AH49" s="371"/>
      <c r="AI49" s="371"/>
      <c r="AJ49" s="371"/>
      <c r="AK49" s="371"/>
      <c r="AL49" s="371"/>
      <c r="AM49" s="371"/>
    </row>
    <row r="50" ht="20.25">
      <c r="A50" s="372"/>
      <c r="B50" s="371"/>
      <c r="C50" s="371"/>
      <c r="D50" s="371"/>
      <c r="E50" s="371"/>
      <c r="F50" s="371"/>
      <c r="G50" s="371"/>
      <c r="H50" s="371"/>
      <c r="I50" s="371"/>
      <c r="J50" s="371"/>
      <c r="K50" s="371"/>
      <c r="L50" s="371"/>
      <c r="M50" s="371"/>
      <c r="N50" s="371"/>
      <c r="O50" s="371"/>
      <c r="P50" s="371"/>
      <c r="Q50" s="371"/>
      <c r="R50" s="371"/>
      <c r="S50" s="371"/>
      <c r="T50" s="371"/>
      <c r="U50" s="372"/>
      <c r="V50" s="371"/>
      <c r="W50" s="371"/>
      <c r="X50" s="371"/>
      <c r="Y50" s="371"/>
      <c r="Z50" s="371"/>
      <c r="AA50" s="371"/>
      <c r="AB50" s="371"/>
      <c r="AC50" s="371"/>
      <c r="AD50" s="371"/>
      <c r="AE50" s="371"/>
      <c r="AF50" s="371"/>
      <c r="AG50" s="372"/>
      <c r="AH50" s="371"/>
      <c r="AI50" s="371"/>
      <c r="AJ50" s="371"/>
      <c r="AK50" s="371"/>
      <c r="AL50" s="371"/>
      <c r="AM50" s="371"/>
    </row>
    <row r="51" ht="20.25">
      <c r="A51" s="372"/>
      <c r="B51" s="371"/>
      <c r="C51" s="371"/>
      <c r="D51" s="371"/>
      <c r="E51" s="371"/>
      <c r="F51" s="371"/>
      <c r="G51" s="371"/>
      <c r="H51" s="371"/>
      <c r="I51" s="371"/>
      <c r="J51" s="371"/>
      <c r="K51" s="371"/>
      <c r="L51" s="371"/>
      <c r="M51" s="371"/>
      <c r="N51" s="371"/>
      <c r="O51" s="371"/>
      <c r="P51" s="371"/>
      <c r="Q51" s="371"/>
      <c r="R51" s="371"/>
      <c r="S51" s="371"/>
      <c r="T51" s="371"/>
      <c r="U51" s="371"/>
      <c r="V51" s="371"/>
      <c r="W51" s="371"/>
      <c r="X51" s="371"/>
      <c r="Y51" s="371"/>
      <c r="Z51" s="371"/>
      <c r="AA51" s="371"/>
      <c r="AB51" s="371"/>
      <c r="AC51" s="371"/>
      <c r="AD51" s="371"/>
      <c r="AE51" s="372"/>
      <c r="AF51" s="371"/>
      <c r="AG51" s="371"/>
      <c r="AH51" s="371"/>
      <c r="AI51" s="371"/>
      <c r="AJ51" s="371"/>
      <c r="AK51" s="371"/>
      <c r="AL51" s="371"/>
      <c r="AM51" s="371"/>
      <c r="AN51" s="372"/>
      <c r="AO51" s="371"/>
      <c r="AP51" s="371"/>
      <c r="AQ51" s="371"/>
      <c r="AR51" s="371"/>
      <c r="AS51" s="371"/>
    </row>
    <row r="52" ht="20.25">
      <c r="A52" s="372"/>
      <c r="B52" s="371"/>
      <c r="C52" s="371"/>
      <c r="D52" s="371"/>
      <c r="E52" s="371"/>
      <c r="F52" s="371"/>
      <c r="G52" s="371"/>
      <c r="H52" s="371"/>
      <c r="I52" s="371"/>
      <c r="J52" s="371"/>
      <c r="K52" s="371"/>
      <c r="L52" s="371"/>
      <c r="M52" s="371"/>
      <c r="N52" s="371"/>
      <c r="O52" s="371"/>
      <c r="P52" s="371"/>
      <c r="Q52" s="371"/>
      <c r="R52" s="371"/>
      <c r="S52" s="371"/>
      <c r="T52" s="371"/>
      <c r="U52" s="371"/>
      <c r="V52" s="371"/>
      <c r="W52" s="371"/>
      <c r="X52" s="371"/>
      <c r="Y52" s="371"/>
      <c r="Z52" s="371"/>
      <c r="AA52" s="371"/>
      <c r="AB52" s="371"/>
      <c r="AC52" s="371"/>
      <c r="AD52" s="371"/>
      <c r="AE52" s="372"/>
      <c r="AF52" s="371"/>
      <c r="AG52" s="371"/>
      <c r="AH52" s="371"/>
      <c r="AI52" s="371"/>
      <c r="AJ52" s="371"/>
      <c r="AK52" s="371"/>
      <c r="AL52" s="371"/>
      <c r="AM52" s="371"/>
      <c r="AN52" s="372"/>
      <c r="AO52" s="371"/>
      <c r="AP52" s="371"/>
      <c r="AQ52" s="371"/>
      <c r="AR52" s="371"/>
      <c r="AS52" s="371"/>
    </row>
    <row r="53" ht="20.25">
      <c r="A53" s="372"/>
      <c r="B53" s="371"/>
      <c r="C53" s="371"/>
      <c r="D53" s="371"/>
      <c r="E53" s="371"/>
      <c r="F53" s="371"/>
      <c r="G53" s="371"/>
      <c r="H53" s="371"/>
      <c r="I53" s="371"/>
      <c r="J53" s="371"/>
      <c r="K53" s="371"/>
      <c r="L53" s="371"/>
      <c r="M53" s="371"/>
      <c r="N53" s="371"/>
      <c r="O53" s="371"/>
      <c r="P53" s="371"/>
      <c r="Q53" s="371"/>
      <c r="R53" s="371"/>
      <c r="S53" s="371"/>
      <c r="T53" s="371"/>
      <c r="U53" s="371"/>
      <c r="V53" s="371"/>
      <c r="W53" s="371"/>
      <c r="X53" s="371"/>
      <c r="Y53" s="371"/>
      <c r="Z53" s="371"/>
      <c r="AA53" s="371"/>
      <c r="AB53" s="371"/>
      <c r="AC53" s="371"/>
      <c r="AD53" s="371"/>
      <c r="AE53" s="372"/>
      <c r="AF53" s="371"/>
      <c r="AG53" s="371"/>
      <c r="AH53" s="371"/>
      <c r="AI53" s="371"/>
      <c r="AJ53" s="371"/>
      <c r="AK53" s="371"/>
      <c r="AL53" s="371"/>
      <c r="AM53" s="371"/>
      <c r="AN53" s="372"/>
      <c r="AO53" s="371"/>
      <c r="AP53" s="371"/>
      <c r="AQ53" s="371"/>
      <c r="AR53" s="371"/>
      <c r="AS53" s="371"/>
    </row>
    <row r="54" ht="20.25">
      <c r="A54" s="372"/>
      <c r="B54" s="371"/>
      <c r="C54" s="371"/>
      <c r="D54" s="371"/>
      <c r="E54" s="371"/>
      <c r="F54" s="371"/>
      <c r="G54" s="371"/>
      <c r="H54" s="371"/>
      <c r="I54" s="371"/>
      <c r="J54" s="371"/>
      <c r="K54" s="371"/>
      <c r="L54" s="371"/>
      <c r="M54" s="371"/>
      <c r="N54" s="371"/>
      <c r="O54" s="371"/>
      <c r="P54" s="371"/>
      <c r="Q54" s="371"/>
      <c r="R54" s="371"/>
      <c r="S54" s="371"/>
      <c r="T54" s="371"/>
      <c r="U54" s="371"/>
      <c r="V54" s="371"/>
      <c r="W54" s="371"/>
      <c r="X54" s="371"/>
      <c r="Y54" s="371"/>
      <c r="Z54" s="371"/>
      <c r="AA54" s="371"/>
      <c r="AB54" s="371"/>
      <c r="AC54" s="371"/>
      <c r="AD54" s="371"/>
      <c r="AE54" s="372"/>
      <c r="AF54" s="371"/>
      <c r="AG54" s="371"/>
      <c r="AH54" s="371"/>
      <c r="AI54" s="371"/>
      <c r="AJ54" s="371"/>
      <c r="AK54" s="371"/>
      <c r="AL54" s="371"/>
      <c r="AM54" s="371"/>
      <c r="AN54" s="372"/>
      <c r="AO54" s="371"/>
      <c r="AP54" s="371"/>
      <c r="AQ54" s="371"/>
      <c r="AR54" s="371"/>
      <c r="AS54" s="371"/>
    </row>
    <row r="55" ht="20.25">
      <c r="A55" s="372"/>
      <c r="B55" s="371"/>
      <c r="C55" s="371"/>
      <c r="D55" s="371"/>
      <c r="E55" s="371"/>
      <c r="F55" s="371"/>
      <c r="G55" s="371"/>
      <c r="H55" s="371"/>
      <c r="I55" s="371"/>
      <c r="J55" s="371"/>
      <c r="K55" s="371"/>
      <c r="L55" s="371"/>
      <c r="M55" s="371"/>
      <c r="N55" s="371"/>
      <c r="O55" s="371"/>
      <c r="P55" s="371"/>
      <c r="Q55" s="371"/>
      <c r="R55" s="371"/>
      <c r="S55" s="371"/>
      <c r="T55" s="371"/>
      <c r="U55" s="371"/>
      <c r="V55" s="371"/>
      <c r="W55" s="371"/>
      <c r="X55" s="371"/>
      <c r="Y55" s="371"/>
      <c r="Z55" s="371"/>
      <c r="AA55" s="371"/>
      <c r="AB55" s="371"/>
      <c r="AC55" s="371"/>
      <c r="AD55" s="371"/>
      <c r="AE55" s="372"/>
      <c r="AF55" s="371"/>
      <c r="AG55" s="371"/>
      <c r="AH55" s="371"/>
      <c r="AI55" s="371"/>
      <c r="AJ55" s="371"/>
      <c r="AK55" s="371"/>
      <c r="AL55" s="371"/>
      <c r="AM55" s="371"/>
      <c r="AN55" s="372"/>
      <c r="AO55" s="371"/>
      <c r="AP55" s="371"/>
      <c r="AQ55" s="371"/>
      <c r="AR55" s="371"/>
      <c r="AS55" s="371"/>
    </row>
    <row r="56" ht="20.25">
      <c r="A56" s="372"/>
      <c r="B56" s="371"/>
      <c r="C56" s="371"/>
      <c r="D56" s="371"/>
      <c r="E56" s="371"/>
      <c r="F56" s="371"/>
      <c r="G56" s="371"/>
      <c r="H56" s="371"/>
      <c r="I56" s="371"/>
      <c r="J56" s="371"/>
      <c r="K56" s="371"/>
      <c r="L56" s="371"/>
      <c r="M56" s="371"/>
      <c r="N56" s="371"/>
      <c r="O56" s="371"/>
      <c r="P56" s="371"/>
      <c r="Q56" s="371"/>
      <c r="R56" s="371"/>
      <c r="S56" s="371"/>
      <c r="T56" s="371"/>
      <c r="U56" s="371"/>
      <c r="V56" s="371"/>
      <c r="W56" s="371"/>
      <c r="X56" s="371"/>
      <c r="Y56" s="371"/>
      <c r="Z56" s="371"/>
      <c r="AA56" s="371"/>
      <c r="AB56" s="371"/>
      <c r="AC56" s="371"/>
      <c r="AD56" s="371"/>
      <c r="AE56" s="372"/>
      <c r="AF56" s="371"/>
      <c r="AG56" s="371"/>
      <c r="AH56" s="371"/>
      <c r="AI56" s="371"/>
      <c r="AJ56" s="371"/>
      <c r="AK56" s="371"/>
      <c r="AL56" s="371"/>
      <c r="AM56" s="371"/>
      <c r="AN56" s="372"/>
      <c r="AO56" s="371"/>
      <c r="AP56" s="371"/>
      <c r="AQ56" s="371"/>
      <c r="AR56" s="371"/>
      <c r="AS56" s="371"/>
    </row>
    <row r="57" ht="20.25">
      <c r="F57" s="371"/>
      <c r="G57" s="371"/>
      <c r="H57" s="371"/>
      <c r="I57" s="371"/>
      <c r="J57" s="371"/>
      <c r="K57" s="371"/>
      <c r="L57" s="371"/>
      <c r="M57" s="371"/>
      <c r="N57" s="371"/>
      <c r="U57" s="371"/>
      <c r="V57" s="371"/>
      <c r="W57" s="371"/>
    </row>
    <row r="58" ht="20.25">
      <c r="F58" s="371"/>
      <c r="G58" s="371"/>
      <c r="H58" s="371"/>
      <c r="I58" s="371"/>
      <c r="J58" s="371"/>
      <c r="K58" s="371"/>
      <c r="L58" s="371"/>
      <c r="M58" s="371"/>
      <c r="N58" s="371"/>
      <c r="U58" s="371"/>
      <c r="V58" s="371"/>
      <c r="W58" s="371"/>
    </row>
  </sheetData>
  <mergeCells count="83">
    <mergeCell ref="P8:S8"/>
    <mergeCell ref="U8:X8"/>
    <mergeCell ref="C3:X3"/>
    <mergeCell ref="C7:J7"/>
    <mergeCell ref="L7:S7"/>
    <mergeCell ref="U7:AB7"/>
    <mergeCell ref="C5:O5"/>
    <mergeCell ref="Y8:AB8"/>
    <mergeCell ref="C8:F8"/>
    <mergeCell ref="G8:J8"/>
    <mergeCell ref="L8:O8"/>
    <mergeCell ref="AA9:AB9"/>
    <mergeCell ref="C9:D9"/>
    <mergeCell ref="E9:F9"/>
    <mergeCell ref="G9:H9"/>
    <mergeCell ref="I9:J9"/>
    <mergeCell ref="L9:M9"/>
    <mergeCell ref="N9:O9"/>
    <mergeCell ref="P9:Q9"/>
    <mergeCell ref="R9:S9"/>
    <mergeCell ref="U9:V9"/>
    <mergeCell ref="W9:X9"/>
    <mergeCell ref="Y9:Z9"/>
    <mergeCell ref="AL25:AO28"/>
    <mergeCell ref="AG25:AG28"/>
    <mergeCell ref="Y26:AB26"/>
    <mergeCell ref="C27:D27"/>
    <mergeCell ref="E27:F27"/>
    <mergeCell ref="G27:H27"/>
    <mergeCell ref="C25:J25"/>
    <mergeCell ref="L25:S25"/>
    <mergeCell ref="U25:AB25"/>
    <mergeCell ref="AE25:AE28"/>
    <mergeCell ref="AF25:AF28"/>
    <mergeCell ref="C26:F26"/>
    <mergeCell ref="G26:J26"/>
    <mergeCell ref="L26:O26"/>
    <mergeCell ref="P26:S26"/>
    <mergeCell ref="U26:X26"/>
    <mergeCell ref="U27:V27"/>
    <mergeCell ref="AH25:AH28"/>
    <mergeCell ref="AI25:AI28"/>
    <mergeCell ref="AJ25:AJ28"/>
    <mergeCell ref="AK25:AK28"/>
    <mergeCell ref="W27:X27"/>
    <mergeCell ref="AL32:AO32"/>
    <mergeCell ref="A33:B33"/>
    <mergeCell ref="AC33:AD33"/>
    <mergeCell ref="AL33:AO33"/>
    <mergeCell ref="AL29:AO29"/>
    <mergeCell ref="A30:B30"/>
    <mergeCell ref="AC30:AD30"/>
    <mergeCell ref="AL30:AO30"/>
    <mergeCell ref="A31:B31"/>
    <mergeCell ref="AC31:AD31"/>
    <mergeCell ref="AL31:AO31"/>
    <mergeCell ref="A29:B29"/>
    <mergeCell ref="AC29:AD29"/>
    <mergeCell ref="AL34:AO34"/>
    <mergeCell ref="A35:B35"/>
    <mergeCell ref="AC35:AD35"/>
    <mergeCell ref="AL35:AO35"/>
    <mergeCell ref="AF37:AF40"/>
    <mergeCell ref="AG37:AG40"/>
    <mergeCell ref="AH37:AH40"/>
    <mergeCell ref="AI37:AI40"/>
    <mergeCell ref="AJ37:AJ40"/>
    <mergeCell ref="C24:O24"/>
    <mergeCell ref="R5:AA5"/>
    <mergeCell ref="AK37:AK40"/>
    <mergeCell ref="A34:B34"/>
    <mergeCell ref="AC34:AD34"/>
    <mergeCell ref="A32:B32"/>
    <mergeCell ref="AC32:AD32"/>
    <mergeCell ref="Y27:Z27"/>
    <mergeCell ref="AA27:AB27"/>
    <mergeCell ref="A28:B28"/>
    <mergeCell ref="AC28:AD28"/>
    <mergeCell ref="I27:J27"/>
    <mergeCell ref="L27:M27"/>
    <mergeCell ref="N27:O27"/>
    <mergeCell ref="P27:Q27"/>
    <mergeCell ref="R27:S27"/>
  </mergeCells>
  <printOptions headings="0" gridLines="0"/>
  <pageMargins left="0.39370078740157477" right="0.39370078740157477" top="0.39370078740157477" bottom="0.39370078740157477" header="0.59055118110236238" footer="0.59055118110236238"/>
  <pageSetup paperSize="9" scale="37" fitToWidth="1" fitToHeight="0" pageOrder="overThenDown" orientation="landscape" usePrinterDefaults="1" blackAndWhite="0" draft="0" cellComments="none" useFirstPageNumber="1" errors="displayed" horizontalDpi="600" verticalDpi="600" copies="1"/>
  <headerFooter/>
  <colBreaks count="1" manualBreakCount="1">
    <brk id="28" man="1" max="22"/>
  </colBreaks>
  <legacy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tabColor rgb="FF00B050"/>
    <outlinePr applyStyles="0" summaryBelow="1" summaryRight="1" showOutlineSymbols="1"/>
    <pageSetUpPr autoPageBreaks="1" fitToPage="1"/>
  </sheetPr>
  <sheetViews>
    <sheetView view="pageBreakPreview" zoomScale="40" workbookViewId="0">
      <selection activeCell="AD53" activeCellId="0" sqref="AD53:AD54"/>
    </sheetView>
  </sheetViews>
  <sheetFormatPr baseColWidth="10" defaultRowHeight="14.25" outlineLevelRow="1"/>
  <cols>
    <col customWidth="1" min="1" max="1" style="251" width="9.125"/>
    <col customWidth="1" min="2" max="2" style="251" width="13.75"/>
    <col customWidth="1" min="3" max="14" style="251" width="12.875"/>
    <col customWidth="1" min="15" max="15" style="251" width="2.625"/>
    <col customWidth="1" min="16" max="27" style="251" width="12.875"/>
    <col customWidth="1" min="28" max="28" style="251" width="9.125"/>
    <col customWidth="1" min="29" max="29" style="251" width="13.75"/>
    <col customWidth="1" min="30" max="35" style="251" width="21.125"/>
    <col customWidth="1" min="36" max="36" style="251" width="123.625"/>
    <col customWidth="1" min="37" max="37" style="251" width="21.125"/>
    <col customWidth="1" min="38" max="44" style="251" width="10.625"/>
    <col min="45" max="16384" style="251" width="11"/>
  </cols>
  <sheetData>
    <row r="1" ht="52.5" customHeight="1">
      <c r="A1" s="2" t="s">
        <v>0</v>
      </c>
      <c r="B1" s="3" t="s">
        <v>62</v>
      </c>
      <c r="C1" s="4"/>
      <c r="D1" s="4"/>
      <c r="E1" s="4"/>
      <c r="F1" s="5"/>
      <c r="G1" s="5"/>
      <c r="H1" s="4"/>
      <c r="I1" s="4"/>
      <c r="J1" s="5"/>
      <c r="K1" s="5"/>
      <c r="L1" s="6"/>
      <c r="M1" s="7" t="s">
        <v>2</v>
      </c>
      <c r="N1" s="8" t="s">
        <v>3</v>
      </c>
      <c r="O1" s="9"/>
      <c r="P1" s="4"/>
      <c r="Q1" s="4"/>
      <c r="R1" s="4"/>
      <c r="S1" s="4"/>
      <c r="T1" s="4"/>
      <c r="U1" s="4"/>
      <c r="V1" s="4"/>
      <c r="W1" s="10"/>
      <c r="X1" s="11"/>
      <c r="Y1" s="11"/>
      <c r="Z1" s="11"/>
      <c r="AA1" s="12"/>
    </row>
    <row r="2" ht="52.5" customHeight="1">
      <c r="A2" s="13" t="s">
        <v>4</v>
      </c>
      <c r="B2" s="14"/>
      <c r="C2" s="14"/>
      <c r="D2" s="14"/>
      <c r="E2" s="14"/>
      <c r="F2" s="14"/>
      <c r="G2" s="3" t="s">
        <v>63</v>
      </c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10"/>
      <c r="X2" s="14"/>
      <c r="Y2" s="14"/>
      <c r="Z2" s="14"/>
      <c r="AA2" s="14"/>
    </row>
    <row r="3" ht="52.5" customHeight="1">
      <c r="A3" s="13" t="s">
        <v>6</v>
      </c>
      <c r="B3" s="14"/>
      <c r="C3" s="3" t="s">
        <v>7</v>
      </c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10"/>
      <c r="X3" s="14"/>
      <c r="Y3" s="14"/>
      <c r="Z3" s="14"/>
      <c r="AA3" s="15"/>
    </row>
    <row r="4" ht="24.949999999999999" customHeight="1">
      <c r="A4" s="13"/>
      <c r="B4" s="14"/>
      <c r="C4" s="14"/>
      <c r="D4" s="14"/>
      <c r="E4" s="14"/>
      <c r="F4" s="14"/>
      <c r="G4" s="14"/>
      <c r="H4" s="14"/>
      <c r="I4" s="14"/>
      <c r="J4" s="14"/>
      <c r="K4" s="14"/>
      <c r="L4" s="14"/>
      <c r="M4" s="14"/>
      <c r="N4" s="14"/>
      <c r="O4" s="14"/>
      <c r="P4" s="14"/>
      <c r="Q4" s="14"/>
      <c r="R4" s="14"/>
      <c r="S4" s="14"/>
      <c r="T4" s="14"/>
      <c r="U4" s="14"/>
      <c r="V4" s="14"/>
      <c r="W4" s="14"/>
      <c r="X4" s="14"/>
      <c r="Y4" s="14"/>
      <c r="Z4" s="14"/>
      <c r="AA4" s="15"/>
    </row>
    <row r="5" s="252" customFormat="1" ht="75" customHeight="1">
      <c r="A5" s="17" t="s">
        <v>8</v>
      </c>
      <c r="B5" s="18"/>
      <c r="C5" s="19" t="s">
        <v>64</v>
      </c>
      <c r="D5" s="20"/>
      <c r="E5" s="20"/>
      <c r="F5" s="20"/>
      <c r="G5" s="20"/>
      <c r="H5" s="20"/>
      <c r="I5" s="20"/>
      <c r="J5" s="20"/>
      <c r="K5" s="20"/>
      <c r="L5" s="20"/>
      <c r="M5" s="20"/>
      <c r="N5" s="20"/>
      <c r="O5" s="21"/>
      <c r="P5" s="22" t="s">
        <v>10</v>
      </c>
      <c r="Q5" s="22"/>
      <c r="R5" s="21" t="s">
        <v>11</v>
      </c>
      <c r="S5" s="21"/>
      <c r="T5" s="21"/>
      <c r="U5" s="21"/>
      <c r="V5" s="21"/>
      <c r="W5" s="21"/>
      <c r="X5" s="21"/>
      <c r="Y5" s="21"/>
      <c r="Z5" s="21"/>
      <c r="AA5" s="21"/>
      <c r="AB5" s="21"/>
    </row>
    <row r="6" ht="8.0999999999999996" customHeight="1">
      <c r="A6" s="23"/>
      <c r="B6" s="14"/>
      <c r="C6" s="14"/>
      <c r="D6" s="14"/>
      <c r="E6" s="14"/>
      <c r="F6" s="14"/>
      <c r="G6" s="14"/>
      <c r="H6" s="14"/>
      <c r="I6" s="14"/>
      <c r="J6" s="14"/>
      <c r="K6" s="14"/>
      <c r="L6" s="14"/>
      <c r="M6" s="14"/>
      <c r="N6" s="14"/>
      <c r="O6" s="14"/>
      <c r="P6" s="14"/>
      <c r="Q6" s="14"/>
      <c r="R6" s="14"/>
      <c r="S6" s="14"/>
      <c r="T6" s="14"/>
      <c r="U6" s="14"/>
      <c r="V6" s="14"/>
      <c r="W6" s="14"/>
      <c r="X6" s="14"/>
      <c r="Y6" s="14"/>
      <c r="Z6" s="14"/>
      <c r="AA6" s="15"/>
    </row>
    <row r="7" ht="32.25" customHeight="1">
      <c r="A7" s="13"/>
      <c r="B7" s="14"/>
      <c r="C7" s="24" t="s">
        <v>65</v>
      </c>
      <c r="D7" s="25"/>
      <c r="E7" s="25"/>
      <c r="F7" s="25"/>
      <c r="G7" s="25"/>
      <c r="H7" s="25"/>
      <c r="I7" s="25"/>
      <c r="J7" s="25"/>
      <c r="K7" s="25"/>
      <c r="L7" s="25"/>
      <c r="M7" s="25"/>
      <c r="N7" s="25"/>
      <c r="O7" s="26"/>
      <c r="P7" s="24" t="s">
        <v>66</v>
      </c>
      <c r="Q7" s="25"/>
      <c r="R7" s="25"/>
      <c r="S7" s="25"/>
      <c r="T7" s="25"/>
      <c r="U7" s="25"/>
      <c r="V7" s="25"/>
      <c r="W7" s="25"/>
      <c r="X7" s="25"/>
      <c r="Y7" s="25"/>
      <c r="Z7" s="25"/>
      <c r="AA7" s="27"/>
      <c r="AC7" s="256"/>
      <c r="AD7" s="256"/>
      <c r="AE7" s="256"/>
      <c r="AF7" s="256"/>
      <c r="AG7" s="256"/>
    </row>
    <row r="8" ht="22.699999999999999" customHeight="1">
      <c r="A8" s="13"/>
      <c r="B8" s="14"/>
      <c r="C8" s="29" t="s">
        <v>67</v>
      </c>
      <c r="D8" s="30"/>
      <c r="E8" s="30"/>
      <c r="F8" s="30"/>
      <c r="G8" s="30" t="s">
        <v>16</v>
      </c>
      <c r="H8" s="30"/>
      <c r="I8" s="30"/>
      <c r="J8" s="30"/>
      <c r="K8" s="30" t="s">
        <v>68</v>
      </c>
      <c r="L8" s="30"/>
      <c r="M8" s="30"/>
      <c r="N8" s="30"/>
      <c r="O8" s="31"/>
      <c r="P8" s="29" t="s">
        <v>16</v>
      </c>
      <c r="Q8" s="30"/>
      <c r="R8" s="30"/>
      <c r="S8" s="30"/>
      <c r="T8" s="30" t="s">
        <v>68</v>
      </c>
      <c r="U8" s="30"/>
      <c r="V8" s="30"/>
      <c r="W8" s="30"/>
      <c r="X8" s="30" t="s">
        <v>69</v>
      </c>
      <c r="Y8" s="30"/>
      <c r="Z8" s="30"/>
      <c r="AA8" s="32"/>
    </row>
    <row r="9" ht="18.600000000000001" customHeight="1">
      <c r="A9" s="13"/>
      <c r="B9" s="14"/>
      <c r="C9" s="33" t="s">
        <v>18</v>
      </c>
      <c r="D9" s="34"/>
      <c r="E9" s="35" t="s">
        <v>19</v>
      </c>
      <c r="F9" s="36"/>
      <c r="G9" s="36" t="s">
        <v>18</v>
      </c>
      <c r="H9" s="37"/>
      <c r="I9" s="35" t="s">
        <v>19</v>
      </c>
      <c r="J9" s="36"/>
      <c r="K9" s="36" t="s">
        <v>18</v>
      </c>
      <c r="L9" s="38"/>
      <c r="M9" s="39" t="s">
        <v>19</v>
      </c>
      <c r="N9" s="40"/>
      <c r="O9" s="41"/>
      <c r="P9" s="33" t="s">
        <v>18</v>
      </c>
      <c r="Q9" s="34"/>
      <c r="R9" s="35" t="s">
        <v>19</v>
      </c>
      <c r="S9" s="36"/>
      <c r="T9" s="36" t="s">
        <v>18</v>
      </c>
      <c r="U9" s="37"/>
      <c r="V9" s="35" t="s">
        <v>19</v>
      </c>
      <c r="W9" s="36"/>
      <c r="X9" s="36" t="s">
        <v>18</v>
      </c>
      <c r="Y9" s="38"/>
      <c r="Z9" s="39" t="s">
        <v>19</v>
      </c>
      <c r="AA9" s="42"/>
    </row>
    <row r="10" ht="21">
      <c r="A10" s="43" t="s">
        <v>20</v>
      </c>
      <c r="B10" s="44" t="s">
        <v>21</v>
      </c>
      <c r="C10" s="45" t="s">
        <v>22</v>
      </c>
      <c r="D10" s="46" t="s">
        <v>23</v>
      </c>
      <c r="E10" s="47" t="s">
        <v>22</v>
      </c>
      <c r="F10" s="48" t="s">
        <v>23</v>
      </c>
      <c r="G10" s="49" t="s">
        <v>22</v>
      </c>
      <c r="H10" s="50" t="s">
        <v>23</v>
      </c>
      <c r="I10" s="47" t="s">
        <v>22</v>
      </c>
      <c r="J10" s="48" t="s">
        <v>23</v>
      </c>
      <c r="K10" s="51" t="s">
        <v>22</v>
      </c>
      <c r="L10" s="52" t="s">
        <v>23</v>
      </c>
      <c r="M10" s="53" t="s">
        <v>22</v>
      </c>
      <c r="N10" s="54" t="s">
        <v>23</v>
      </c>
      <c r="O10" s="55"/>
      <c r="P10" s="45" t="s">
        <v>22</v>
      </c>
      <c r="Q10" s="46" t="s">
        <v>23</v>
      </c>
      <c r="R10" s="47" t="s">
        <v>22</v>
      </c>
      <c r="S10" s="48" t="s">
        <v>23</v>
      </c>
      <c r="T10" s="49" t="s">
        <v>22</v>
      </c>
      <c r="U10" s="50" t="s">
        <v>23</v>
      </c>
      <c r="V10" s="47" t="s">
        <v>22</v>
      </c>
      <c r="W10" s="48" t="s">
        <v>23</v>
      </c>
      <c r="X10" s="51" t="s">
        <v>22</v>
      </c>
      <c r="Y10" s="52" t="s">
        <v>23</v>
      </c>
      <c r="Z10" s="53" t="s">
        <v>22</v>
      </c>
      <c r="AA10" s="56" t="s">
        <v>23</v>
      </c>
      <c r="AB10" s="263"/>
    </row>
    <row r="11" ht="54.950000000000003" hidden="1" customHeight="1" outlineLevel="1">
      <c r="A11" s="58">
        <v>6</v>
      </c>
      <c r="B11" s="59" t="s">
        <v>24</v>
      </c>
      <c r="C11" s="60"/>
      <c r="D11" s="61"/>
      <c r="E11" s="62"/>
      <c r="F11" s="63"/>
      <c r="G11" s="64"/>
      <c r="H11" s="65"/>
      <c r="I11" s="62"/>
      <c r="J11" s="63"/>
      <c r="K11" s="66"/>
      <c r="L11" s="67"/>
      <c r="M11" s="68"/>
      <c r="N11" s="69"/>
      <c r="O11" s="70"/>
      <c r="P11" s="60"/>
      <c r="Q11" s="61"/>
      <c r="R11" s="62"/>
      <c r="S11" s="63"/>
      <c r="T11" s="64"/>
      <c r="U11" s="65"/>
      <c r="V11" s="62"/>
      <c r="W11" s="63"/>
      <c r="X11" s="66"/>
      <c r="Y11" s="67"/>
      <c r="Z11" s="68"/>
      <c r="AA11" s="71"/>
      <c r="AB11" s="270"/>
      <c r="AC11" s="270"/>
      <c r="AD11" s="270"/>
      <c r="AE11" s="270"/>
      <c r="AF11" s="270"/>
      <c r="AG11" s="270"/>
    </row>
    <row r="12" ht="54.950000000000003" hidden="1" customHeight="1" outlineLevel="1">
      <c r="A12" s="58"/>
      <c r="B12" s="59" t="s">
        <v>25</v>
      </c>
      <c r="C12" s="373"/>
      <c r="D12" s="374"/>
      <c r="E12" s="375"/>
      <c r="F12" s="376"/>
      <c r="G12" s="377"/>
      <c r="H12" s="378">
        <v>1</v>
      </c>
      <c r="I12" s="375">
        <v>2</v>
      </c>
      <c r="J12" s="376"/>
      <c r="K12" s="379">
        <v>1</v>
      </c>
      <c r="L12" s="380"/>
      <c r="M12" s="381">
        <v>1</v>
      </c>
      <c r="N12" s="382"/>
      <c r="O12" s="70"/>
      <c r="P12" s="373">
        <v>2</v>
      </c>
      <c r="Q12" s="374"/>
      <c r="R12" s="375">
        <v>1</v>
      </c>
      <c r="S12" s="376"/>
      <c r="T12" s="377"/>
      <c r="U12" s="378"/>
      <c r="V12" s="375"/>
      <c r="W12" s="376"/>
      <c r="X12" s="379"/>
      <c r="Y12" s="380"/>
      <c r="Z12" s="381"/>
      <c r="AA12" s="383"/>
      <c r="AB12" s="270"/>
      <c r="AC12" s="270"/>
      <c r="AD12" s="270"/>
      <c r="AE12" s="270"/>
      <c r="AF12" s="270"/>
      <c r="AG12" s="270"/>
    </row>
    <row r="13" ht="54.950000000000003" customHeight="1" collapsed="1">
      <c r="A13" s="58">
        <v>7</v>
      </c>
      <c r="B13" s="59" t="s">
        <v>26</v>
      </c>
      <c r="C13" s="73"/>
      <c r="D13" s="74"/>
      <c r="E13" s="75"/>
      <c r="F13" s="76"/>
      <c r="G13" s="77"/>
      <c r="H13" s="74"/>
      <c r="I13" s="75">
        <v>1</v>
      </c>
      <c r="J13" s="76"/>
      <c r="K13" s="73"/>
      <c r="L13" s="74"/>
      <c r="M13" s="75"/>
      <c r="N13" s="76"/>
      <c r="O13" s="70"/>
      <c r="P13" s="73"/>
      <c r="Q13" s="74"/>
      <c r="R13" s="75"/>
      <c r="S13" s="76"/>
      <c r="T13" s="77"/>
      <c r="U13" s="74"/>
      <c r="V13" s="75"/>
      <c r="W13" s="76"/>
      <c r="X13" s="73"/>
      <c r="Y13" s="74"/>
      <c r="Z13" s="75"/>
      <c r="AA13" s="76"/>
      <c r="AB13" s="270"/>
      <c r="AC13" s="270"/>
      <c r="AD13" s="270"/>
      <c r="AE13" s="270"/>
      <c r="AF13" s="270"/>
      <c r="AG13" s="270"/>
    </row>
    <row r="14" ht="54.950000000000003" customHeight="1">
      <c r="A14" s="58"/>
      <c r="B14" s="59" t="s">
        <v>27</v>
      </c>
      <c r="C14" s="78"/>
      <c r="D14" s="79"/>
      <c r="E14" s="80"/>
      <c r="F14" s="81"/>
      <c r="G14" s="82"/>
      <c r="H14" s="79"/>
      <c r="I14" s="80"/>
      <c r="J14" s="81">
        <v>1</v>
      </c>
      <c r="K14" s="78"/>
      <c r="L14" s="79"/>
      <c r="M14" s="80"/>
      <c r="N14" s="81"/>
      <c r="O14" s="70"/>
      <c r="P14" s="78"/>
      <c r="Q14" s="79"/>
      <c r="R14" s="80"/>
      <c r="S14" s="81"/>
      <c r="T14" s="82"/>
      <c r="U14" s="79">
        <v>1</v>
      </c>
      <c r="V14" s="80"/>
      <c r="W14" s="81">
        <v>1</v>
      </c>
      <c r="X14" s="78"/>
      <c r="Y14" s="79">
        <v>1</v>
      </c>
      <c r="Z14" s="80"/>
      <c r="AA14" s="81"/>
      <c r="AB14" s="270"/>
      <c r="AC14" s="270"/>
      <c r="AD14" s="270"/>
      <c r="AE14" s="270"/>
      <c r="AF14" s="270"/>
      <c r="AG14" s="270"/>
    </row>
    <row r="15" ht="54.950000000000003" customHeight="1">
      <c r="A15" s="58"/>
      <c r="B15" s="59" t="s">
        <v>24</v>
      </c>
      <c r="C15" s="83"/>
      <c r="D15" s="84"/>
      <c r="E15" s="85"/>
      <c r="F15" s="86"/>
      <c r="G15" s="87"/>
      <c r="H15" s="84"/>
      <c r="I15" s="85">
        <v>1</v>
      </c>
      <c r="J15" s="86"/>
      <c r="K15" s="83"/>
      <c r="L15" s="84"/>
      <c r="M15" s="85"/>
      <c r="N15" s="86"/>
      <c r="O15" s="70"/>
      <c r="P15" s="83"/>
      <c r="Q15" s="84"/>
      <c r="R15" s="85"/>
      <c r="S15" s="86"/>
      <c r="T15" s="87"/>
      <c r="U15" s="84"/>
      <c r="V15" s="85"/>
      <c r="W15" s="86"/>
      <c r="X15" s="83"/>
      <c r="Y15" s="84"/>
      <c r="Z15" s="85"/>
      <c r="AA15" s="86">
        <v>1</v>
      </c>
      <c r="AB15" s="270"/>
      <c r="AC15" s="270"/>
      <c r="AD15" s="270"/>
      <c r="AE15" s="270"/>
      <c r="AF15" s="270"/>
      <c r="AG15" s="270"/>
    </row>
    <row r="16" ht="54.950000000000003" customHeight="1">
      <c r="A16" s="58"/>
      <c r="B16" s="59" t="s">
        <v>25</v>
      </c>
      <c r="C16" s="88"/>
      <c r="D16" s="89"/>
      <c r="E16" s="90"/>
      <c r="F16" s="91"/>
      <c r="G16" s="92"/>
      <c r="H16" s="89"/>
      <c r="I16" s="90"/>
      <c r="J16" s="91"/>
      <c r="K16" s="88"/>
      <c r="L16" s="89"/>
      <c r="M16" s="90"/>
      <c r="N16" s="91"/>
      <c r="O16" s="70"/>
      <c r="P16" s="88"/>
      <c r="Q16" s="89"/>
      <c r="R16" s="90"/>
      <c r="S16" s="91"/>
      <c r="T16" s="92"/>
      <c r="U16" s="89"/>
      <c r="V16" s="90"/>
      <c r="W16" s="91"/>
      <c r="X16" s="88">
        <v>1</v>
      </c>
      <c r="Y16" s="89"/>
      <c r="Z16" s="90"/>
      <c r="AA16" s="91"/>
      <c r="AB16" s="270"/>
      <c r="AC16" s="270"/>
      <c r="AD16" s="270"/>
      <c r="AE16" s="270"/>
      <c r="AF16" s="270"/>
      <c r="AG16" s="270"/>
    </row>
    <row r="17" ht="54.950000000000003" customHeight="1">
      <c r="A17" s="58">
        <v>8</v>
      </c>
      <c r="B17" s="59" t="s">
        <v>26</v>
      </c>
      <c r="C17" s="73"/>
      <c r="D17" s="74"/>
      <c r="E17" s="75"/>
      <c r="F17" s="76"/>
      <c r="G17" s="77"/>
      <c r="H17" s="74"/>
      <c r="I17" s="75"/>
      <c r="J17" s="76"/>
      <c r="K17" s="73"/>
      <c r="L17" s="74"/>
      <c r="M17" s="75">
        <v>1</v>
      </c>
      <c r="N17" s="76"/>
      <c r="O17" s="70"/>
      <c r="P17" s="73"/>
      <c r="Q17" s="74">
        <v>1</v>
      </c>
      <c r="R17" s="75"/>
      <c r="S17" s="76"/>
      <c r="T17" s="77"/>
      <c r="U17" s="74">
        <v>1</v>
      </c>
      <c r="V17" s="75"/>
      <c r="W17" s="76"/>
      <c r="X17" s="73"/>
      <c r="Y17" s="74"/>
      <c r="Z17" s="75"/>
      <c r="AA17" s="76"/>
      <c r="AB17" s="270"/>
      <c r="AC17" s="270"/>
      <c r="AD17" s="270"/>
      <c r="AE17" s="270"/>
      <c r="AF17" s="270"/>
      <c r="AG17" s="270"/>
    </row>
    <row r="18" ht="54.950000000000003" customHeight="1">
      <c r="A18" s="58"/>
      <c r="B18" s="59" t="s">
        <v>27</v>
      </c>
      <c r="C18" s="78"/>
      <c r="D18" s="79"/>
      <c r="E18" s="80"/>
      <c r="F18" s="81"/>
      <c r="G18" s="82"/>
      <c r="H18" s="79"/>
      <c r="I18" s="80"/>
      <c r="J18" s="81"/>
      <c r="K18" s="78"/>
      <c r="L18" s="79"/>
      <c r="M18" s="80"/>
      <c r="N18" s="81"/>
      <c r="O18" s="70"/>
      <c r="P18" s="78"/>
      <c r="Q18" s="79"/>
      <c r="R18" s="80">
        <v>1</v>
      </c>
      <c r="S18" s="81"/>
      <c r="T18" s="82"/>
      <c r="U18" s="79">
        <v>1</v>
      </c>
      <c r="V18" s="80"/>
      <c r="W18" s="81"/>
      <c r="X18" s="78"/>
      <c r="Y18" s="79"/>
      <c r="Z18" s="80"/>
      <c r="AA18" s="81"/>
      <c r="AB18" s="270"/>
      <c r="AC18" s="270"/>
      <c r="AD18" s="270"/>
      <c r="AE18" s="270"/>
      <c r="AF18" s="270"/>
      <c r="AG18" s="270"/>
    </row>
    <row r="19" ht="54.950000000000003" customHeight="1">
      <c r="A19" s="58"/>
      <c r="B19" s="59" t="s">
        <v>24</v>
      </c>
      <c r="C19" s="83"/>
      <c r="D19" s="84"/>
      <c r="E19" s="85"/>
      <c r="F19" s="86"/>
      <c r="G19" s="87"/>
      <c r="H19" s="84"/>
      <c r="I19" s="85"/>
      <c r="J19" s="86"/>
      <c r="K19" s="83"/>
      <c r="L19" s="84"/>
      <c r="M19" s="85"/>
      <c r="N19" s="86"/>
      <c r="O19" s="70"/>
      <c r="P19" s="83"/>
      <c r="Q19" s="84"/>
      <c r="R19" s="85"/>
      <c r="S19" s="86"/>
      <c r="T19" s="87"/>
      <c r="U19" s="84"/>
      <c r="V19" s="85"/>
      <c r="W19" s="86"/>
      <c r="X19" s="83"/>
      <c r="Y19" s="84"/>
      <c r="Z19" s="85">
        <v>1</v>
      </c>
      <c r="AA19" s="86"/>
      <c r="AB19" s="270"/>
      <c r="AC19" s="270"/>
      <c r="AD19" s="270"/>
      <c r="AE19" s="270"/>
      <c r="AF19" s="270"/>
      <c r="AG19" s="270"/>
    </row>
    <row r="20" ht="54.950000000000003" customHeight="1">
      <c r="A20" s="58"/>
      <c r="B20" s="59" t="s">
        <v>25</v>
      </c>
      <c r="C20" s="88"/>
      <c r="D20" s="89"/>
      <c r="E20" s="90"/>
      <c r="F20" s="91"/>
      <c r="G20" s="92"/>
      <c r="H20" s="89"/>
      <c r="I20" s="90"/>
      <c r="J20" s="91"/>
      <c r="K20" s="88"/>
      <c r="L20" s="89"/>
      <c r="M20" s="90"/>
      <c r="N20" s="91"/>
      <c r="O20" s="70"/>
      <c r="P20" s="88"/>
      <c r="Q20" s="89"/>
      <c r="R20" s="90"/>
      <c r="S20" s="91"/>
      <c r="T20" s="92"/>
      <c r="U20" s="89"/>
      <c r="V20" s="90"/>
      <c r="W20" s="91"/>
      <c r="X20" s="88"/>
      <c r="Y20" s="89"/>
      <c r="Z20" s="90"/>
      <c r="AA20" s="91"/>
      <c r="AB20" s="270"/>
      <c r="AC20" s="270"/>
      <c r="AD20" s="270"/>
      <c r="AE20" s="270"/>
      <c r="AF20" s="270"/>
      <c r="AG20" s="270"/>
    </row>
    <row r="21" ht="54.950000000000003" hidden="1" customHeight="1" outlineLevel="1">
      <c r="A21" s="58">
        <v>9</v>
      </c>
      <c r="B21" s="59" t="s">
        <v>26</v>
      </c>
      <c r="C21" s="60"/>
      <c r="D21" s="61"/>
      <c r="E21" s="62"/>
      <c r="F21" s="63"/>
      <c r="G21" s="64"/>
      <c r="H21" s="65"/>
      <c r="I21" s="62"/>
      <c r="J21" s="63"/>
      <c r="K21" s="66"/>
      <c r="L21" s="67"/>
      <c r="M21" s="68"/>
      <c r="N21" s="69"/>
      <c r="O21" s="70"/>
      <c r="P21" s="60"/>
      <c r="Q21" s="61"/>
      <c r="R21" s="62"/>
      <c r="S21" s="63"/>
      <c r="T21" s="64"/>
      <c r="U21" s="65"/>
      <c r="V21" s="62"/>
      <c r="W21" s="63"/>
      <c r="X21" s="66"/>
      <c r="Y21" s="67"/>
      <c r="Z21" s="68"/>
      <c r="AA21" s="71"/>
      <c r="AB21" s="270"/>
      <c r="AC21" s="270"/>
      <c r="AD21" s="270"/>
      <c r="AE21" s="270"/>
      <c r="AF21" s="270"/>
      <c r="AG21" s="270"/>
    </row>
    <row r="22" ht="54.950000000000003" hidden="1" customHeight="1" outlineLevel="1">
      <c r="A22" s="93"/>
      <c r="B22" s="94" t="s">
        <v>27</v>
      </c>
      <c r="C22" s="95"/>
      <c r="D22" s="96"/>
      <c r="E22" s="97"/>
      <c r="F22" s="98"/>
      <c r="G22" s="99"/>
      <c r="H22" s="100"/>
      <c r="I22" s="97"/>
      <c r="J22" s="98"/>
      <c r="K22" s="101"/>
      <c r="L22" s="102"/>
      <c r="M22" s="103"/>
      <c r="N22" s="104"/>
      <c r="O22" s="70"/>
      <c r="P22" s="95"/>
      <c r="Q22" s="96"/>
      <c r="R22" s="97"/>
      <c r="S22" s="98"/>
      <c r="T22" s="99"/>
      <c r="U22" s="100"/>
      <c r="V22" s="97"/>
      <c r="W22" s="98"/>
      <c r="X22" s="101"/>
      <c r="Y22" s="102"/>
      <c r="Z22" s="103"/>
      <c r="AA22" s="105"/>
      <c r="AB22" s="270"/>
      <c r="AC22" s="270"/>
      <c r="AD22" s="270"/>
      <c r="AE22" s="270"/>
      <c r="AF22" s="270"/>
      <c r="AG22" s="270"/>
    </row>
    <row r="23" s="1" customFormat="1" ht="24.949999999999999" customHeight="1" collapsed="1">
      <c r="A23" s="106"/>
      <c r="B23" s="106"/>
      <c r="C23" s="107"/>
      <c r="D23" s="107"/>
      <c r="E23" s="107"/>
      <c r="F23" s="107"/>
      <c r="G23" s="107"/>
      <c r="H23" s="107"/>
      <c r="I23" s="107"/>
      <c r="J23" s="107"/>
      <c r="K23" s="107"/>
      <c r="L23" s="107"/>
      <c r="M23" s="107"/>
      <c r="N23" s="107"/>
      <c r="O23" s="70"/>
      <c r="P23" s="107"/>
      <c r="Q23" s="107"/>
      <c r="R23" s="107"/>
      <c r="S23" s="107"/>
      <c r="T23" s="107"/>
      <c r="U23" s="107"/>
      <c r="V23" s="107"/>
      <c r="W23" s="107"/>
      <c r="X23" s="107"/>
      <c r="Y23" s="107"/>
      <c r="Z23" s="107"/>
      <c r="AA23" s="107"/>
      <c r="AB23" s="72"/>
      <c r="AC23" s="72"/>
      <c r="AD23" s="72"/>
      <c r="AE23" s="72"/>
      <c r="AF23" s="72"/>
      <c r="AG23" s="72"/>
    </row>
    <row r="24" s="1" customFormat="1" ht="75" customHeight="1">
      <c r="A24" s="17" t="s">
        <v>8</v>
      </c>
      <c r="B24" s="18"/>
      <c r="C24" s="19" t="s">
        <v>70</v>
      </c>
      <c r="D24" s="20"/>
      <c r="E24" s="20"/>
      <c r="F24" s="20"/>
      <c r="G24" s="20"/>
      <c r="H24" s="20"/>
      <c r="I24" s="20"/>
      <c r="J24" s="20"/>
      <c r="K24" s="20"/>
      <c r="L24" s="20"/>
      <c r="M24" s="20"/>
      <c r="N24" s="20"/>
      <c r="O24" s="21"/>
      <c r="P24" s="14"/>
      <c r="Q24" s="14"/>
      <c r="R24" s="14"/>
      <c r="S24" s="14"/>
      <c r="T24" s="14"/>
      <c r="U24" s="14"/>
      <c r="V24" s="14"/>
      <c r="W24" s="14"/>
      <c r="X24" s="14"/>
      <c r="Y24" s="14"/>
      <c r="Z24" s="14"/>
      <c r="AA24" s="15"/>
    </row>
    <row r="25" s="1" customFormat="1" ht="6" hidden="1" customHeight="1" outlineLevel="1">
      <c r="A25" s="23"/>
      <c r="B25" s="14"/>
      <c r="C25" s="108"/>
      <c r="D25" s="108"/>
      <c r="E25" s="108"/>
      <c r="F25" s="108"/>
      <c r="G25" s="108"/>
      <c r="H25" s="108"/>
      <c r="I25" s="108"/>
      <c r="J25" s="108"/>
      <c r="K25" s="108"/>
      <c r="L25" s="108"/>
      <c r="M25" s="108"/>
      <c r="N25" s="108"/>
      <c r="O25" s="14"/>
      <c r="P25" s="108"/>
      <c r="Q25" s="108"/>
      <c r="R25" s="108"/>
      <c r="S25" s="108"/>
      <c r="T25" s="108"/>
      <c r="U25" s="108"/>
      <c r="V25" s="108"/>
      <c r="W25" s="108"/>
      <c r="X25" s="108"/>
      <c r="Y25" s="108"/>
      <c r="Z25" s="108"/>
      <c r="AA25" s="109"/>
    </row>
    <row r="26" ht="32.25" customHeight="1" collapsed="1">
      <c r="A26" s="13"/>
      <c r="B26" s="14"/>
      <c r="C26" s="24" t="s">
        <v>13</v>
      </c>
      <c r="D26" s="25"/>
      <c r="E26" s="25"/>
      <c r="F26" s="25"/>
      <c r="G26" s="25"/>
      <c r="H26" s="25"/>
      <c r="I26" s="25"/>
      <c r="J26" s="25"/>
      <c r="K26" s="25"/>
      <c r="L26" s="25"/>
      <c r="M26" s="25"/>
      <c r="N26" s="25"/>
      <c r="O26" s="26"/>
      <c r="P26" s="24" t="s">
        <v>71</v>
      </c>
      <c r="Q26" s="25"/>
      <c r="R26" s="25"/>
      <c r="S26" s="25"/>
      <c r="T26" s="25"/>
      <c r="U26" s="25"/>
      <c r="V26" s="25"/>
      <c r="W26" s="25"/>
      <c r="X26" s="25"/>
      <c r="Y26" s="25"/>
      <c r="Z26" s="25"/>
      <c r="AA26" s="27"/>
      <c r="AC26" s="256"/>
      <c r="AD26" s="256"/>
      <c r="AE26" s="256"/>
      <c r="AF26" s="256"/>
      <c r="AG26" s="256"/>
    </row>
    <row r="27" ht="22.699999999999999" customHeight="1">
      <c r="A27" s="13"/>
      <c r="B27" s="14"/>
      <c r="C27" s="30" t="s">
        <v>68</v>
      </c>
      <c r="D27" s="30"/>
      <c r="E27" s="30"/>
      <c r="F27" s="30"/>
      <c r="G27" s="30" t="s">
        <v>69</v>
      </c>
      <c r="H27" s="30"/>
      <c r="I27" s="30"/>
      <c r="J27" s="32"/>
      <c r="K27" s="29" t="s">
        <v>67</v>
      </c>
      <c r="L27" s="30"/>
      <c r="M27" s="30"/>
      <c r="N27" s="30"/>
      <c r="O27" s="30"/>
      <c r="P27" s="30" t="s">
        <v>69</v>
      </c>
      <c r="Q27" s="30"/>
      <c r="R27" s="30"/>
      <c r="S27" s="32"/>
      <c r="T27" s="29" t="s">
        <v>67</v>
      </c>
      <c r="U27" s="30"/>
      <c r="V27" s="30"/>
      <c r="W27" s="30"/>
      <c r="X27" s="29" t="s">
        <v>16</v>
      </c>
      <c r="Y27" s="30"/>
      <c r="Z27" s="30"/>
      <c r="AA27" s="30"/>
    </row>
    <row r="28" ht="18.600000000000001" customHeight="1">
      <c r="A28" s="13"/>
      <c r="B28" s="14"/>
      <c r="C28" s="33" t="s">
        <v>18</v>
      </c>
      <c r="D28" s="34"/>
      <c r="E28" s="35" t="s">
        <v>19</v>
      </c>
      <c r="F28" s="36"/>
      <c r="G28" s="36" t="s">
        <v>18</v>
      </c>
      <c r="H28" s="37"/>
      <c r="I28" s="35" t="s">
        <v>19</v>
      </c>
      <c r="J28" s="36"/>
      <c r="K28" s="36" t="s">
        <v>18</v>
      </c>
      <c r="L28" s="38"/>
      <c r="M28" s="39" t="s">
        <v>19</v>
      </c>
      <c r="N28" s="40"/>
      <c r="O28" s="41"/>
      <c r="P28" s="33" t="s">
        <v>18</v>
      </c>
      <c r="Q28" s="34"/>
      <c r="R28" s="35" t="s">
        <v>19</v>
      </c>
      <c r="S28" s="36"/>
      <c r="T28" s="36" t="s">
        <v>18</v>
      </c>
      <c r="U28" s="37"/>
      <c r="V28" s="35" t="s">
        <v>19</v>
      </c>
      <c r="W28" s="36"/>
      <c r="X28" s="36" t="s">
        <v>18</v>
      </c>
      <c r="Y28" s="38"/>
      <c r="Z28" s="39" t="s">
        <v>19</v>
      </c>
      <c r="AA28" s="42"/>
    </row>
    <row r="29" ht="21">
      <c r="A29" s="43" t="s">
        <v>20</v>
      </c>
      <c r="B29" s="44" t="s">
        <v>21</v>
      </c>
      <c r="C29" s="45" t="s">
        <v>22</v>
      </c>
      <c r="D29" s="46" t="s">
        <v>23</v>
      </c>
      <c r="E29" s="47" t="s">
        <v>22</v>
      </c>
      <c r="F29" s="48" t="s">
        <v>23</v>
      </c>
      <c r="G29" s="49" t="s">
        <v>22</v>
      </c>
      <c r="H29" s="50" t="s">
        <v>23</v>
      </c>
      <c r="I29" s="47" t="s">
        <v>22</v>
      </c>
      <c r="J29" s="48" t="s">
        <v>23</v>
      </c>
      <c r="K29" s="51" t="s">
        <v>22</v>
      </c>
      <c r="L29" s="52" t="s">
        <v>23</v>
      </c>
      <c r="M29" s="53" t="s">
        <v>22</v>
      </c>
      <c r="N29" s="54" t="s">
        <v>23</v>
      </c>
      <c r="O29" s="55"/>
      <c r="P29" s="45" t="s">
        <v>22</v>
      </c>
      <c r="Q29" s="46" t="s">
        <v>23</v>
      </c>
      <c r="R29" s="47" t="s">
        <v>22</v>
      </c>
      <c r="S29" s="48" t="s">
        <v>23</v>
      </c>
      <c r="T29" s="49" t="s">
        <v>22</v>
      </c>
      <c r="U29" s="50" t="s">
        <v>23</v>
      </c>
      <c r="V29" s="47" t="s">
        <v>22</v>
      </c>
      <c r="W29" s="48" t="s">
        <v>23</v>
      </c>
      <c r="X29" s="51" t="s">
        <v>22</v>
      </c>
      <c r="Y29" s="52" t="s">
        <v>23</v>
      </c>
      <c r="Z29" s="53" t="s">
        <v>22</v>
      </c>
      <c r="AA29" s="56" t="s">
        <v>23</v>
      </c>
      <c r="AB29" s="263"/>
    </row>
    <row r="30" ht="54.950000000000003" hidden="1" customHeight="1" outlineLevel="1">
      <c r="A30" s="58">
        <v>6</v>
      </c>
      <c r="B30" s="59" t="s">
        <v>24</v>
      </c>
      <c r="C30" s="60"/>
      <c r="D30" s="61"/>
      <c r="E30" s="62"/>
      <c r="F30" s="63"/>
      <c r="G30" s="64"/>
      <c r="H30" s="65"/>
      <c r="I30" s="62"/>
      <c r="J30" s="63"/>
      <c r="K30" s="66"/>
      <c r="L30" s="67"/>
      <c r="M30" s="68"/>
      <c r="N30" s="69"/>
      <c r="O30" s="70"/>
      <c r="P30" s="60"/>
      <c r="Q30" s="61"/>
      <c r="R30" s="62"/>
      <c r="S30" s="63"/>
      <c r="T30" s="64"/>
      <c r="U30" s="65"/>
      <c r="V30" s="62"/>
      <c r="W30" s="63"/>
      <c r="X30" s="66"/>
      <c r="Y30" s="67"/>
      <c r="Z30" s="68"/>
      <c r="AA30" s="71"/>
      <c r="AB30" s="270"/>
      <c r="AC30" s="270"/>
      <c r="AD30" s="270"/>
      <c r="AE30" s="270"/>
      <c r="AF30" s="270"/>
      <c r="AG30" s="270"/>
    </row>
    <row r="31" ht="54.950000000000003" hidden="1" customHeight="1" outlineLevel="1">
      <c r="A31" s="58"/>
      <c r="B31" s="59" t="s">
        <v>25</v>
      </c>
      <c r="C31" s="373"/>
      <c r="D31" s="374">
        <v>1</v>
      </c>
      <c r="E31" s="375"/>
      <c r="F31" s="376"/>
      <c r="G31" s="377"/>
      <c r="H31" s="378"/>
      <c r="I31" s="375"/>
      <c r="J31" s="376"/>
      <c r="K31" s="379"/>
      <c r="L31" s="380"/>
      <c r="M31" s="381"/>
      <c r="N31" s="382"/>
      <c r="O31" s="70"/>
      <c r="P31" s="373"/>
      <c r="Q31" s="374"/>
      <c r="R31" s="375"/>
      <c r="S31" s="376"/>
      <c r="T31" s="377"/>
      <c r="U31" s="378"/>
      <c r="V31" s="375"/>
      <c r="W31" s="376"/>
      <c r="X31" s="379"/>
      <c r="Y31" s="380"/>
      <c r="Z31" s="381"/>
      <c r="AA31" s="383"/>
      <c r="AB31" s="270"/>
      <c r="AC31" s="270"/>
      <c r="AD31" s="270"/>
      <c r="AE31" s="270"/>
      <c r="AF31" s="270"/>
      <c r="AG31" s="270"/>
    </row>
    <row r="32" ht="54.950000000000003" customHeight="1" collapsed="1">
      <c r="A32" s="58">
        <v>7</v>
      </c>
      <c r="B32" s="59" t="s">
        <v>26</v>
      </c>
      <c r="C32" s="73">
        <v>1</v>
      </c>
      <c r="D32" s="74">
        <v>1</v>
      </c>
      <c r="E32" s="75"/>
      <c r="F32" s="76"/>
      <c r="G32" s="77"/>
      <c r="H32" s="74"/>
      <c r="I32" s="75">
        <v>1</v>
      </c>
      <c r="J32" s="76"/>
      <c r="K32" s="73"/>
      <c r="L32" s="74"/>
      <c r="M32" s="75"/>
      <c r="N32" s="76"/>
      <c r="O32" s="70"/>
      <c r="P32" s="73"/>
      <c r="Q32" s="74"/>
      <c r="R32" s="75"/>
      <c r="S32" s="76"/>
      <c r="T32" s="77"/>
      <c r="U32" s="74">
        <v>1</v>
      </c>
      <c r="V32" s="75"/>
      <c r="W32" s="76"/>
      <c r="X32" s="73"/>
      <c r="Y32" s="74"/>
      <c r="Z32" s="75"/>
      <c r="AA32" s="76"/>
      <c r="AB32" s="270"/>
      <c r="AC32" s="270"/>
      <c r="AD32" s="270"/>
      <c r="AE32" s="270"/>
      <c r="AF32" s="270"/>
      <c r="AG32" s="270"/>
    </row>
    <row r="33" ht="54.950000000000003" customHeight="1">
      <c r="A33" s="58"/>
      <c r="B33" s="59" t="s">
        <v>27</v>
      </c>
      <c r="C33" s="78">
        <v>2</v>
      </c>
      <c r="D33" s="79"/>
      <c r="E33" s="80">
        <v>1</v>
      </c>
      <c r="F33" s="81"/>
      <c r="G33" s="82"/>
      <c r="H33" s="79"/>
      <c r="I33" s="80"/>
      <c r="J33" s="81"/>
      <c r="K33" s="78"/>
      <c r="L33" s="79"/>
      <c r="M33" s="80"/>
      <c r="N33" s="81"/>
      <c r="O33" s="70"/>
      <c r="P33" s="78"/>
      <c r="Q33" s="79"/>
      <c r="R33" s="80"/>
      <c r="S33" s="81"/>
      <c r="T33" s="82"/>
      <c r="U33" s="79"/>
      <c r="V33" s="80"/>
      <c r="W33" s="81"/>
      <c r="X33" s="78"/>
      <c r="Y33" s="79">
        <v>3</v>
      </c>
      <c r="Z33" s="80">
        <v>1</v>
      </c>
      <c r="AA33" s="81"/>
      <c r="AB33" s="270"/>
      <c r="AC33" s="270"/>
      <c r="AD33" s="270"/>
      <c r="AE33" s="270"/>
      <c r="AF33" s="270"/>
      <c r="AG33" s="270"/>
    </row>
    <row r="34" ht="54.950000000000003" customHeight="1">
      <c r="A34" s="58"/>
      <c r="B34" s="59" t="s">
        <v>24</v>
      </c>
      <c r="C34" s="83">
        <v>1</v>
      </c>
      <c r="D34" s="84"/>
      <c r="E34" s="85"/>
      <c r="F34" s="86">
        <v>1</v>
      </c>
      <c r="G34" s="87">
        <v>1</v>
      </c>
      <c r="H34" s="84"/>
      <c r="I34" s="85"/>
      <c r="J34" s="86"/>
      <c r="K34" s="83"/>
      <c r="L34" s="84"/>
      <c r="M34" s="85"/>
      <c r="N34" s="86"/>
      <c r="O34" s="70"/>
      <c r="P34" s="83"/>
      <c r="Q34" s="84"/>
      <c r="R34" s="85"/>
      <c r="S34" s="86"/>
      <c r="T34" s="87"/>
      <c r="U34" s="84"/>
      <c r="V34" s="85"/>
      <c r="W34" s="86"/>
      <c r="X34" s="83"/>
      <c r="Y34" s="84"/>
      <c r="Z34" s="85"/>
      <c r="AA34" s="86"/>
      <c r="AB34" s="270"/>
      <c r="AC34" s="270"/>
      <c r="AD34" s="270"/>
      <c r="AE34" s="270"/>
      <c r="AF34" s="270"/>
      <c r="AG34" s="270"/>
    </row>
    <row r="35" ht="54.950000000000003" customHeight="1">
      <c r="A35" s="58"/>
      <c r="B35" s="59" t="s">
        <v>25</v>
      </c>
      <c r="C35" s="88"/>
      <c r="D35" s="89">
        <v>1</v>
      </c>
      <c r="E35" s="90"/>
      <c r="F35" s="91">
        <v>1</v>
      </c>
      <c r="G35" s="92"/>
      <c r="H35" s="89">
        <v>1</v>
      </c>
      <c r="I35" s="90">
        <v>1</v>
      </c>
      <c r="J35" s="91"/>
      <c r="K35" s="88"/>
      <c r="L35" s="89"/>
      <c r="M35" s="90"/>
      <c r="N35" s="91"/>
      <c r="O35" s="70"/>
      <c r="P35" s="88"/>
      <c r="Q35" s="89"/>
      <c r="R35" s="90">
        <v>1</v>
      </c>
      <c r="S35" s="91"/>
      <c r="T35" s="92"/>
      <c r="U35" s="89"/>
      <c r="V35" s="90"/>
      <c r="W35" s="91"/>
      <c r="X35" s="88"/>
      <c r="Y35" s="89"/>
      <c r="Z35" s="90"/>
      <c r="AA35" s="91"/>
      <c r="AB35" s="270"/>
      <c r="AC35" s="270"/>
      <c r="AD35" s="270"/>
      <c r="AE35" s="270"/>
      <c r="AF35" s="270"/>
      <c r="AG35" s="270"/>
    </row>
    <row r="36" ht="54.950000000000003" customHeight="1">
      <c r="A36" s="58">
        <v>8</v>
      </c>
      <c r="B36" s="59" t="s">
        <v>26</v>
      </c>
      <c r="C36" s="73"/>
      <c r="D36" s="74"/>
      <c r="E36" s="75"/>
      <c r="F36" s="76"/>
      <c r="G36" s="77">
        <v>1</v>
      </c>
      <c r="H36" s="74">
        <v>1</v>
      </c>
      <c r="I36" s="75"/>
      <c r="J36" s="76"/>
      <c r="K36" s="73"/>
      <c r="L36" s="74"/>
      <c r="M36" s="75"/>
      <c r="N36" s="76"/>
      <c r="O36" s="70"/>
      <c r="P36" s="73"/>
      <c r="Q36" s="74">
        <v>1</v>
      </c>
      <c r="R36" s="75"/>
      <c r="S36" s="76"/>
      <c r="T36" s="77"/>
      <c r="U36" s="74">
        <v>2</v>
      </c>
      <c r="V36" s="75"/>
      <c r="W36" s="76"/>
      <c r="X36" s="73"/>
      <c r="Y36" s="74">
        <v>1</v>
      </c>
      <c r="Z36" s="75"/>
      <c r="AA36" s="76"/>
      <c r="AB36" s="270"/>
      <c r="AC36" s="270"/>
      <c r="AD36" s="270"/>
      <c r="AE36" s="270"/>
      <c r="AF36" s="270"/>
      <c r="AG36" s="270"/>
    </row>
    <row r="37" ht="54.950000000000003" customHeight="1">
      <c r="A37" s="58"/>
      <c r="B37" s="59" t="s">
        <v>27</v>
      </c>
      <c r="C37" s="78"/>
      <c r="D37" s="79"/>
      <c r="E37" s="80"/>
      <c r="F37" s="81"/>
      <c r="G37" s="82"/>
      <c r="H37" s="79"/>
      <c r="I37" s="80"/>
      <c r="J37" s="81"/>
      <c r="K37" s="78"/>
      <c r="L37" s="79"/>
      <c r="M37" s="80"/>
      <c r="N37" s="81"/>
      <c r="O37" s="70"/>
      <c r="P37" s="78"/>
      <c r="Q37" s="79"/>
      <c r="R37" s="80"/>
      <c r="S37" s="81"/>
      <c r="T37" s="82"/>
      <c r="U37" s="79">
        <v>2</v>
      </c>
      <c r="V37" s="80"/>
      <c r="W37" s="81"/>
      <c r="X37" s="78">
        <v>1</v>
      </c>
      <c r="Y37" s="79"/>
      <c r="Z37" s="80">
        <v>1</v>
      </c>
      <c r="AA37" s="81"/>
      <c r="AB37" s="270"/>
      <c r="AC37" s="270"/>
      <c r="AD37" s="270"/>
      <c r="AE37" s="270"/>
      <c r="AF37" s="270"/>
      <c r="AG37" s="270"/>
    </row>
    <row r="38" ht="54.950000000000003" customHeight="1">
      <c r="A38" s="58"/>
      <c r="B38" s="59" t="s">
        <v>24</v>
      </c>
      <c r="C38" s="83"/>
      <c r="D38" s="84">
        <v>1</v>
      </c>
      <c r="E38" s="85"/>
      <c r="F38" s="86"/>
      <c r="G38" s="87"/>
      <c r="H38" s="84"/>
      <c r="I38" s="85">
        <v>1</v>
      </c>
      <c r="J38" s="86"/>
      <c r="K38" s="83"/>
      <c r="L38" s="84"/>
      <c r="M38" s="85"/>
      <c r="N38" s="86">
        <v>1</v>
      </c>
      <c r="O38" s="70"/>
      <c r="P38" s="83"/>
      <c r="Q38" s="84"/>
      <c r="R38" s="85"/>
      <c r="S38" s="86"/>
      <c r="T38" s="87"/>
      <c r="U38" s="84"/>
      <c r="V38" s="85"/>
      <c r="W38" s="86"/>
      <c r="X38" s="83"/>
      <c r="Y38" s="84"/>
      <c r="Z38" s="85"/>
      <c r="AA38" s="86"/>
      <c r="AB38" s="270"/>
      <c r="AC38" s="270"/>
      <c r="AD38" s="270"/>
      <c r="AE38" s="270"/>
      <c r="AF38" s="270"/>
      <c r="AG38" s="270"/>
    </row>
    <row r="39" ht="54.950000000000003" customHeight="1">
      <c r="A39" s="58"/>
      <c r="B39" s="59" t="s">
        <v>25</v>
      </c>
      <c r="C39" s="88"/>
      <c r="D39" s="89"/>
      <c r="E39" s="90"/>
      <c r="F39" s="91"/>
      <c r="G39" s="92">
        <v>1</v>
      </c>
      <c r="H39" s="89"/>
      <c r="I39" s="90">
        <v>1</v>
      </c>
      <c r="J39" s="91"/>
      <c r="K39" s="88"/>
      <c r="L39" s="89"/>
      <c r="M39" s="90"/>
      <c r="N39" s="91"/>
      <c r="O39" s="70"/>
      <c r="P39" s="88"/>
      <c r="Q39" s="89"/>
      <c r="R39" s="90"/>
      <c r="S39" s="91"/>
      <c r="T39" s="92"/>
      <c r="U39" s="89">
        <v>1</v>
      </c>
      <c r="V39" s="90"/>
      <c r="W39" s="91"/>
      <c r="X39" s="88"/>
      <c r="Y39" s="89"/>
      <c r="Z39" s="90"/>
      <c r="AA39" s="91"/>
      <c r="AB39" s="270"/>
      <c r="AC39" s="270"/>
      <c r="AD39" s="270"/>
      <c r="AE39" s="270"/>
      <c r="AF39" s="270"/>
      <c r="AG39" s="270"/>
    </row>
    <row r="40" ht="54.950000000000003" hidden="1" customHeight="1" outlineLevel="1">
      <c r="A40" s="58">
        <v>9</v>
      </c>
      <c r="B40" s="59" t="s">
        <v>26</v>
      </c>
      <c r="C40" s="60"/>
      <c r="D40" s="61"/>
      <c r="E40" s="62"/>
      <c r="F40" s="63"/>
      <c r="G40" s="64"/>
      <c r="H40" s="65"/>
      <c r="I40" s="62"/>
      <c r="J40" s="63"/>
      <c r="K40" s="66"/>
      <c r="L40" s="67"/>
      <c r="M40" s="68"/>
      <c r="N40" s="69"/>
      <c r="O40" s="70"/>
      <c r="P40" s="60"/>
      <c r="Q40" s="61"/>
      <c r="R40" s="62"/>
      <c r="S40" s="63"/>
      <c r="T40" s="64"/>
      <c r="U40" s="65"/>
      <c r="V40" s="62"/>
      <c r="W40" s="63"/>
      <c r="X40" s="66"/>
      <c r="Y40" s="67"/>
      <c r="Z40" s="68"/>
      <c r="AA40" s="71"/>
      <c r="AB40" s="270"/>
      <c r="AC40" s="270"/>
      <c r="AD40" s="270"/>
      <c r="AE40" s="270"/>
      <c r="AF40" s="270"/>
      <c r="AG40" s="270"/>
    </row>
    <row r="41" ht="54.950000000000003" hidden="1" customHeight="1" outlineLevel="1">
      <c r="A41" s="93"/>
      <c r="B41" s="94" t="s">
        <v>27</v>
      </c>
      <c r="C41" s="95"/>
      <c r="D41" s="96"/>
      <c r="E41" s="97"/>
      <c r="F41" s="98"/>
      <c r="G41" s="99"/>
      <c r="H41" s="100"/>
      <c r="I41" s="97"/>
      <c r="J41" s="98"/>
      <c r="K41" s="101"/>
      <c r="L41" s="102"/>
      <c r="M41" s="103"/>
      <c r="N41" s="104"/>
      <c r="O41" s="70"/>
      <c r="P41" s="95"/>
      <c r="Q41" s="96"/>
      <c r="R41" s="97"/>
      <c r="S41" s="98"/>
      <c r="T41" s="99"/>
      <c r="U41" s="100"/>
      <c r="V41" s="97"/>
      <c r="W41" s="98"/>
      <c r="X41" s="101"/>
      <c r="Y41" s="102"/>
      <c r="Z41" s="103"/>
      <c r="AA41" s="105"/>
      <c r="AB41" s="270"/>
      <c r="AC41" s="270"/>
      <c r="AD41" s="270"/>
      <c r="AE41" s="270"/>
      <c r="AF41" s="270"/>
      <c r="AG41" s="270"/>
    </row>
    <row r="42" s="1" customFormat="1" ht="30" customHeight="1" collapsed="1">
      <c r="A42" s="106"/>
      <c r="B42" s="106"/>
      <c r="C42" s="107"/>
      <c r="D42" s="107"/>
      <c r="E42" s="107"/>
      <c r="F42" s="107"/>
      <c r="G42" s="107"/>
      <c r="H42" s="107"/>
      <c r="I42" s="107"/>
      <c r="J42" s="107"/>
      <c r="K42" s="107"/>
      <c r="L42" s="107"/>
      <c r="M42" s="107"/>
      <c r="N42" s="107"/>
      <c r="O42" s="70"/>
      <c r="P42" s="107"/>
      <c r="Q42" s="107"/>
      <c r="R42" s="107"/>
      <c r="S42" s="107"/>
      <c r="T42" s="107"/>
      <c r="U42" s="107"/>
      <c r="V42" s="107"/>
      <c r="W42" s="107"/>
      <c r="X42" s="107"/>
      <c r="Y42" s="107"/>
      <c r="Z42" s="107"/>
      <c r="AA42" s="107"/>
      <c r="AB42" s="72"/>
      <c r="AC42" s="72"/>
      <c r="AD42" s="72"/>
      <c r="AE42" s="72"/>
      <c r="AF42" s="72"/>
      <c r="AG42" s="72"/>
    </row>
    <row r="43" s="1" customFormat="1" ht="30" hidden="1" customHeight="1" outlineLevel="1">
      <c r="A43" s="23"/>
      <c r="B43" s="14"/>
      <c r="C43" s="108"/>
      <c r="D43" s="108"/>
      <c r="E43" s="108"/>
      <c r="F43" s="108"/>
      <c r="G43" s="108"/>
      <c r="H43" s="108"/>
      <c r="I43" s="108"/>
      <c r="J43" s="108"/>
      <c r="K43" s="108"/>
      <c r="L43" s="108"/>
      <c r="M43" s="108"/>
      <c r="N43" s="108"/>
      <c r="O43" s="108"/>
      <c r="P43" s="108"/>
      <c r="Q43" s="108"/>
      <c r="R43" s="108"/>
      <c r="S43" s="108"/>
      <c r="T43" s="108"/>
      <c r="U43" s="108"/>
      <c r="V43" s="108"/>
      <c r="W43" s="108"/>
      <c r="X43" s="108"/>
      <c r="Y43" s="108"/>
      <c r="Z43" s="108"/>
      <c r="AA43" s="109"/>
    </row>
    <row r="44" ht="32.25" customHeight="1" collapsed="1">
      <c r="A44" s="13"/>
      <c r="B44" s="14"/>
      <c r="C44" s="24" t="str">
        <f t="shared" ref="C44:C45" si="57">C7</f>
        <v xml:space="preserve">Depuis 'Annemasse - Genève'</v>
      </c>
      <c r="D44" s="25"/>
      <c r="E44" s="25"/>
      <c r="F44" s="25"/>
      <c r="G44" s="25"/>
      <c r="H44" s="25"/>
      <c r="I44" s="25"/>
      <c r="J44" s="25"/>
      <c r="K44" s="25"/>
      <c r="L44" s="25"/>
      <c r="M44" s="25"/>
      <c r="N44" s="25"/>
      <c r="O44" s="384"/>
      <c r="P44" s="24" t="str">
        <f t="shared" ref="P44:P45" si="58">P7</f>
        <v xml:space="preserve">Depuis 'Carrefour - Bersat'</v>
      </c>
      <c r="Q44" s="25"/>
      <c r="R44" s="25"/>
      <c r="S44" s="25"/>
      <c r="T44" s="25"/>
      <c r="U44" s="25"/>
      <c r="V44" s="25"/>
      <c r="W44" s="25"/>
      <c r="X44" s="25"/>
      <c r="Y44" s="25"/>
      <c r="Z44" s="25"/>
      <c r="AA44" s="27"/>
      <c r="AB44" s="13"/>
      <c r="AC44" s="14"/>
      <c r="AD44" s="278" t="s">
        <v>31</v>
      </c>
      <c r="AE44" s="125" t="s">
        <v>32</v>
      </c>
      <c r="AF44" s="125" t="s">
        <v>33</v>
      </c>
      <c r="AG44" s="125" t="s">
        <v>34</v>
      </c>
      <c r="AH44" s="125" t="s">
        <v>58</v>
      </c>
      <c r="AI44" s="126" t="s">
        <v>38</v>
      </c>
      <c r="AJ44" s="127"/>
      <c r="AK44" s="128"/>
    </row>
    <row r="45" ht="22.699999999999999" customHeight="1">
      <c r="A45" s="13"/>
      <c r="B45" s="14"/>
      <c r="C45" s="29" t="str">
        <f t="shared" si="57"/>
        <v xml:space="preserve">vers 'Carrefour - Bersat'</v>
      </c>
      <c r="D45" s="30"/>
      <c r="E45" s="30"/>
      <c r="F45" s="30"/>
      <c r="G45" s="29" t="str">
        <f>G8</f>
        <v xml:space="preserve">vers 'Pers-Jussy'</v>
      </c>
      <c r="H45" s="30"/>
      <c r="I45" s="30"/>
      <c r="J45" s="30"/>
      <c r="K45" s="29" t="str">
        <f>K8</f>
        <v xml:space="preserve">vers 'Esery - Méran'</v>
      </c>
      <c r="L45" s="30"/>
      <c r="M45" s="30"/>
      <c r="N45" s="30"/>
      <c r="O45" s="31"/>
      <c r="P45" s="29" t="str">
        <f t="shared" si="58"/>
        <v xml:space="preserve">vers 'Pers-Jussy'</v>
      </c>
      <c r="Q45" s="30"/>
      <c r="R45" s="30"/>
      <c r="S45" s="30"/>
      <c r="T45" s="29" t="str">
        <f>T8</f>
        <v xml:space="preserve">vers 'Esery - Méran'</v>
      </c>
      <c r="U45" s="30"/>
      <c r="V45" s="30"/>
      <c r="W45" s="30"/>
      <c r="X45" s="29" t="str">
        <f>X8</f>
        <v xml:space="preserve">vers 'Annemasse - Genève'</v>
      </c>
      <c r="Y45" s="30"/>
      <c r="Z45" s="30"/>
      <c r="AA45" s="32"/>
      <c r="AB45" s="13"/>
      <c r="AC45" s="14"/>
      <c r="AD45" s="281"/>
      <c r="AE45" s="135"/>
      <c r="AF45" s="135"/>
      <c r="AG45" s="135"/>
      <c r="AH45" s="135"/>
      <c r="AI45" s="136"/>
      <c r="AJ45" s="137"/>
      <c r="AK45" s="138"/>
    </row>
    <row r="46" ht="18.600000000000001" customHeight="1">
      <c r="A46" s="13"/>
      <c r="B46" s="14"/>
      <c r="C46" s="385" t="s">
        <v>18</v>
      </c>
      <c r="D46" s="386"/>
      <c r="E46" s="387" t="s">
        <v>19</v>
      </c>
      <c r="F46" s="388"/>
      <c r="G46" s="388" t="s">
        <v>18</v>
      </c>
      <c r="H46" s="385"/>
      <c r="I46" s="387" t="s">
        <v>19</v>
      </c>
      <c r="J46" s="388"/>
      <c r="K46" s="388" t="s">
        <v>18</v>
      </c>
      <c r="L46" s="385"/>
      <c r="M46" s="387" t="s">
        <v>19</v>
      </c>
      <c r="N46" s="388"/>
      <c r="O46" s="388"/>
      <c r="P46" s="388" t="s">
        <v>18</v>
      </c>
      <c r="Q46" s="385"/>
      <c r="R46" s="387" t="s">
        <v>19</v>
      </c>
      <c r="S46" s="388"/>
      <c r="T46" s="388" t="s">
        <v>18</v>
      </c>
      <c r="U46" s="385"/>
      <c r="V46" s="387" t="s">
        <v>19</v>
      </c>
      <c r="W46" s="388"/>
      <c r="X46" s="388" t="s">
        <v>18</v>
      </c>
      <c r="Y46" s="385"/>
      <c r="Z46" s="386" t="s">
        <v>19</v>
      </c>
      <c r="AA46" s="387"/>
      <c r="AB46" s="389"/>
      <c r="AC46" s="14"/>
      <c r="AD46" s="281"/>
      <c r="AE46" s="135"/>
      <c r="AF46" s="135"/>
      <c r="AG46" s="135"/>
      <c r="AH46" s="135"/>
      <c r="AI46" s="136"/>
      <c r="AJ46" s="137"/>
      <c r="AK46" s="138"/>
    </row>
    <row r="47" ht="21">
      <c r="A47" s="286" t="s">
        <v>39</v>
      </c>
      <c r="B47" s="287"/>
      <c r="C47" s="45" t="s">
        <v>22</v>
      </c>
      <c r="D47" s="50" t="s">
        <v>23</v>
      </c>
      <c r="E47" s="47" t="s">
        <v>22</v>
      </c>
      <c r="F47" s="390" t="s">
        <v>23</v>
      </c>
      <c r="G47" s="45" t="s">
        <v>22</v>
      </c>
      <c r="H47" s="50" t="s">
        <v>23</v>
      </c>
      <c r="I47" s="47" t="s">
        <v>22</v>
      </c>
      <c r="J47" s="390" t="s">
        <v>23</v>
      </c>
      <c r="K47" s="45" t="s">
        <v>22</v>
      </c>
      <c r="L47" s="50" t="s">
        <v>23</v>
      </c>
      <c r="M47" s="47" t="s">
        <v>22</v>
      </c>
      <c r="N47" s="390" t="s">
        <v>23</v>
      </c>
      <c r="O47" s="288"/>
      <c r="P47" s="45" t="s">
        <v>22</v>
      </c>
      <c r="Q47" s="50" t="s">
        <v>23</v>
      </c>
      <c r="R47" s="47" t="s">
        <v>22</v>
      </c>
      <c r="S47" s="390" t="s">
        <v>23</v>
      </c>
      <c r="T47" s="45" t="s">
        <v>22</v>
      </c>
      <c r="U47" s="50" t="s">
        <v>23</v>
      </c>
      <c r="V47" s="47" t="s">
        <v>22</v>
      </c>
      <c r="W47" s="390" t="s">
        <v>23</v>
      </c>
      <c r="X47" s="45" t="s">
        <v>22</v>
      </c>
      <c r="Y47" s="50" t="s">
        <v>23</v>
      </c>
      <c r="Z47" s="47" t="s">
        <v>22</v>
      </c>
      <c r="AA47" s="390" t="s">
        <v>23</v>
      </c>
      <c r="AB47" s="289" t="s">
        <v>39</v>
      </c>
      <c r="AC47" s="290"/>
      <c r="AD47" s="281"/>
      <c r="AE47" s="154"/>
      <c r="AF47" s="154"/>
      <c r="AG47" s="154"/>
      <c r="AH47" s="154"/>
      <c r="AI47" s="155"/>
      <c r="AJ47" s="156"/>
      <c r="AK47" s="157"/>
    </row>
    <row r="48" ht="54.950000000000003" customHeight="1">
      <c r="A48" s="293" t="s">
        <v>40</v>
      </c>
      <c r="B48" s="294"/>
      <c r="C48" s="391">
        <f t="shared" ref="C48:AA48" si="59">SUM(C11:C14)</f>
        <v>0</v>
      </c>
      <c r="D48" s="392">
        <f t="shared" si="59"/>
        <v>0</v>
      </c>
      <c r="E48" s="393">
        <f t="shared" si="59"/>
        <v>0</v>
      </c>
      <c r="F48" s="394">
        <f t="shared" si="59"/>
        <v>0</v>
      </c>
      <c r="G48" s="391">
        <f t="shared" si="59"/>
        <v>0</v>
      </c>
      <c r="H48" s="392">
        <f t="shared" si="59"/>
        <v>1</v>
      </c>
      <c r="I48" s="393">
        <f t="shared" si="59"/>
        <v>3</v>
      </c>
      <c r="J48" s="394">
        <f t="shared" si="59"/>
        <v>1</v>
      </c>
      <c r="K48" s="391">
        <f t="shared" si="59"/>
        <v>1</v>
      </c>
      <c r="L48" s="392">
        <f t="shared" si="59"/>
        <v>0</v>
      </c>
      <c r="M48" s="393">
        <f t="shared" si="59"/>
        <v>1</v>
      </c>
      <c r="N48" s="394">
        <f t="shared" si="59"/>
        <v>0</v>
      </c>
      <c r="O48" s="395"/>
      <c r="P48" s="391">
        <f t="shared" si="59"/>
        <v>2</v>
      </c>
      <c r="Q48" s="392">
        <f t="shared" si="59"/>
        <v>0</v>
      </c>
      <c r="R48" s="393">
        <f t="shared" si="59"/>
        <v>1</v>
      </c>
      <c r="S48" s="394">
        <f t="shared" si="59"/>
        <v>0</v>
      </c>
      <c r="T48" s="391">
        <f t="shared" si="59"/>
        <v>0</v>
      </c>
      <c r="U48" s="392">
        <f t="shared" si="59"/>
        <v>1</v>
      </c>
      <c r="V48" s="393">
        <f t="shared" si="59"/>
        <v>0</v>
      </c>
      <c r="W48" s="394">
        <f t="shared" si="59"/>
        <v>1</v>
      </c>
      <c r="X48" s="391">
        <f t="shared" si="59"/>
        <v>0</v>
      </c>
      <c r="Y48" s="392">
        <f t="shared" si="59"/>
        <v>1</v>
      </c>
      <c r="Z48" s="393">
        <f t="shared" si="59"/>
        <v>0</v>
      </c>
      <c r="AA48" s="394">
        <f t="shared" si="59"/>
        <v>0</v>
      </c>
      <c r="AB48" s="396" t="s">
        <v>40</v>
      </c>
      <c r="AC48" s="397"/>
      <c r="AD48" s="398">
        <f t="shared" ref="AD48:AD53" si="60">SUM(C48:AA48)+SUM(C60:AA60)</f>
        <v>25</v>
      </c>
      <c r="AE48" s="169">
        <f t="shared" ref="AE48:AE54" si="61">IF(AD48=0,0,AE60/AD48)</f>
        <v>0.56000000000000005</v>
      </c>
      <c r="AF48" s="169">
        <f t="shared" ref="AF48:AF54" si="62">IF(AD48=0,0,AF60/AD48)</f>
        <v>0.40000000000000002</v>
      </c>
      <c r="AG48" s="169">
        <f t="shared" ref="AG48:AG54" si="63">IF(AF60=0,0,AG60/AF60)</f>
        <v>0.80000000000000004</v>
      </c>
      <c r="AH48" s="169">
        <f t="shared" ref="AH48:AH54" si="64">IF(AD48=0,0,AH60/AD48)</f>
        <v>0.44</v>
      </c>
      <c r="AI48" s="399"/>
      <c r="AJ48" s="400"/>
      <c r="AK48" s="401"/>
    </row>
    <row r="49" ht="54.950000000000003" customHeight="1">
      <c r="A49" s="300" t="s">
        <v>41</v>
      </c>
      <c r="B49" s="301"/>
      <c r="C49" s="402">
        <f t="shared" ref="C49:AA49" si="65">SUM(C13:C16)</f>
        <v>0</v>
      </c>
      <c r="D49" s="403">
        <f t="shared" si="65"/>
        <v>0</v>
      </c>
      <c r="E49" s="404">
        <f t="shared" si="65"/>
        <v>0</v>
      </c>
      <c r="F49" s="405">
        <f t="shared" si="65"/>
        <v>0</v>
      </c>
      <c r="G49" s="402">
        <f t="shared" si="65"/>
        <v>0</v>
      </c>
      <c r="H49" s="403">
        <f t="shared" si="65"/>
        <v>0</v>
      </c>
      <c r="I49" s="404">
        <f t="shared" si="65"/>
        <v>2</v>
      </c>
      <c r="J49" s="405">
        <f t="shared" si="65"/>
        <v>1</v>
      </c>
      <c r="K49" s="402">
        <f t="shared" si="65"/>
        <v>0</v>
      </c>
      <c r="L49" s="403">
        <f t="shared" si="65"/>
        <v>0</v>
      </c>
      <c r="M49" s="404">
        <f t="shared" si="65"/>
        <v>0</v>
      </c>
      <c r="N49" s="405">
        <f t="shared" si="65"/>
        <v>0</v>
      </c>
      <c r="O49" s="406"/>
      <c r="P49" s="402">
        <f t="shared" si="65"/>
        <v>0</v>
      </c>
      <c r="Q49" s="403">
        <f t="shared" si="65"/>
        <v>0</v>
      </c>
      <c r="R49" s="404">
        <f t="shared" si="65"/>
        <v>0</v>
      </c>
      <c r="S49" s="405">
        <f t="shared" si="65"/>
        <v>0</v>
      </c>
      <c r="T49" s="402">
        <f t="shared" si="65"/>
        <v>0</v>
      </c>
      <c r="U49" s="403">
        <f t="shared" si="65"/>
        <v>1</v>
      </c>
      <c r="V49" s="404">
        <f t="shared" si="65"/>
        <v>0</v>
      </c>
      <c r="W49" s="405">
        <f t="shared" si="65"/>
        <v>1</v>
      </c>
      <c r="X49" s="402">
        <f t="shared" si="65"/>
        <v>1</v>
      </c>
      <c r="Y49" s="403">
        <f t="shared" si="65"/>
        <v>1</v>
      </c>
      <c r="Z49" s="404">
        <f t="shared" si="65"/>
        <v>0</v>
      </c>
      <c r="AA49" s="405">
        <f t="shared" si="65"/>
        <v>1</v>
      </c>
      <c r="AB49" s="407" t="s">
        <v>41</v>
      </c>
      <c r="AC49" s="408"/>
      <c r="AD49" s="409">
        <f t="shared" si="60"/>
        <v>27</v>
      </c>
      <c r="AE49" s="184">
        <f t="shared" si="61"/>
        <v>0.48148148148148145</v>
      </c>
      <c r="AF49" s="184">
        <f t="shared" si="62"/>
        <v>0.44444444444444442</v>
      </c>
      <c r="AG49" s="184">
        <f t="shared" si="63"/>
        <v>0.58333333333333337</v>
      </c>
      <c r="AH49" s="184">
        <f t="shared" si="64"/>
        <v>0.59259259259259256</v>
      </c>
      <c r="AI49" s="410"/>
      <c r="AJ49" s="411"/>
      <c r="AK49" s="412"/>
    </row>
    <row r="50" ht="54.950000000000003" customHeight="1">
      <c r="A50" s="300" t="s">
        <v>42</v>
      </c>
      <c r="B50" s="301"/>
      <c r="C50" s="402">
        <f t="shared" ref="C50:AA50" si="66">SUM(C15:C18)</f>
        <v>0</v>
      </c>
      <c r="D50" s="403">
        <f t="shared" si="66"/>
        <v>0</v>
      </c>
      <c r="E50" s="404">
        <f t="shared" si="66"/>
        <v>0</v>
      </c>
      <c r="F50" s="405">
        <f t="shared" si="66"/>
        <v>0</v>
      </c>
      <c r="G50" s="402">
        <f t="shared" si="66"/>
        <v>0</v>
      </c>
      <c r="H50" s="403">
        <f t="shared" si="66"/>
        <v>0</v>
      </c>
      <c r="I50" s="404">
        <f t="shared" si="66"/>
        <v>1</v>
      </c>
      <c r="J50" s="405">
        <f t="shared" si="66"/>
        <v>0</v>
      </c>
      <c r="K50" s="402">
        <f t="shared" si="66"/>
        <v>0</v>
      </c>
      <c r="L50" s="403">
        <f t="shared" si="66"/>
        <v>0</v>
      </c>
      <c r="M50" s="404">
        <f t="shared" si="66"/>
        <v>1</v>
      </c>
      <c r="N50" s="405">
        <f t="shared" si="66"/>
        <v>0</v>
      </c>
      <c r="O50" s="406"/>
      <c r="P50" s="402">
        <f t="shared" si="66"/>
        <v>0</v>
      </c>
      <c r="Q50" s="403">
        <f t="shared" si="66"/>
        <v>1</v>
      </c>
      <c r="R50" s="404">
        <f t="shared" si="66"/>
        <v>1</v>
      </c>
      <c r="S50" s="405">
        <f t="shared" si="66"/>
        <v>0</v>
      </c>
      <c r="T50" s="402">
        <f t="shared" si="66"/>
        <v>0</v>
      </c>
      <c r="U50" s="403">
        <f t="shared" si="66"/>
        <v>2</v>
      </c>
      <c r="V50" s="404">
        <f t="shared" si="66"/>
        <v>0</v>
      </c>
      <c r="W50" s="405">
        <f t="shared" si="66"/>
        <v>0</v>
      </c>
      <c r="X50" s="402">
        <f t="shared" si="66"/>
        <v>1</v>
      </c>
      <c r="Y50" s="403">
        <f t="shared" si="66"/>
        <v>0</v>
      </c>
      <c r="Z50" s="404">
        <f t="shared" si="66"/>
        <v>0</v>
      </c>
      <c r="AA50" s="405">
        <f t="shared" si="66"/>
        <v>1</v>
      </c>
      <c r="AB50" s="407" t="s">
        <v>42</v>
      </c>
      <c r="AC50" s="408"/>
      <c r="AD50" s="409">
        <f t="shared" si="60"/>
        <v>26</v>
      </c>
      <c r="AE50" s="184">
        <f t="shared" si="61"/>
        <v>0.42307692307692307</v>
      </c>
      <c r="AF50" s="184">
        <f t="shared" si="62"/>
        <v>0.34615384615384615</v>
      </c>
      <c r="AG50" s="184">
        <f t="shared" si="63"/>
        <v>0.66666666666666663</v>
      </c>
      <c r="AH50" s="184">
        <f t="shared" si="64"/>
        <v>0.34615384615384615</v>
      </c>
      <c r="AI50" s="410"/>
      <c r="AJ50" s="411"/>
      <c r="AK50" s="412"/>
    </row>
    <row r="51" ht="54.950000000000003" customHeight="1">
      <c r="A51" s="300" t="s">
        <v>43</v>
      </c>
      <c r="B51" s="301"/>
      <c r="C51" s="402">
        <f t="shared" ref="C51:AA51" si="67">SUM(C17:C20)</f>
        <v>0</v>
      </c>
      <c r="D51" s="403">
        <f t="shared" si="67"/>
        <v>0</v>
      </c>
      <c r="E51" s="404">
        <f t="shared" si="67"/>
        <v>0</v>
      </c>
      <c r="F51" s="405">
        <f t="shared" si="67"/>
        <v>0</v>
      </c>
      <c r="G51" s="402">
        <f t="shared" si="67"/>
        <v>0</v>
      </c>
      <c r="H51" s="403">
        <f t="shared" si="67"/>
        <v>0</v>
      </c>
      <c r="I51" s="404">
        <f t="shared" si="67"/>
        <v>0</v>
      </c>
      <c r="J51" s="405">
        <f t="shared" si="67"/>
        <v>0</v>
      </c>
      <c r="K51" s="402">
        <f t="shared" si="67"/>
        <v>0</v>
      </c>
      <c r="L51" s="403">
        <f t="shared" si="67"/>
        <v>0</v>
      </c>
      <c r="M51" s="404">
        <f t="shared" si="67"/>
        <v>1</v>
      </c>
      <c r="N51" s="405">
        <f t="shared" si="67"/>
        <v>0</v>
      </c>
      <c r="O51" s="406"/>
      <c r="P51" s="402">
        <f t="shared" si="67"/>
        <v>0</v>
      </c>
      <c r="Q51" s="403">
        <f t="shared" si="67"/>
        <v>1</v>
      </c>
      <c r="R51" s="404">
        <f t="shared" si="67"/>
        <v>1</v>
      </c>
      <c r="S51" s="405">
        <f t="shared" si="67"/>
        <v>0</v>
      </c>
      <c r="T51" s="402">
        <f t="shared" si="67"/>
        <v>0</v>
      </c>
      <c r="U51" s="403">
        <f t="shared" si="67"/>
        <v>2</v>
      </c>
      <c r="V51" s="404">
        <f t="shared" si="67"/>
        <v>0</v>
      </c>
      <c r="W51" s="405">
        <f t="shared" si="67"/>
        <v>0</v>
      </c>
      <c r="X51" s="402">
        <f t="shared" si="67"/>
        <v>0</v>
      </c>
      <c r="Y51" s="403">
        <f t="shared" si="67"/>
        <v>0</v>
      </c>
      <c r="Z51" s="404">
        <f t="shared" si="67"/>
        <v>1</v>
      </c>
      <c r="AA51" s="405">
        <f t="shared" si="67"/>
        <v>0</v>
      </c>
      <c r="AB51" s="407" t="s">
        <v>43</v>
      </c>
      <c r="AC51" s="408"/>
      <c r="AD51" s="409">
        <f t="shared" si="60"/>
        <v>22</v>
      </c>
      <c r="AE51" s="184">
        <f t="shared" si="61"/>
        <v>0.40909090909090912</v>
      </c>
      <c r="AF51" s="184">
        <f t="shared" si="62"/>
        <v>0.31818181818181818</v>
      </c>
      <c r="AG51" s="184">
        <f t="shared" si="63"/>
        <v>0.8571428571428571</v>
      </c>
      <c r="AH51" s="184">
        <f t="shared" si="64"/>
        <v>0.22727272727272727</v>
      </c>
      <c r="AI51" s="410"/>
      <c r="AJ51" s="411"/>
      <c r="AK51" s="412"/>
    </row>
    <row r="52" ht="54.950000000000003" customHeight="1">
      <c r="A52" s="307" t="s">
        <v>44</v>
      </c>
      <c r="B52" s="308"/>
      <c r="C52" s="413">
        <f t="shared" ref="C52:AA52" si="68">SUM(C19:C22)</f>
        <v>0</v>
      </c>
      <c r="D52" s="414">
        <f t="shared" si="68"/>
        <v>0</v>
      </c>
      <c r="E52" s="415">
        <f t="shared" si="68"/>
        <v>0</v>
      </c>
      <c r="F52" s="416">
        <f t="shared" si="68"/>
        <v>0</v>
      </c>
      <c r="G52" s="413">
        <f t="shared" si="68"/>
        <v>0</v>
      </c>
      <c r="H52" s="414">
        <f t="shared" si="68"/>
        <v>0</v>
      </c>
      <c r="I52" s="415">
        <f t="shared" si="68"/>
        <v>0</v>
      </c>
      <c r="J52" s="416">
        <f t="shared" si="68"/>
        <v>0</v>
      </c>
      <c r="K52" s="413">
        <f t="shared" si="68"/>
        <v>0</v>
      </c>
      <c r="L52" s="414">
        <f t="shared" si="68"/>
        <v>0</v>
      </c>
      <c r="M52" s="415">
        <f t="shared" si="68"/>
        <v>0</v>
      </c>
      <c r="N52" s="416">
        <f t="shared" si="68"/>
        <v>0</v>
      </c>
      <c r="O52" s="417"/>
      <c r="P52" s="413">
        <f t="shared" si="68"/>
        <v>0</v>
      </c>
      <c r="Q52" s="414">
        <f t="shared" si="68"/>
        <v>0</v>
      </c>
      <c r="R52" s="415">
        <f t="shared" si="68"/>
        <v>0</v>
      </c>
      <c r="S52" s="416">
        <f t="shared" si="68"/>
        <v>0</v>
      </c>
      <c r="T52" s="413">
        <f t="shared" si="68"/>
        <v>0</v>
      </c>
      <c r="U52" s="414">
        <f t="shared" si="68"/>
        <v>0</v>
      </c>
      <c r="V52" s="415">
        <f t="shared" si="68"/>
        <v>0</v>
      </c>
      <c r="W52" s="416">
        <f t="shared" si="68"/>
        <v>0</v>
      </c>
      <c r="X52" s="413">
        <f t="shared" si="68"/>
        <v>0</v>
      </c>
      <c r="Y52" s="414">
        <f t="shared" si="68"/>
        <v>0</v>
      </c>
      <c r="Z52" s="415">
        <f t="shared" si="68"/>
        <v>1</v>
      </c>
      <c r="AA52" s="416">
        <f t="shared" si="68"/>
        <v>0</v>
      </c>
      <c r="AB52" s="418" t="s">
        <v>44</v>
      </c>
      <c r="AC52" s="419"/>
      <c r="AD52" s="420">
        <f t="shared" si="60"/>
        <v>7</v>
      </c>
      <c r="AE52" s="199">
        <f t="shared" si="61"/>
        <v>0.5714285714285714</v>
      </c>
      <c r="AF52" s="199">
        <f t="shared" si="62"/>
        <v>0.5714285714285714</v>
      </c>
      <c r="AG52" s="199">
        <f t="shared" si="63"/>
        <v>0.75</v>
      </c>
      <c r="AH52" s="199">
        <f t="shared" si="64"/>
        <v>0.2857142857142857</v>
      </c>
      <c r="AI52" s="421"/>
      <c r="AJ52" s="422"/>
      <c r="AK52" s="423"/>
    </row>
    <row r="53" ht="54.950000000000003" customHeight="1">
      <c r="A53" s="319" t="s">
        <v>31</v>
      </c>
      <c r="B53" s="320"/>
      <c r="C53" s="424">
        <f t="shared" ref="C53:AA53" si="69">SUM(C11:C22)</f>
        <v>0</v>
      </c>
      <c r="D53" s="425">
        <f t="shared" si="69"/>
        <v>0</v>
      </c>
      <c r="E53" s="426">
        <f t="shared" si="69"/>
        <v>0</v>
      </c>
      <c r="F53" s="427">
        <f t="shared" si="69"/>
        <v>0</v>
      </c>
      <c r="G53" s="424">
        <f t="shared" si="69"/>
        <v>0</v>
      </c>
      <c r="H53" s="425">
        <f t="shared" si="69"/>
        <v>1</v>
      </c>
      <c r="I53" s="426">
        <f t="shared" si="69"/>
        <v>4</v>
      </c>
      <c r="J53" s="427">
        <f t="shared" si="69"/>
        <v>1</v>
      </c>
      <c r="K53" s="424">
        <f t="shared" si="69"/>
        <v>1</v>
      </c>
      <c r="L53" s="425">
        <f t="shared" si="69"/>
        <v>0</v>
      </c>
      <c r="M53" s="426">
        <f t="shared" si="69"/>
        <v>2</v>
      </c>
      <c r="N53" s="427">
        <f t="shared" si="69"/>
        <v>0</v>
      </c>
      <c r="O53" s="428"/>
      <c r="P53" s="424">
        <f t="shared" si="69"/>
        <v>2</v>
      </c>
      <c r="Q53" s="425">
        <f t="shared" si="69"/>
        <v>1</v>
      </c>
      <c r="R53" s="426">
        <f t="shared" si="69"/>
        <v>2</v>
      </c>
      <c r="S53" s="427">
        <f t="shared" si="69"/>
        <v>0</v>
      </c>
      <c r="T53" s="424">
        <f t="shared" si="69"/>
        <v>0</v>
      </c>
      <c r="U53" s="425">
        <f t="shared" si="69"/>
        <v>3</v>
      </c>
      <c r="V53" s="426">
        <f t="shared" si="69"/>
        <v>0</v>
      </c>
      <c r="W53" s="427">
        <f t="shared" si="69"/>
        <v>1</v>
      </c>
      <c r="X53" s="424">
        <f t="shared" si="69"/>
        <v>1</v>
      </c>
      <c r="Y53" s="425">
        <f t="shared" si="69"/>
        <v>1</v>
      </c>
      <c r="Z53" s="426">
        <f t="shared" si="69"/>
        <v>1</v>
      </c>
      <c r="AA53" s="427">
        <f t="shared" si="69"/>
        <v>1</v>
      </c>
      <c r="AB53" s="429" t="s">
        <v>31</v>
      </c>
      <c r="AC53" s="430"/>
      <c r="AD53" s="431">
        <f t="shared" si="60"/>
        <v>58</v>
      </c>
      <c r="AE53" s="214">
        <f t="shared" si="61"/>
        <v>0.5</v>
      </c>
      <c r="AF53" s="214">
        <f t="shared" si="62"/>
        <v>0.39655172413793105</v>
      </c>
      <c r="AG53" s="214">
        <f t="shared" si="63"/>
        <v>0.73913043478260865</v>
      </c>
      <c r="AH53" s="214">
        <f t="shared" si="64"/>
        <v>0.37931034482758619</v>
      </c>
      <c r="AI53" s="432"/>
      <c r="AJ53" s="433"/>
      <c r="AK53" s="434"/>
    </row>
    <row r="54" ht="54.950000000000003" customHeight="1">
      <c r="A54" s="331" t="str">
        <f>IF($AD$48=MAX($AD$48:$AD$52),A48,IF($AD$49=MAX($AD$48:$AD$52),A49,IF($AD$50=MAX($AD$48:$AD$52),A50,IF($AD$51=MAX($AD$48:$AD$52),A51,A52))))</f>
        <v xml:space="preserve">de 7:00 à 8:00</v>
      </c>
      <c r="B54" s="332"/>
      <c r="C54" s="435">
        <f t="shared" ref="C54:N54" si="70">IF($AD$48=MAX($AD$48:$AD$52),C48,IF($AD$49=MAX($AD$48:$AD$52),C49,IF($AD$50=MAX($AD$48:$AD$52),C50,IF($AD$51=MAX($AD$48:$AD$52),(C51),C52))))</f>
        <v>0</v>
      </c>
      <c r="D54" s="436">
        <f t="shared" si="70"/>
        <v>0</v>
      </c>
      <c r="E54" s="437">
        <f t="shared" si="70"/>
        <v>0</v>
      </c>
      <c r="F54" s="438">
        <f t="shared" si="70"/>
        <v>0</v>
      </c>
      <c r="G54" s="435">
        <f t="shared" si="70"/>
        <v>0</v>
      </c>
      <c r="H54" s="436">
        <f t="shared" si="70"/>
        <v>0</v>
      </c>
      <c r="I54" s="437">
        <f t="shared" si="70"/>
        <v>2</v>
      </c>
      <c r="J54" s="438">
        <f t="shared" si="70"/>
        <v>1</v>
      </c>
      <c r="K54" s="435">
        <f t="shared" si="70"/>
        <v>0</v>
      </c>
      <c r="L54" s="436">
        <f t="shared" si="70"/>
        <v>0</v>
      </c>
      <c r="M54" s="437">
        <f t="shared" si="70"/>
        <v>0</v>
      </c>
      <c r="N54" s="438">
        <f t="shared" si="70"/>
        <v>0</v>
      </c>
      <c r="O54" s="439"/>
      <c r="P54" s="435">
        <f t="shared" ref="P54:AA54" si="71">IF($AD$48=MAX($AD$48:$AD$52),P48,IF($AD$49=MAX($AD$48:$AD$52),P49,IF($AD$50=MAX($AD$48:$AD$52),P50,IF($AD$51=MAX($AD$48:$AD$52),(P51),P52))))</f>
        <v>0</v>
      </c>
      <c r="Q54" s="436">
        <f t="shared" si="71"/>
        <v>0</v>
      </c>
      <c r="R54" s="437">
        <f t="shared" si="71"/>
        <v>0</v>
      </c>
      <c r="S54" s="438">
        <f t="shared" si="71"/>
        <v>0</v>
      </c>
      <c r="T54" s="435">
        <f t="shared" si="71"/>
        <v>0</v>
      </c>
      <c r="U54" s="436">
        <f t="shared" si="71"/>
        <v>1</v>
      </c>
      <c r="V54" s="437">
        <f t="shared" si="71"/>
        <v>0</v>
      </c>
      <c r="W54" s="438">
        <f t="shared" si="71"/>
        <v>1</v>
      </c>
      <c r="X54" s="435">
        <f t="shared" si="71"/>
        <v>1</v>
      </c>
      <c r="Y54" s="436">
        <f t="shared" si="71"/>
        <v>1</v>
      </c>
      <c r="Z54" s="437">
        <f t="shared" si="71"/>
        <v>0</v>
      </c>
      <c r="AA54" s="438">
        <f t="shared" si="71"/>
        <v>1</v>
      </c>
      <c r="AB54" s="440" t="str">
        <f>IF($AD$48=MAX($AD$48:$AD$52),A48,IF($AD$49=MAX($AD$48:$AD$52),A49,IF($AD$50=MAX($AD$48:$AD$52),A50,IF($AD$51=MAX($AD$48:$AD$52),A51,A52))))</f>
        <v xml:space="preserve">de 7:00 à 8:00</v>
      </c>
      <c r="AC54" s="441"/>
      <c r="AD54" s="442">
        <f>IF($AD$48=MAX($AD$48:$AD$52),AD48,IF($AD$49=MAX($AD$48:$AD$52),AD49,IF($AD$50=MAX($AD$48:$AD$52),AD50,IF($AD$51=MAX($AD$48:$AD$52),(AD51),AD52))))</f>
        <v>27</v>
      </c>
      <c r="AE54" s="229">
        <f t="shared" si="61"/>
        <v>0.48148148148148145</v>
      </c>
      <c r="AF54" s="229">
        <f t="shared" si="62"/>
        <v>0.44444444444444442</v>
      </c>
      <c r="AG54" s="229">
        <f t="shared" si="63"/>
        <v>0.58333333333333337</v>
      </c>
      <c r="AH54" s="229">
        <f t="shared" si="64"/>
        <v>0.59259259259259256</v>
      </c>
      <c r="AI54" s="443"/>
      <c r="AJ54" s="444"/>
      <c r="AK54" s="445"/>
    </row>
    <row r="55" ht="12.75" customHeight="1">
      <c r="A55" s="23"/>
      <c r="B55" s="14"/>
      <c r="C55" s="14"/>
      <c r="D55" s="14"/>
      <c r="E55" s="14"/>
      <c r="F55" s="14"/>
      <c r="G55" s="14"/>
      <c r="H55" s="14"/>
      <c r="I55" s="14"/>
      <c r="J55" s="14"/>
      <c r="K55" s="14"/>
      <c r="L55" s="14"/>
      <c r="M55" s="14"/>
      <c r="N55" s="14"/>
      <c r="O55" s="14"/>
      <c r="P55" s="14"/>
      <c r="Q55" s="14"/>
      <c r="R55" s="14"/>
      <c r="S55" s="14"/>
      <c r="T55" s="14"/>
      <c r="U55" s="14"/>
      <c r="V55" s="14"/>
      <c r="W55" s="14"/>
      <c r="X55" s="14"/>
      <c r="Y55" s="14"/>
      <c r="Z55" s="14"/>
      <c r="AA55" s="15"/>
      <c r="AB55" s="357"/>
      <c r="AC55" s="357"/>
      <c r="AD55" s="446"/>
      <c r="AE55" s="447"/>
      <c r="AF55" s="447"/>
      <c r="AG55" s="447"/>
      <c r="AH55" s="447"/>
      <c r="AI55" s="361"/>
      <c r="AJ55" s="361"/>
      <c r="AK55" s="361"/>
    </row>
    <row r="56" ht="32.25" customHeight="1">
      <c r="A56" s="13"/>
      <c r="B56" s="14"/>
      <c r="C56" s="24" t="str">
        <f t="shared" ref="C56:C57" si="72">C26</f>
        <v xml:space="preserve">Depuis 'Pers-Jussy'</v>
      </c>
      <c r="D56" s="25"/>
      <c r="E56" s="25"/>
      <c r="F56" s="25"/>
      <c r="G56" s="25"/>
      <c r="H56" s="25"/>
      <c r="I56" s="25"/>
      <c r="J56" s="25"/>
      <c r="K56" s="25"/>
      <c r="L56" s="25"/>
      <c r="M56" s="25"/>
      <c r="N56" s="25"/>
      <c r="O56" s="384"/>
      <c r="P56" s="24" t="str">
        <f t="shared" ref="P56:P57" si="73">P26</f>
        <v xml:space="preserve">Depuis 'Esery - Méran'</v>
      </c>
      <c r="Q56" s="25"/>
      <c r="R56" s="25"/>
      <c r="S56" s="25"/>
      <c r="T56" s="25"/>
      <c r="U56" s="25"/>
      <c r="V56" s="25"/>
      <c r="W56" s="25"/>
      <c r="X56" s="25"/>
      <c r="Y56" s="25"/>
      <c r="Z56" s="25"/>
      <c r="AA56" s="27"/>
      <c r="AB56" s="357"/>
      <c r="AC56" s="357"/>
      <c r="AD56" s="446"/>
      <c r="AE56" s="125" t="s">
        <v>45</v>
      </c>
      <c r="AF56" s="125" t="s">
        <v>46</v>
      </c>
      <c r="AG56" s="125" t="s">
        <v>47</v>
      </c>
      <c r="AH56" s="125" t="s">
        <v>59</v>
      </c>
      <c r="AI56" s="361"/>
      <c r="AJ56" s="361"/>
      <c r="AK56" s="361"/>
    </row>
    <row r="57" ht="22.699999999999999" customHeight="1">
      <c r="A57" s="13"/>
      <c r="B57" s="14"/>
      <c r="C57" s="29" t="str">
        <f t="shared" si="72"/>
        <v xml:space="preserve">vers 'Esery - Méran'</v>
      </c>
      <c r="D57" s="30"/>
      <c r="E57" s="30"/>
      <c r="F57" s="30"/>
      <c r="G57" s="29" t="str">
        <f>G27</f>
        <v xml:space="preserve">vers 'Annemasse - Genève'</v>
      </c>
      <c r="H57" s="30"/>
      <c r="I57" s="30"/>
      <c r="J57" s="30"/>
      <c r="K57" s="29" t="str">
        <f>K27</f>
        <v xml:space="preserve">vers 'Carrefour - Bersat'</v>
      </c>
      <c r="L57" s="30"/>
      <c r="M57" s="30"/>
      <c r="N57" s="30"/>
      <c r="O57" s="31"/>
      <c r="P57" s="29" t="str">
        <f t="shared" si="73"/>
        <v xml:space="preserve">vers 'Annemasse - Genève'</v>
      </c>
      <c r="Q57" s="30"/>
      <c r="R57" s="30"/>
      <c r="S57" s="30"/>
      <c r="T57" s="29" t="str">
        <f>T27</f>
        <v xml:space="preserve">vers 'Carrefour - Bersat'</v>
      </c>
      <c r="U57" s="30"/>
      <c r="V57" s="30"/>
      <c r="W57" s="30"/>
      <c r="X57" s="29" t="str">
        <f>X27</f>
        <v xml:space="preserve">vers 'Pers-Jussy'</v>
      </c>
      <c r="Y57" s="30"/>
      <c r="Z57" s="30"/>
      <c r="AA57" s="32"/>
      <c r="AB57" s="357"/>
      <c r="AC57" s="357"/>
      <c r="AD57" s="446"/>
      <c r="AE57" s="135"/>
      <c r="AF57" s="135"/>
      <c r="AG57" s="135"/>
      <c r="AH57" s="135"/>
      <c r="AI57" s="361"/>
      <c r="AJ57" s="361"/>
      <c r="AK57" s="361"/>
    </row>
    <row r="58" ht="18.600000000000001" customHeight="1">
      <c r="A58" s="13"/>
      <c r="B58" s="14"/>
      <c r="C58" s="385" t="s">
        <v>18</v>
      </c>
      <c r="D58" s="386"/>
      <c r="E58" s="387" t="s">
        <v>19</v>
      </c>
      <c r="F58" s="388"/>
      <c r="G58" s="388" t="s">
        <v>18</v>
      </c>
      <c r="H58" s="385"/>
      <c r="I58" s="387" t="s">
        <v>19</v>
      </c>
      <c r="J58" s="388"/>
      <c r="K58" s="388" t="s">
        <v>18</v>
      </c>
      <c r="L58" s="385"/>
      <c r="M58" s="387" t="s">
        <v>19</v>
      </c>
      <c r="N58" s="388"/>
      <c r="O58" s="388"/>
      <c r="P58" s="388" t="s">
        <v>18</v>
      </c>
      <c r="Q58" s="385"/>
      <c r="R58" s="387" t="s">
        <v>19</v>
      </c>
      <c r="S58" s="388"/>
      <c r="T58" s="388" t="s">
        <v>18</v>
      </c>
      <c r="U58" s="385"/>
      <c r="V58" s="387" t="s">
        <v>19</v>
      </c>
      <c r="W58" s="388"/>
      <c r="X58" s="388" t="s">
        <v>18</v>
      </c>
      <c r="Y58" s="385"/>
      <c r="Z58" s="386" t="s">
        <v>19</v>
      </c>
      <c r="AA58" s="387"/>
      <c r="AB58" s="357"/>
      <c r="AC58" s="357"/>
      <c r="AD58" s="446"/>
      <c r="AE58" s="135"/>
      <c r="AF58" s="135"/>
      <c r="AG58" s="135"/>
      <c r="AH58" s="135"/>
      <c r="AI58" s="361"/>
      <c r="AJ58" s="361"/>
      <c r="AK58" s="361"/>
    </row>
    <row r="59" ht="21.75" customHeight="1">
      <c r="A59" s="286" t="s">
        <v>39</v>
      </c>
      <c r="B59" s="287"/>
      <c r="C59" s="45" t="s">
        <v>22</v>
      </c>
      <c r="D59" s="50" t="s">
        <v>23</v>
      </c>
      <c r="E59" s="47" t="s">
        <v>22</v>
      </c>
      <c r="F59" s="390" t="s">
        <v>23</v>
      </c>
      <c r="G59" s="45" t="s">
        <v>22</v>
      </c>
      <c r="H59" s="50" t="s">
        <v>23</v>
      </c>
      <c r="I59" s="47" t="s">
        <v>22</v>
      </c>
      <c r="J59" s="390" t="s">
        <v>23</v>
      </c>
      <c r="K59" s="45" t="s">
        <v>22</v>
      </c>
      <c r="L59" s="50" t="s">
        <v>23</v>
      </c>
      <c r="M59" s="47" t="s">
        <v>22</v>
      </c>
      <c r="N59" s="390" t="s">
        <v>23</v>
      </c>
      <c r="O59" s="288"/>
      <c r="P59" s="45" t="s">
        <v>22</v>
      </c>
      <c r="Q59" s="50" t="s">
        <v>23</v>
      </c>
      <c r="R59" s="47" t="s">
        <v>22</v>
      </c>
      <c r="S59" s="390" t="s">
        <v>23</v>
      </c>
      <c r="T59" s="45" t="s">
        <v>22</v>
      </c>
      <c r="U59" s="50" t="s">
        <v>23</v>
      </c>
      <c r="V59" s="47" t="s">
        <v>22</v>
      </c>
      <c r="W59" s="390" t="s">
        <v>23</v>
      </c>
      <c r="X59" s="45" t="s">
        <v>22</v>
      </c>
      <c r="Y59" s="50" t="s">
        <v>23</v>
      </c>
      <c r="Z59" s="47" t="s">
        <v>22</v>
      </c>
      <c r="AA59" s="390" t="s">
        <v>23</v>
      </c>
      <c r="AB59" s="357"/>
      <c r="AC59" s="357"/>
      <c r="AD59" s="446"/>
      <c r="AE59" s="154"/>
      <c r="AF59" s="154"/>
      <c r="AG59" s="154"/>
      <c r="AH59" s="154"/>
      <c r="AI59" s="361"/>
      <c r="AJ59" s="361"/>
      <c r="AK59" s="361"/>
    </row>
    <row r="60" ht="54.950000000000003" customHeight="1">
      <c r="A60" s="293" t="s">
        <v>40</v>
      </c>
      <c r="B60" s="294"/>
      <c r="C60" s="391">
        <f t="shared" ref="C60:AA60" si="74">SUM(C30:C33)</f>
        <v>3</v>
      </c>
      <c r="D60" s="392">
        <f t="shared" si="74"/>
        <v>2</v>
      </c>
      <c r="E60" s="393">
        <f t="shared" si="74"/>
        <v>1</v>
      </c>
      <c r="F60" s="394">
        <f t="shared" si="74"/>
        <v>0</v>
      </c>
      <c r="G60" s="391">
        <f t="shared" si="74"/>
        <v>0</v>
      </c>
      <c r="H60" s="392">
        <f t="shared" si="74"/>
        <v>0</v>
      </c>
      <c r="I60" s="393">
        <f t="shared" si="74"/>
        <v>1</v>
      </c>
      <c r="J60" s="394">
        <f t="shared" si="74"/>
        <v>0</v>
      </c>
      <c r="K60" s="391">
        <f t="shared" si="74"/>
        <v>0</v>
      </c>
      <c r="L60" s="392">
        <f t="shared" si="74"/>
        <v>0</v>
      </c>
      <c r="M60" s="393">
        <f t="shared" si="74"/>
        <v>0</v>
      </c>
      <c r="N60" s="394">
        <f t="shared" si="74"/>
        <v>0</v>
      </c>
      <c r="O60" s="395"/>
      <c r="P60" s="391">
        <f t="shared" si="74"/>
        <v>0</v>
      </c>
      <c r="Q60" s="392">
        <f t="shared" si="74"/>
        <v>0</v>
      </c>
      <c r="R60" s="393">
        <f t="shared" si="74"/>
        <v>0</v>
      </c>
      <c r="S60" s="394">
        <f t="shared" si="74"/>
        <v>0</v>
      </c>
      <c r="T60" s="391">
        <f t="shared" si="74"/>
        <v>0</v>
      </c>
      <c r="U60" s="392">
        <f t="shared" si="74"/>
        <v>1</v>
      </c>
      <c r="V60" s="393">
        <f t="shared" si="74"/>
        <v>0</v>
      </c>
      <c r="W60" s="394">
        <f t="shared" si="74"/>
        <v>0</v>
      </c>
      <c r="X60" s="391">
        <f t="shared" si="74"/>
        <v>0</v>
      </c>
      <c r="Y60" s="392">
        <f t="shared" si="74"/>
        <v>3</v>
      </c>
      <c r="Z60" s="393">
        <f t="shared" si="74"/>
        <v>1</v>
      </c>
      <c r="AA60" s="394">
        <f t="shared" si="74"/>
        <v>0</v>
      </c>
      <c r="AB60" s="357"/>
      <c r="AC60" s="357"/>
      <c r="AD60" s="446"/>
      <c r="AE60" s="239">
        <f t="shared" ref="AE60:AE66" si="75">(C48+E48+G48+I48+K48+M48+P48+R48+T48+V48+X48+Z48+C60+E60+G60+I60+K60+M60+P60+R60+T60+V60+X60+Z60)</f>
        <v>14</v>
      </c>
      <c r="AF60" s="239">
        <f t="shared" ref="AF60:AF66" si="76">(E48+F48+I48+J48+M48+N48+R48+S48+V48+W48+Z48+AA48+E60+F60+I60+J60+M60+N60+R60+S60+V60+W60+Z60+AA60)</f>
        <v>10</v>
      </c>
      <c r="AG60" s="239">
        <f t="shared" ref="AG60:AG66" si="77">(E48+I48+M48+R48+V48+Z48+E60+I60+M60+R60+V60+Z60)</f>
        <v>8</v>
      </c>
      <c r="AH60" s="239">
        <f t="shared" ref="AH60:AH66" si="78">SUM(X48:AA48,C60:F60,X60:AA60)</f>
        <v>11</v>
      </c>
      <c r="AI60" s="361"/>
      <c r="AJ60" s="361"/>
      <c r="AK60" s="361"/>
    </row>
    <row r="61" ht="54.950000000000003" customHeight="1">
      <c r="A61" s="300" t="s">
        <v>41</v>
      </c>
      <c r="B61" s="301"/>
      <c r="C61" s="402">
        <f t="shared" ref="C61:AA61" si="79">SUM(C32:C35)</f>
        <v>4</v>
      </c>
      <c r="D61" s="403">
        <f t="shared" si="79"/>
        <v>2</v>
      </c>
      <c r="E61" s="404">
        <f t="shared" si="79"/>
        <v>1</v>
      </c>
      <c r="F61" s="405">
        <f t="shared" si="79"/>
        <v>2</v>
      </c>
      <c r="G61" s="402">
        <f t="shared" si="79"/>
        <v>1</v>
      </c>
      <c r="H61" s="403">
        <f t="shared" si="79"/>
        <v>1</v>
      </c>
      <c r="I61" s="404">
        <f t="shared" si="79"/>
        <v>2</v>
      </c>
      <c r="J61" s="405">
        <f t="shared" si="79"/>
        <v>0</v>
      </c>
      <c r="K61" s="402">
        <f t="shared" si="79"/>
        <v>0</v>
      </c>
      <c r="L61" s="403">
        <f t="shared" si="79"/>
        <v>0</v>
      </c>
      <c r="M61" s="404">
        <f t="shared" si="79"/>
        <v>0</v>
      </c>
      <c r="N61" s="405">
        <f t="shared" si="79"/>
        <v>0</v>
      </c>
      <c r="O61" s="406"/>
      <c r="P61" s="402">
        <f t="shared" si="79"/>
        <v>0</v>
      </c>
      <c r="Q61" s="403">
        <f t="shared" si="79"/>
        <v>0</v>
      </c>
      <c r="R61" s="404">
        <f t="shared" si="79"/>
        <v>1</v>
      </c>
      <c r="S61" s="405">
        <f t="shared" si="79"/>
        <v>0</v>
      </c>
      <c r="T61" s="402">
        <f t="shared" si="79"/>
        <v>0</v>
      </c>
      <c r="U61" s="403">
        <f t="shared" si="79"/>
        <v>1</v>
      </c>
      <c r="V61" s="404">
        <f t="shared" si="79"/>
        <v>0</v>
      </c>
      <c r="W61" s="405">
        <f t="shared" si="79"/>
        <v>0</v>
      </c>
      <c r="X61" s="402">
        <f t="shared" si="79"/>
        <v>0</v>
      </c>
      <c r="Y61" s="403">
        <f t="shared" si="79"/>
        <v>3</v>
      </c>
      <c r="Z61" s="404">
        <f t="shared" si="79"/>
        <v>1</v>
      </c>
      <c r="AA61" s="405">
        <f t="shared" si="79"/>
        <v>0</v>
      </c>
      <c r="AB61" s="357"/>
      <c r="AC61" s="357"/>
      <c r="AD61" s="446"/>
      <c r="AE61" s="241">
        <f t="shared" si="75"/>
        <v>13</v>
      </c>
      <c r="AF61" s="241">
        <f t="shared" si="76"/>
        <v>12</v>
      </c>
      <c r="AG61" s="241">
        <f t="shared" si="77"/>
        <v>7</v>
      </c>
      <c r="AH61" s="241">
        <f t="shared" si="78"/>
        <v>16</v>
      </c>
      <c r="AI61" s="361"/>
      <c r="AJ61" s="361"/>
      <c r="AK61" s="361"/>
    </row>
    <row r="62" ht="54.950000000000003" customHeight="1">
      <c r="A62" s="300" t="s">
        <v>42</v>
      </c>
      <c r="B62" s="301"/>
      <c r="C62" s="402">
        <f t="shared" ref="C62:AA62" si="80">SUM(C34:C37)</f>
        <v>1</v>
      </c>
      <c r="D62" s="403">
        <f t="shared" si="80"/>
        <v>1</v>
      </c>
      <c r="E62" s="404">
        <f t="shared" si="80"/>
        <v>0</v>
      </c>
      <c r="F62" s="405">
        <f t="shared" si="80"/>
        <v>2</v>
      </c>
      <c r="G62" s="402">
        <f t="shared" si="80"/>
        <v>2</v>
      </c>
      <c r="H62" s="403">
        <f t="shared" si="80"/>
        <v>2</v>
      </c>
      <c r="I62" s="404">
        <f t="shared" si="80"/>
        <v>1</v>
      </c>
      <c r="J62" s="405">
        <f t="shared" si="80"/>
        <v>0</v>
      </c>
      <c r="K62" s="402">
        <f t="shared" si="80"/>
        <v>0</v>
      </c>
      <c r="L62" s="403">
        <f t="shared" si="80"/>
        <v>0</v>
      </c>
      <c r="M62" s="404">
        <f t="shared" si="80"/>
        <v>0</v>
      </c>
      <c r="N62" s="405">
        <f t="shared" si="80"/>
        <v>0</v>
      </c>
      <c r="O62" s="406"/>
      <c r="P62" s="402">
        <f t="shared" si="80"/>
        <v>0</v>
      </c>
      <c r="Q62" s="403">
        <f t="shared" si="80"/>
        <v>1</v>
      </c>
      <c r="R62" s="404">
        <f t="shared" si="80"/>
        <v>1</v>
      </c>
      <c r="S62" s="405">
        <f t="shared" si="80"/>
        <v>0</v>
      </c>
      <c r="T62" s="402">
        <f t="shared" si="80"/>
        <v>0</v>
      </c>
      <c r="U62" s="403">
        <f t="shared" si="80"/>
        <v>4</v>
      </c>
      <c r="V62" s="404">
        <f t="shared" si="80"/>
        <v>0</v>
      </c>
      <c r="W62" s="405">
        <f t="shared" si="80"/>
        <v>0</v>
      </c>
      <c r="X62" s="402">
        <f t="shared" si="80"/>
        <v>1</v>
      </c>
      <c r="Y62" s="403">
        <f t="shared" si="80"/>
        <v>1</v>
      </c>
      <c r="Z62" s="404">
        <f t="shared" si="80"/>
        <v>1</v>
      </c>
      <c r="AA62" s="405">
        <f t="shared" si="80"/>
        <v>0</v>
      </c>
      <c r="AB62" s="357"/>
      <c r="AC62" s="357"/>
      <c r="AD62" s="446"/>
      <c r="AE62" s="241">
        <f t="shared" si="75"/>
        <v>11</v>
      </c>
      <c r="AF62" s="241">
        <f t="shared" si="76"/>
        <v>9</v>
      </c>
      <c r="AG62" s="241">
        <f t="shared" si="77"/>
        <v>6</v>
      </c>
      <c r="AH62" s="241">
        <f t="shared" si="78"/>
        <v>9</v>
      </c>
      <c r="AI62" s="361"/>
      <c r="AJ62" s="361"/>
      <c r="AK62" s="361"/>
    </row>
    <row r="63" ht="54.950000000000003" customHeight="1">
      <c r="A63" s="300" t="s">
        <v>43</v>
      </c>
      <c r="B63" s="301"/>
      <c r="C63" s="402">
        <f t="shared" ref="C63:AA63" si="81">SUM(C36:C39)</f>
        <v>0</v>
      </c>
      <c r="D63" s="403">
        <f t="shared" si="81"/>
        <v>1</v>
      </c>
      <c r="E63" s="404">
        <f t="shared" si="81"/>
        <v>0</v>
      </c>
      <c r="F63" s="405">
        <f t="shared" si="81"/>
        <v>0</v>
      </c>
      <c r="G63" s="402">
        <f t="shared" si="81"/>
        <v>2</v>
      </c>
      <c r="H63" s="403">
        <f t="shared" si="81"/>
        <v>1</v>
      </c>
      <c r="I63" s="404">
        <f t="shared" si="81"/>
        <v>2</v>
      </c>
      <c r="J63" s="405">
        <f t="shared" si="81"/>
        <v>0</v>
      </c>
      <c r="K63" s="402">
        <f t="shared" si="81"/>
        <v>0</v>
      </c>
      <c r="L63" s="403">
        <f t="shared" si="81"/>
        <v>0</v>
      </c>
      <c r="M63" s="404">
        <f t="shared" si="81"/>
        <v>0</v>
      </c>
      <c r="N63" s="405">
        <f t="shared" si="81"/>
        <v>1</v>
      </c>
      <c r="O63" s="406"/>
      <c r="P63" s="402">
        <f t="shared" si="81"/>
        <v>0</v>
      </c>
      <c r="Q63" s="403">
        <f t="shared" si="81"/>
        <v>1</v>
      </c>
      <c r="R63" s="404">
        <f t="shared" si="81"/>
        <v>0</v>
      </c>
      <c r="S63" s="405">
        <f t="shared" si="81"/>
        <v>0</v>
      </c>
      <c r="T63" s="402">
        <f t="shared" si="81"/>
        <v>0</v>
      </c>
      <c r="U63" s="403">
        <f t="shared" si="81"/>
        <v>5</v>
      </c>
      <c r="V63" s="404">
        <f t="shared" si="81"/>
        <v>0</v>
      </c>
      <c r="W63" s="405">
        <f t="shared" si="81"/>
        <v>0</v>
      </c>
      <c r="X63" s="402">
        <f t="shared" si="81"/>
        <v>1</v>
      </c>
      <c r="Y63" s="403">
        <f t="shared" si="81"/>
        <v>1</v>
      </c>
      <c r="Z63" s="404">
        <f t="shared" si="81"/>
        <v>1</v>
      </c>
      <c r="AA63" s="405">
        <f t="shared" si="81"/>
        <v>0</v>
      </c>
      <c r="AB63" s="357"/>
      <c r="AC63" s="357"/>
      <c r="AD63" s="446"/>
      <c r="AE63" s="241">
        <f t="shared" si="75"/>
        <v>9</v>
      </c>
      <c r="AF63" s="241">
        <f t="shared" si="76"/>
        <v>7</v>
      </c>
      <c r="AG63" s="241">
        <f t="shared" si="77"/>
        <v>6</v>
      </c>
      <c r="AH63" s="241">
        <f t="shared" si="78"/>
        <v>5</v>
      </c>
      <c r="AI63" s="361"/>
      <c r="AJ63" s="361"/>
      <c r="AK63" s="361"/>
    </row>
    <row r="64" ht="54.950000000000003" customHeight="1">
      <c r="A64" s="307" t="s">
        <v>44</v>
      </c>
      <c r="B64" s="308"/>
      <c r="C64" s="413">
        <f t="shared" ref="C64:AA64" si="82">SUM(C38:C41)</f>
        <v>0</v>
      </c>
      <c r="D64" s="414">
        <f t="shared" si="82"/>
        <v>1</v>
      </c>
      <c r="E64" s="415">
        <f t="shared" si="82"/>
        <v>0</v>
      </c>
      <c r="F64" s="416">
        <f t="shared" si="82"/>
        <v>0</v>
      </c>
      <c r="G64" s="413">
        <f t="shared" si="82"/>
        <v>1</v>
      </c>
      <c r="H64" s="414">
        <f t="shared" si="82"/>
        <v>0</v>
      </c>
      <c r="I64" s="415">
        <f t="shared" si="82"/>
        <v>2</v>
      </c>
      <c r="J64" s="416">
        <f t="shared" si="82"/>
        <v>0</v>
      </c>
      <c r="K64" s="413">
        <f t="shared" si="82"/>
        <v>0</v>
      </c>
      <c r="L64" s="414">
        <f t="shared" si="82"/>
        <v>0</v>
      </c>
      <c r="M64" s="415">
        <f t="shared" si="82"/>
        <v>0</v>
      </c>
      <c r="N64" s="416">
        <f t="shared" si="82"/>
        <v>1</v>
      </c>
      <c r="O64" s="417"/>
      <c r="P64" s="413">
        <f t="shared" si="82"/>
        <v>0</v>
      </c>
      <c r="Q64" s="414">
        <f t="shared" si="82"/>
        <v>0</v>
      </c>
      <c r="R64" s="415">
        <f t="shared" si="82"/>
        <v>0</v>
      </c>
      <c r="S64" s="416">
        <f t="shared" si="82"/>
        <v>0</v>
      </c>
      <c r="T64" s="413">
        <f t="shared" si="82"/>
        <v>0</v>
      </c>
      <c r="U64" s="414">
        <f t="shared" si="82"/>
        <v>1</v>
      </c>
      <c r="V64" s="415">
        <f t="shared" si="82"/>
        <v>0</v>
      </c>
      <c r="W64" s="416">
        <f t="shared" si="82"/>
        <v>0</v>
      </c>
      <c r="X64" s="413">
        <f t="shared" si="82"/>
        <v>0</v>
      </c>
      <c r="Y64" s="414">
        <f t="shared" si="82"/>
        <v>0</v>
      </c>
      <c r="Z64" s="415">
        <f t="shared" si="82"/>
        <v>0</v>
      </c>
      <c r="AA64" s="416">
        <f t="shared" si="82"/>
        <v>0</v>
      </c>
      <c r="AB64" s="357"/>
      <c r="AC64" s="357"/>
      <c r="AD64" s="446"/>
      <c r="AE64" s="243">
        <f t="shared" si="75"/>
        <v>4</v>
      </c>
      <c r="AF64" s="243">
        <f t="shared" si="76"/>
        <v>4</v>
      </c>
      <c r="AG64" s="243">
        <f t="shared" si="77"/>
        <v>3</v>
      </c>
      <c r="AH64" s="243">
        <f t="shared" si="78"/>
        <v>2</v>
      </c>
      <c r="AI64" s="361"/>
      <c r="AJ64" s="361"/>
      <c r="AK64" s="361"/>
    </row>
    <row r="65" ht="54.950000000000003" customHeight="1">
      <c r="A65" s="319" t="s">
        <v>31</v>
      </c>
      <c r="B65" s="320"/>
      <c r="C65" s="424">
        <f t="shared" ref="C65:AA65" si="83">SUM(C30:C41)</f>
        <v>4</v>
      </c>
      <c r="D65" s="425">
        <f t="shared" si="83"/>
        <v>4</v>
      </c>
      <c r="E65" s="426">
        <f t="shared" si="83"/>
        <v>1</v>
      </c>
      <c r="F65" s="427">
        <f t="shared" si="83"/>
        <v>2</v>
      </c>
      <c r="G65" s="424">
        <f t="shared" si="83"/>
        <v>3</v>
      </c>
      <c r="H65" s="425">
        <f t="shared" si="83"/>
        <v>2</v>
      </c>
      <c r="I65" s="426">
        <f t="shared" si="83"/>
        <v>4</v>
      </c>
      <c r="J65" s="427">
        <f t="shared" si="83"/>
        <v>0</v>
      </c>
      <c r="K65" s="424">
        <f t="shared" si="83"/>
        <v>0</v>
      </c>
      <c r="L65" s="425">
        <f t="shared" si="83"/>
        <v>0</v>
      </c>
      <c r="M65" s="426">
        <f t="shared" si="83"/>
        <v>0</v>
      </c>
      <c r="N65" s="427">
        <f t="shared" si="83"/>
        <v>1</v>
      </c>
      <c r="O65" s="428"/>
      <c r="P65" s="424">
        <f t="shared" si="83"/>
        <v>0</v>
      </c>
      <c r="Q65" s="425">
        <f t="shared" si="83"/>
        <v>1</v>
      </c>
      <c r="R65" s="426">
        <f t="shared" si="83"/>
        <v>1</v>
      </c>
      <c r="S65" s="427">
        <f t="shared" si="83"/>
        <v>0</v>
      </c>
      <c r="T65" s="424">
        <f t="shared" si="83"/>
        <v>0</v>
      </c>
      <c r="U65" s="425">
        <f t="shared" si="83"/>
        <v>6</v>
      </c>
      <c r="V65" s="426">
        <f t="shared" si="83"/>
        <v>0</v>
      </c>
      <c r="W65" s="427">
        <f t="shared" si="83"/>
        <v>0</v>
      </c>
      <c r="X65" s="424">
        <f t="shared" si="83"/>
        <v>1</v>
      </c>
      <c r="Y65" s="425">
        <f t="shared" si="83"/>
        <v>4</v>
      </c>
      <c r="Z65" s="426">
        <f t="shared" si="83"/>
        <v>2</v>
      </c>
      <c r="AA65" s="427">
        <f t="shared" si="83"/>
        <v>0</v>
      </c>
      <c r="AB65" s="346"/>
      <c r="AC65" s="346"/>
      <c r="AD65" s="346"/>
      <c r="AE65" s="245">
        <f t="shared" si="75"/>
        <v>29</v>
      </c>
      <c r="AF65" s="245">
        <f t="shared" si="76"/>
        <v>23</v>
      </c>
      <c r="AG65" s="245">
        <f t="shared" si="77"/>
        <v>17</v>
      </c>
      <c r="AH65" s="245">
        <f t="shared" si="78"/>
        <v>22</v>
      </c>
      <c r="AI65" s="346"/>
      <c r="AJ65" s="346"/>
      <c r="AK65" s="346"/>
    </row>
    <row r="66" ht="54.950000000000003" customHeight="1">
      <c r="A66" s="331" t="str">
        <f>IF($AD$48=MAX($AD$48:$AD$52),A60,IF($AD$49=MAX($AD$48:$AD$52),A61,IF($AD$50=MAX($AD$48:$AD$52),A62,IF($AD$51=MAX($AD$48:$AD$52),A63,A64))))</f>
        <v xml:space="preserve">de 7:00 à 8:00</v>
      </c>
      <c r="B66" s="332"/>
      <c r="C66" s="435">
        <f t="shared" ref="C66:N66" si="84">IF($AD$48=MAX($AD$48:$AD$52),C60,IF($AD$49=MAX($AD$48:$AD$52),C61,IF($AD$50=MAX($AD$48:$AD$52),C62,IF($AD$51=MAX($AD$48:$AD$52),C63,C64))))</f>
        <v>4</v>
      </c>
      <c r="D66" s="436">
        <f t="shared" si="84"/>
        <v>2</v>
      </c>
      <c r="E66" s="437">
        <f t="shared" si="84"/>
        <v>1</v>
      </c>
      <c r="F66" s="438">
        <f t="shared" si="84"/>
        <v>2</v>
      </c>
      <c r="G66" s="435">
        <f t="shared" si="84"/>
        <v>1</v>
      </c>
      <c r="H66" s="436">
        <f t="shared" si="84"/>
        <v>1</v>
      </c>
      <c r="I66" s="437">
        <f t="shared" si="84"/>
        <v>2</v>
      </c>
      <c r="J66" s="438">
        <f t="shared" si="84"/>
        <v>0</v>
      </c>
      <c r="K66" s="435">
        <f t="shared" si="84"/>
        <v>0</v>
      </c>
      <c r="L66" s="436">
        <f t="shared" si="84"/>
        <v>0</v>
      </c>
      <c r="M66" s="437">
        <f t="shared" si="84"/>
        <v>0</v>
      </c>
      <c r="N66" s="438">
        <f t="shared" si="84"/>
        <v>0</v>
      </c>
      <c r="O66" s="439"/>
      <c r="P66" s="435">
        <f t="shared" ref="P66:AA66" si="85">IF($AD$48=MAX($AD$48:$AD$52),P60,IF($AD$49=MAX($AD$48:$AD$52),P61,IF($AD$50=MAX($AD$48:$AD$52),P62,IF($AD$51=MAX($AD$48:$AD$52),P63,P64))))</f>
        <v>0</v>
      </c>
      <c r="Q66" s="436">
        <f t="shared" si="85"/>
        <v>0</v>
      </c>
      <c r="R66" s="437">
        <f t="shared" si="85"/>
        <v>1</v>
      </c>
      <c r="S66" s="438">
        <f t="shared" si="85"/>
        <v>0</v>
      </c>
      <c r="T66" s="435">
        <f t="shared" si="85"/>
        <v>0</v>
      </c>
      <c r="U66" s="436">
        <f t="shared" si="85"/>
        <v>1</v>
      </c>
      <c r="V66" s="437">
        <f t="shared" si="85"/>
        <v>0</v>
      </c>
      <c r="W66" s="438">
        <f t="shared" si="85"/>
        <v>0</v>
      </c>
      <c r="X66" s="435">
        <f t="shared" si="85"/>
        <v>0</v>
      </c>
      <c r="Y66" s="436">
        <f t="shared" si="85"/>
        <v>3</v>
      </c>
      <c r="Z66" s="437">
        <f t="shared" si="85"/>
        <v>1</v>
      </c>
      <c r="AA66" s="438">
        <f t="shared" si="85"/>
        <v>0</v>
      </c>
      <c r="AB66" s="346"/>
      <c r="AC66" s="346"/>
      <c r="AD66" s="346"/>
      <c r="AE66" s="247">
        <f t="shared" si="75"/>
        <v>13</v>
      </c>
      <c r="AF66" s="247">
        <f t="shared" si="76"/>
        <v>12</v>
      </c>
      <c r="AG66" s="247">
        <f t="shared" si="77"/>
        <v>7</v>
      </c>
      <c r="AH66" s="247">
        <f t="shared" si="78"/>
        <v>16</v>
      </c>
      <c r="AI66" s="346"/>
      <c r="AJ66" s="346"/>
      <c r="AK66" s="346"/>
    </row>
    <row r="67" ht="9" customHeight="1">
      <c r="A67" s="347"/>
      <c r="B67" s="345"/>
      <c r="C67" s="345"/>
      <c r="D67" s="345"/>
      <c r="E67" s="345"/>
      <c r="F67" s="345"/>
      <c r="G67" s="345"/>
      <c r="H67" s="345"/>
      <c r="I67" s="345"/>
      <c r="J67" s="345"/>
      <c r="K67" s="345"/>
      <c r="L67" s="345"/>
      <c r="M67" s="345"/>
      <c r="N67" s="345"/>
      <c r="O67" s="345"/>
      <c r="P67" s="345"/>
      <c r="Q67" s="345"/>
      <c r="R67" s="345"/>
      <c r="S67" s="345"/>
      <c r="T67" s="345"/>
      <c r="U67" s="345"/>
      <c r="V67" s="345"/>
      <c r="W67" s="345"/>
      <c r="X67" s="345"/>
      <c r="Y67" s="345"/>
      <c r="Z67" s="345"/>
      <c r="AA67" s="345"/>
      <c r="AB67" s="347"/>
      <c r="AC67" s="345"/>
      <c r="AD67" s="345"/>
      <c r="AE67" s="345"/>
      <c r="AF67" s="345"/>
      <c r="AG67" s="345"/>
      <c r="AH67" s="345"/>
      <c r="AI67" s="345"/>
      <c r="AJ67" s="345"/>
      <c r="AK67" s="345"/>
      <c r="AL67" s="371"/>
      <c r="AM67" s="372"/>
      <c r="AN67" s="371"/>
      <c r="AO67" s="371"/>
      <c r="AP67" s="371"/>
      <c r="AQ67" s="371"/>
      <c r="AR67" s="371"/>
    </row>
  </sheetData>
  <mergeCells count="128">
    <mergeCell ref="C3:W3"/>
    <mergeCell ref="C7:N7"/>
    <mergeCell ref="P7:AA7"/>
    <mergeCell ref="C8:F8"/>
    <mergeCell ref="G8:J8"/>
    <mergeCell ref="K8:N8"/>
    <mergeCell ref="P8:S8"/>
    <mergeCell ref="T8:W8"/>
    <mergeCell ref="X8:AA8"/>
    <mergeCell ref="C5:N5"/>
    <mergeCell ref="R5:AA5"/>
    <mergeCell ref="C26:N26"/>
    <mergeCell ref="P26:AA26"/>
    <mergeCell ref="C27:F27"/>
    <mergeCell ref="G27:J27"/>
    <mergeCell ref="K27:N27"/>
    <mergeCell ref="P27:S27"/>
    <mergeCell ref="T27:W27"/>
    <mergeCell ref="X27:AA27"/>
    <mergeCell ref="P9:Q9"/>
    <mergeCell ref="R9:S9"/>
    <mergeCell ref="T9:U9"/>
    <mergeCell ref="V9:W9"/>
    <mergeCell ref="X9:Y9"/>
    <mergeCell ref="Z9:AA9"/>
    <mergeCell ref="C9:D9"/>
    <mergeCell ref="E9:F9"/>
    <mergeCell ref="G9:H9"/>
    <mergeCell ref="I9:J9"/>
    <mergeCell ref="K9:L9"/>
    <mergeCell ref="M9:N9"/>
    <mergeCell ref="C24:N24"/>
    <mergeCell ref="P28:Q28"/>
    <mergeCell ref="R28:S28"/>
    <mergeCell ref="T28:U28"/>
    <mergeCell ref="V28:W28"/>
    <mergeCell ref="X28:Y28"/>
    <mergeCell ref="Z28:AA28"/>
    <mergeCell ref="C28:D28"/>
    <mergeCell ref="E28:F28"/>
    <mergeCell ref="G28:H28"/>
    <mergeCell ref="I28:J28"/>
    <mergeCell ref="K28:L28"/>
    <mergeCell ref="M28:N28"/>
    <mergeCell ref="AH44:AH47"/>
    <mergeCell ref="AI44:AK47"/>
    <mergeCell ref="C45:F45"/>
    <mergeCell ref="G45:J45"/>
    <mergeCell ref="K45:N45"/>
    <mergeCell ref="P45:S45"/>
    <mergeCell ref="T45:W45"/>
    <mergeCell ref="X45:AA45"/>
    <mergeCell ref="C46:D46"/>
    <mergeCell ref="E46:F46"/>
    <mergeCell ref="C44:N44"/>
    <mergeCell ref="P44:AA44"/>
    <mergeCell ref="AD44:AD47"/>
    <mergeCell ref="AE44:AE47"/>
    <mergeCell ref="AF44:AF47"/>
    <mergeCell ref="AG44:AG47"/>
    <mergeCell ref="G46:H46"/>
    <mergeCell ref="I46:J46"/>
    <mergeCell ref="K46:L46"/>
    <mergeCell ref="M46:N46"/>
    <mergeCell ref="A47:B47"/>
    <mergeCell ref="AB47:AC47"/>
    <mergeCell ref="A48:B48"/>
    <mergeCell ref="AB48:AC48"/>
    <mergeCell ref="A49:B49"/>
    <mergeCell ref="AB49:AC49"/>
    <mergeCell ref="P46:Q46"/>
    <mergeCell ref="R46:S46"/>
    <mergeCell ref="T46:U46"/>
    <mergeCell ref="V46:W46"/>
    <mergeCell ref="X46:Y46"/>
    <mergeCell ref="Z46:AA46"/>
    <mergeCell ref="A53:B53"/>
    <mergeCell ref="AB53:AC53"/>
    <mergeCell ref="A54:B54"/>
    <mergeCell ref="AB54:AC54"/>
    <mergeCell ref="AB55:AC55"/>
    <mergeCell ref="C56:N56"/>
    <mergeCell ref="P56:AA56"/>
    <mergeCell ref="AB56:AC56"/>
    <mergeCell ref="A50:B50"/>
    <mergeCell ref="AB50:AC50"/>
    <mergeCell ref="A51:B51"/>
    <mergeCell ref="AB51:AC51"/>
    <mergeCell ref="A52:B52"/>
    <mergeCell ref="AB52:AC52"/>
    <mergeCell ref="AE56:AE59"/>
    <mergeCell ref="AF56:AF59"/>
    <mergeCell ref="AG56:AG59"/>
    <mergeCell ref="AH56:AH59"/>
    <mergeCell ref="C57:F57"/>
    <mergeCell ref="G57:J57"/>
    <mergeCell ref="K57:N57"/>
    <mergeCell ref="P57:S57"/>
    <mergeCell ref="T57:W57"/>
    <mergeCell ref="X57:AA57"/>
    <mergeCell ref="V58:W58"/>
    <mergeCell ref="X58:Y58"/>
    <mergeCell ref="Z58:AA58"/>
    <mergeCell ref="AB58:AC58"/>
    <mergeCell ref="A59:B59"/>
    <mergeCell ref="AB59:AC59"/>
    <mergeCell ref="AB57:AC57"/>
    <mergeCell ref="C58:D58"/>
    <mergeCell ref="E58:F58"/>
    <mergeCell ref="G58:H58"/>
    <mergeCell ref="I58:J58"/>
    <mergeCell ref="K58:L58"/>
    <mergeCell ref="M58:N58"/>
    <mergeCell ref="P58:Q58"/>
    <mergeCell ref="R58:S58"/>
    <mergeCell ref="T58:U58"/>
    <mergeCell ref="A63:B63"/>
    <mergeCell ref="AB63:AC63"/>
    <mergeCell ref="A64:B64"/>
    <mergeCell ref="AB64:AC64"/>
    <mergeCell ref="A65:B65"/>
    <mergeCell ref="A66:B66"/>
    <mergeCell ref="A60:B60"/>
    <mergeCell ref="AB60:AC60"/>
    <mergeCell ref="A61:B61"/>
    <mergeCell ref="AB61:AC61"/>
    <mergeCell ref="A62:B62"/>
    <mergeCell ref="AB62:AC62"/>
  </mergeCells>
  <printOptions headings="0" gridLines="0"/>
  <pageMargins left="0.39370078740157477" right="0.39370078740157477" top="0.39370078740157477" bottom="0.39370078740157477" header="0.59055118110236238" footer="0.59055118110236238"/>
  <pageSetup paperSize="9" scale="38" fitToWidth="1" fitToHeight="0" pageOrder="overThenDown" orientation="landscape" usePrinterDefaults="1" blackAndWhite="0" draft="0" cellComments="none" useFirstPageNumber="1" errors="displayed" horizontalDpi="600" verticalDpi="600" copies="1"/>
  <headerFooter/>
  <rowBreaks count="2" manualBreakCount="2">
    <brk id="39" man="1" max="25"/>
    <brk id="67" man="1" max="27"/>
  </rowBreaks>
  <legacy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tabColor rgb="FF00B050"/>
    <outlinePr applyStyles="0" summaryBelow="1" summaryRight="1" showOutlineSymbols="1"/>
    <pageSetUpPr autoPageBreaks="1" fitToPage="1"/>
  </sheetPr>
  <sheetViews>
    <sheetView view="pageBreakPreview" zoomScale="40" workbookViewId="0">
      <pane xSplit="2" ySplit="11" topLeftCell="C12" activePane="bottomRight" state="frozen"/>
      <selection activeCell="AC17" activeCellId="0" sqref="AC17:AC20"/>
    </sheetView>
  </sheetViews>
  <sheetFormatPr baseColWidth="10" defaultRowHeight="14.25" outlineLevelRow="1"/>
  <cols>
    <col customWidth="1" min="1" max="1" style="1" width="9.125"/>
    <col customWidth="1" min="2" max="2" style="1" width="13.75"/>
    <col customWidth="1" min="3" max="14" style="1" width="12.875"/>
    <col customWidth="1" min="15" max="15" style="1" width="2.625"/>
    <col customWidth="1" min="16" max="27" style="1" width="12.875"/>
    <col customWidth="1" min="28" max="28" style="1" width="9.125"/>
    <col customWidth="1" min="29" max="29" style="1" width="13.75"/>
    <col customWidth="1" min="30" max="35" style="1" width="21.125"/>
    <col customWidth="1" min="36" max="36" style="1" width="123.625"/>
    <col customWidth="1" min="37" max="37" style="1" width="21.125"/>
    <col customWidth="1" min="38" max="44" style="1" width="10.625"/>
    <col min="45" max="16384" style="1" width="11"/>
  </cols>
  <sheetData>
    <row r="1" ht="52.5" customHeight="1">
      <c r="A1" s="2" t="s">
        <v>0</v>
      </c>
      <c r="B1" s="3" t="s">
        <v>72</v>
      </c>
      <c r="C1" s="4"/>
      <c r="D1" s="4"/>
      <c r="E1" s="4"/>
      <c r="F1" s="5"/>
      <c r="G1" s="5"/>
      <c r="H1" s="4"/>
      <c r="I1" s="4"/>
      <c r="J1" s="5"/>
      <c r="K1" s="5"/>
      <c r="L1" s="6"/>
      <c r="M1" s="7" t="s">
        <v>2</v>
      </c>
      <c r="N1" s="8" t="s">
        <v>73</v>
      </c>
      <c r="O1" s="9"/>
      <c r="P1" s="4"/>
      <c r="Q1" s="4"/>
      <c r="R1" s="4"/>
      <c r="S1" s="4"/>
      <c r="T1" s="4"/>
      <c r="U1" s="4"/>
      <c r="V1" s="4"/>
      <c r="W1" s="10"/>
      <c r="X1" s="11"/>
      <c r="Y1" s="11"/>
      <c r="Z1" s="11"/>
      <c r="AA1" s="12"/>
    </row>
    <row r="2" ht="52.5" customHeight="1">
      <c r="A2" s="13" t="s">
        <v>4</v>
      </c>
      <c r="B2" s="14"/>
      <c r="C2" s="14"/>
      <c r="D2" s="14"/>
      <c r="E2" s="14"/>
      <c r="F2" s="14"/>
      <c r="G2" s="3" t="s">
        <v>74</v>
      </c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10"/>
      <c r="X2" s="14"/>
      <c r="Y2" s="14"/>
      <c r="Z2" s="14"/>
      <c r="AA2" s="14"/>
    </row>
    <row r="3" ht="52.5" customHeight="1">
      <c r="A3" s="13" t="s">
        <v>6</v>
      </c>
      <c r="B3" s="14"/>
      <c r="C3" s="3" t="s">
        <v>7</v>
      </c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10"/>
      <c r="X3" s="14"/>
      <c r="Y3" s="14"/>
      <c r="Z3" s="14"/>
      <c r="AA3" s="15"/>
    </row>
    <row r="4" ht="24.949999999999999" customHeight="1">
      <c r="A4" s="13"/>
      <c r="B4" s="14"/>
      <c r="C4" s="14"/>
      <c r="D4" s="14"/>
      <c r="E4" s="14"/>
      <c r="F4" s="14"/>
      <c r="G4" s="14"/>
      <c r="H4" s="14"/>
      <c r="I4" s="14"/>
      <c r="J4" s="14"/>
      <c r="K4" s="14"/>
      <c r="L4" s="14"/>
      <c r="M4" s="14"/>
      <c r="N4" s="14"/>
      <c r="O4" s="14"/>
      <c r="P4" s="14"/>
      <c r="Q4" s="14"/>
      <c r="R4" s="14"/>
      <c r="S4" s="14"/>
      <c r="T4" s="14"/>
      <c r="U4" s="14"/>
      <c r="V4" s="14"/>
      <c r="W4" s="14"/>
      <c r="X4" s="14"/>
      <c r="Y4" s="14"/>
      <c r="Z4" s="14"/>
      <c r="AA4" s="15"/>
    </row>
    <row r="5" s="16" customFormat="1" ht="75" customHeight="1">
      <c r="A5" s="17" t="s">
        <v>8</v>
      </c>
      <c r="B5" s="18"/>
      <c r="C5" s="19" t="s">
        <v>75</v>
      </c>
      <c r="D5" s="20"/>
      <c r="E5" s="20"/>
      <c r="F5" s="20"/>
      <c r="G5" s="20"/>
      <c r="H5" s="20"/>
      <c r="I5" s="20"/>
      <c r="J5" s="20"/>
      <c r="K5" s="20"/>
      <c r="L5" s="20"/>
      <c r="M5" s="20"/>
      <c r="N5" s="20"/>
      <c r="O5" s="21"/>
      <c r="P5" s="22" t="s">
        <v>10</v>
      </c>
      <c r="Q5" s="18"/>
      <c r="R5" s="21" t="s">
        <v>11</v>
      </c>
      <c r="S5" s="21"/>
      <c r="T5" s="21"/>
      <c r="U5" s="21"/>
      <c r="V5" s="21"/>
      <c r="W5" s="21"/>
      <c r="X5" s="21"/>
      <c r="Y5" s="21"/>
      <c r="Z5" s="21"/>
      <c r="AA5" s="21"/>
    </row>
    <row r="6" ht="8.0999999999999996" customHeight="1">
      <c r="A6" s="23"/>
      <c r="B6" s="14"/>
      <c r="C6" s="14"/>
      <c r="D6" s="14"/>
      <c r="E6" s="14"/>
      <c r="F6" s="14"/>
      <c r="G6" s="14"/>
      <c r="H6" s="14"/>
      <c r="I6" s="14"/>
      <c r="J6" s="14"/>
      <c r="K6" s="14"/>
      <c r="L6" s="14"/>
      <c r="M6" s="14"/>
      <c r="N6" s="14"/>
      <c r="O6" s="14"/>
      <c r="P6" s="14"/>
      <c r="Q6" s="14"/>
      <c r="R6" s="14"/>
      <c r="S6" s="14"/>
      <c r="T6" s="14"/>
      <c r="U6" s="14"/>
      <c r="V6" s="14"/>
      <c r="W6" s="14"/>
      <c r="X6" s="14"/>
      <c r="Y6" s="14"/>
      <c r="Z6" s="14"/>
      <c r="AA6" s="15"/>
    </row>
    <row r="7" ht="32.25" customHeight="1">
      <c r="A7" s="13"/>
      <c r="B7" s="14"/>
      <c r="C7" s="24" t="s">
        <v>65</v>
      </c>
      <c r="D7" s="25"/>
      <c r="E7" s="25"/>
      <c r="F7" s="25"/>
      <c r="G7" s="25"/>
      <c r="H7" s="25"/>
      <c r="I7" s="25"/>
      <c r="J7" s="25"/>
      <c r="K7" s="25"/>
      <c r="L7" s="25"/>
      <c r="M7" s="25"/>
      <c r="N7" s="25"/>
      <c r="O7" s="26"/>
      <c r="P7" s="24" t="s">
        <v>76</v>
      </c>
      <c r="Q7" s="25"/>
      <c r="R7" s="25"/>
      <c r="S7" s="25"/>
      <c r="T7" s="25"/>
      <c r="U7" s="25"/>
      <c r="V7" s="25"/>
      <c r="W7" s="25"/>
      <c r="X7" s="25"/>
      <c r="Y7" s="25"/>
      <c r="Z7" s="25"/>
      <c r="AA7" s="27"/>
      <c r="AC7" s="28"/>
      <c r="AD7" s="28"/>
      <c r="AE7" s="28"/>
      <c r="AF7" s="28"/>
      <c r="AG7" s="28"/>
    </row>
    <row r="8" ht="22.699999999999999" customHeight="1">
      <c r="A8" s="13"/>
      <c r="B8" s="14"/>
      <c r="C8" s="29" t="s">
        <v>57</v>
      </c>
      <c r="D8" s="30"/>
      <c r="E8" s="30"/>
      <c r="F8" s="30"/>
      <c r="G8" s="30" t="s">
        <v>77</v>
      </c>
      <c r="H8" s="30"/>
      <c r="I8" s="30"/>
      <c r="J8" s="30"/>
      <c r="K8" s="30" t="s">
        <v>78</v>
      </c>
      <c r="L8" s="30"/>
      <c r="M8" s="30"/>
      <c r="N8" s="30"/>
      <c r="O8" s="31"/>
      <c r="P8" s="29" t="s">
        <v>57</v>
      </c>
      <c r="Q8" s="30"/>
      <c r="R8" s="30"/>
      <c r="S8" s="30"/>
      <c r="T8" s="30" t="s">
        <v>77</v>
      </c>
      <c r="U8" s="30"/>
      <c r="V8" s="30"/>
      <c r="W8" s="30"/>
      <c r="X8" s="30" t="s">
        <v>69</v>
      </c>
      <c r="Y8" s="30"/>
      <c r="Z8" s="30"/>
      <c r="AA8" s="32"/>
    </row>
    <row r="9" ht="18.600000000000001" customHeight="1">
      <c r="A9" s="13"/>
      <c r="B9" s="14"/>
      <c r="C9" s="33" t="s">
        <v>18</v>
      </c>
      <c r="D9" s="34"/>
      <c r="E9" s="35" t="s">
        <v>19</v>
      </c>
      <c r="F9" s="36"/>
      <c r="G9" s="36" t="s">
        <v>18</v>
      </c>
      <c r="H9" s="37"/>
      <c r="I9" s="35" t="s">
        <v>19</v>
      </c>
      <c r="J9" s="36"/>
      <c r="K9" s="36" t="s">
        <v>18</v>
      </c>
      <c r="L9" s="38"/>
      <c r="M9" s="39" t="s">
        <v>19</v>
      </c>
      <c r="N9" s="40"/>
      <c r="O9" s="41"/>
      <c r="P9" s="33" t="s">
        <v>18</v>
      </c>
      <c r="Q9" s="34"/>
      <c r="R9" s="35" t="s">
        <v>19</v>
      </c>
      <c r="S9" s="36"/>
      <c r="T9" s="36" t="s">
        <v>18</v>
      </c>
      <c r="U9" s="37"/>
      <c r="V9" s="35" t="s">
        <v>19</v>
      </c>
      <c r="W9" s="36"/>
      <c r="X9" s="36" t="s">
        <v>18</v>
      </c>
      <c r="Y9" s="38"/>
      <c r="Z9" s="39" t="s">
        <v>19</v>
      </c>
      <c r="AA9" s="42"/>
    </row>
    <row r="10" ht="21">
      <c r="A10" s="43" t="s">
        <v>20</v>
      </c>
      <c r="B10" s="44" t="s">
        <v>21</v>
      </c>
      <c r="C10" s="45" t="s">
        <v>22</v>
      </c>
      <c r="D10" s="46" t="s">
        <v>23</v>
      </c>
      <c r="E10" s="47" t="s">
        <v>22</v>
      </c>
      <c r="F10" s="48" t="s">
        <v>23</v>
      </c>
      <c r="G10" s="49" t="s">
        <v>22</v>
      </c>
      <c r="H10" s="50" t="s">
        <v>23</v>
      </c>
      <c r="I10" s="47" t="s">
        <v>22</v>
      </c>
      <c r="J10" s="48" t="s">
        <v>23</v>
      </c>
      <c r="K10" s="51" t="s">
        <v>22</v>
      </c>
      <c r="L10" s="52" t="s">
        <v>23</v>
      </c>
      <c r="M10" s="53" t="s">
        <v>22</v>
      </c>
      <c r="N10" s="54" t="s">
        <v>23</v>
      </c>
      <c r="O10" s="55"/>
      <c r="P10" s="45" t="s">
        <v>22</v>
      </c>
      <c r="Q10" s="46" t="s">
        <v>23</v>
      </c>
      <c r="R10" s="47" t="s">
        <v>22</v>
      </c>
      <c r="S10" s="48" t="s">
        <v>23</v>
      </c>
      <c r="T10" s="49" t="s">
        <v>22</v>
      </c>
      <c r="U10" s="50" t="s">
        <v>23</v>
      </c>
      <c r="V10" s="47" t="s">
        <v>22</v>
      </c>
      <c r="W10" s="48" t="s">
        <v>23</v>
      </c>
      <c r="X10" s="51" t="s">
        <v>22</v>
      </c>
      <c r="Y10" s="52" t="s">
        <v>23</v>
      </c>
      <c r="Z10" s="53" t="s">
        <v>22</v>
      </c>
      <c r="AA10" s="56" t="s">
        <v>23</v>
      </c>
      <c r="AB10" s="57"/>
    </row>
    <row r="11" ht="54.950000000000003" hidden="1" customHeight="1" outlineLevel="1">
      <c r="A11" s="58">
        <v>6</v>
      </c>
      <c r="B11" s="59" t="s">
        <v>24</v>
      </c>
      <c r="C11" s="60"/>
      <c r="D11" s="61"/>
      <c r="E11" s="62"/>
      <c r="F11" s="63"/>
      <c r="G11" s="64"/>
      <c r="H11" s="65"/>
      <c r="I11" s="62"/>
      <c r="J11" s="63"/>
      <c r="K11" s="66"/>
      <c r="L11" s="67"/>
      <c r="M11" s="68"/>
      <c r="N11" s="69"/>
      <c r="O11" s="70"/>
      <c r="P11" s="60"/>
      <c r="Q11" s="61"/>
      <c r="R11" s="62"/>
      <c r="S11" s="63"/>
      <c r="T11" s="64"/>
      <c r="U11" s="65"/>
      <c r="V11" s="62"/>
      <c r="W11" s="63"/>
      <c r="X11" s="66"/>
      <c r="Y11" s="67"/>
      <c r="Z11" s="68"/>
      <c r="AA11" s="71"/>
      <c r="AB11" s="72"/>
      <c r="AC11" s="72"/>
      <c r="AD11" s="72"/>
      <c r="AE11" s="72"/>
      <c r="AF11" s="72"/>
      <c r="AG11" s="72"/>
    </row>
    <row r="12" ht="54.950000000000003" hidden="1" customHeight="1" outlineLevel="1">
      <c r="A12" s="58"/>
      <c r="B12" s="59" t="s">
        <v>25</v>
      </c>
      <c r="C12" s="60"/>
      <c r="D12" s="61"/>
      <c r="E12" s="62"/>
      <c r="F12" s="63"/>
      <c r="G12" s="64"/>
      <c r="H12" s="65"/>
      <c r="I12" s="62"/>
      <c r="J12" s="63"/>
      <c r="K12" s="66"/>
      <c r="L12" s="67"/>
      <c r="M12" s="68"/>
      <c r="N12" s="69"/>
      <c r="O12" s="70"/>
      <c r="P12" s="60"/>
      <c r="Q12" s="61"/>
      <c r="R12" s="62"/>
      <c r="S12" s="63"/>
      <c r="T12" s="64"/>
      <c r="U12" s="65"/>
      <c r="V12" s="62"/>
      <c r="W12" s="63"/>
      <c r="X12" s="66"/>
      <c r="Y12" s="67"/>
      <c r="Z12" s="68"/>
      <c r="AA12" s="71"/>
      <c r="AB12" s="72"/>
      <c r="AC12" s="72"/>
      <c r="AD12" s="72"/>
      <c r="AE12" s="72"/>
      <c r="AF12" s="72"/>
      <c r="AG12" s="72"/>
    </row>
    <row r="13" ht="54.950000000000003" customHeight="1" collapsed="1">
      <c r="A13" s="58">
        <v>7</v>
      </c>
      <c r="B13" s="59" t="s">
        <v>26</v>
      </c>
      <c r="C13" s="73"/>
      <c r="D13" s="74"/>
      <c r="E13" s="75"/>
      <c r="F13" s="76"/>
      <c r="G13" s="77"/>
      <c r="H13" s="74"/>
      <c r="I13" s="75"/>
      <c r="J13" s="76"/>
      <c r="K13" s="73"/>
      <c r="L13" s="74"/>
      <c r="M13" s="75"/>
      <c r="N13" s="76"/>
      <c r="O13" s="70"/>
      <c r="P13" s="77"/>
      <c r="Q13" s="74"/>
      <c r="R13" s="75"/>
      <c r="S13" s="76"/>
      <c r="T13" s="73"/>
      <c r="U13" s="74"/>
      <c r="V13" s="75"/>
      <c r="W13" s="76"/>
      <c r="X13" s="77"/>
      <c r="Y13" s="74"/>
      <c r="Z13" s="75"/>
      <c r="AA13" s="76"/>
      <c r="AB13" s="448">
        <f t="shared" ref="AB13:AB39" si="86">SUM(C13:AA13)</f>
        <v>0</v>
      </c>
      <c r="AC13" s="448">
        <f>SUM(AB13:AB16)</f>
        <v>8</v>
      </c>
      <c r="AD13" s="72"/>
      <c r="AE13" s="72"/>
      <c r="AF13" s="72"/>
      <c r="AG13" s="72"/>
    </row>
    <row r="14" ht="54.950000000000003" customHeight="1">
      <c r="A14" s="58"/>
      <c r="B14" s="59" t="s">
        <v>27</v>
      </c>
      <c r="C14" s="78"/>
      <c r="D14" s="79">
        <v>1</v>
      </c>
      <c r="E14" s="80"/>
      <c r="F14" s="81"/>
      <c r="G14" s="82"/>
      <c r="H14" s="79"/>
      <c r="I14" s="80"/>
      <c r="J14" s="81"/>
      <c r="K14" s="78"/>
      <c r="L14" s="79"/>
      <c r="M14" s="80"/>
      <c r="N14" s="81"/>
      <c r="O14" s="70"/>
      <c r="P14" s="82"/>
      <c r="Q14" s="79"/>
      <c r="R14" s="80"/>
      <c r="S14" s="81"/>
      <c r="T14" s="78"/>
      <c r="U14" s="79"/>
      <c r="V14" s="80"/>
      <c r="W14" s="81"/>
      <c r="X14" s="82"/>
      <c r="Y14" s="79"/>
      <c r="Z14" s="80"/>
      <c r="AA14" s="81"/>
      <c r="AB14" s="448">
        <f t="shared" si="86"/>
        <v>1</v>
      </c>
      <c r="AC14" s="448"/>
      <c r="AD14" s="72"/>
      <c r="AE14" s="72"/>
      <c r="AF14" s="72"/>
      <c r="AG14" s="72"/>
    </row>
    <row r="15" ht="54.950000000000003" customHeight="1">
      <c r="A15" s="58"/>
      <c r="B15" s="59" t="s">
        <v>24</v>
      </c>
      <c r="C15" s="83"/>
      <c r="D15" s="84"/>
      <c r="E15" s="85"/>
      <c r="F15" s="86"/>
      <c r="G15" s="87"/>
      <c r="H15" s="84"/>
      <c r="I15" s="85"/>
      <c r="J15" s="86"/>
      <c r="K15" s="83"/>
      <c r="L15" s="84"/>
      <c r="M15" s="85"/>
      <c r="N15" s="86"/>
      <c r="O15" s="70"/>
      <c r="P15" s="87"/>
      <c r="Q15" s="84"/>
      <c r="R15" s="85"/>
      <c r="S15" s="86"/>
      <c r="T15" s="83"/>
      <c r="U15" s="84"/>
      <c r="V15" s="85"/>
      <c r="W15" s="86"/>
      <c r="X15" s="87">
        <v>1</v>
      </c>
      <c r="Y15" s="84"/>
      <c r="Z15" s="85"/>
      <c r="AA15" s="86"/>
      <c r="AB15" s="448">
        <f t="shared" si="86"/>
        <v>1</v>
      </c>
      <c r="AC15" s="448"/>
      <c r="AD15" s="72"/>
      <c r="AE15" s="72"/>
      <c r="AF15" s="72"/>
      <c r="AG15" s="72"/>
    </row>
    <row r="16" ht="54.950000000000003" customHeight="1">
      <c r="A16" s="58"/>
      <c r="B16" s="59" t="s">
        <v>25</v>
      </c>
      <c r="C16" s="88"/>
      <c r="D16" s="89"/>
      <c r="E16" s="90"/>
      <c r="F16" s="91">
        <v>1</v>
      </c>
      <c r="G16" s="92"/>
      <c r="H16" s="89"/>
      <c r="I16" s="90"/>
      <c r="J16" s="91"/>
      <c r="K16" s="88"/>
      <c r="L16" s="89"/>
      <c r="M16" s="90"/>
      <c r="N16" s="91"/>
      <c r="O16" s="70"/>
      <c r="P16" s="92"/>
      <c r="Q16" s="89">
        <v>2</v>
      </c>
      <c r="R16" s="90">
        <v>1</v>
      </c>
      <c r="S16" s="91"/>
      <c r="T16" s="88"/>
      <c r="U16" s="89"/>
      <c r="V16" s="90"/>
      <c r="W16" s="91">
        <v>2</v>
      </c>
      <c r="X16" s="92"/>
      <c r="Y16" s="89"/>
      <c r="Z16" s="90"/>
      <c r="AA16" s="91"/>
      <c r="AB16" s="448">
        <f t="shared" si="86"/>
        <v>6</v>
      </c>
      <c r="AC16" s="448"/>
      <c r="AD16" s="72"/>
      <c r="AE16" s="72"/>
      <c r="AF16" s="72"/>
      <c r="AG16" s="72"/>
    </row>
    <row r="17" ht="54.950000000000003" customHeight="1">
      <c r="A17" s="58">
        <v>8</v>
      </c>
      <c r="B17" s="59" t="s">
        <v>26</v>
      </c>
      <c r="C17" s="73"/>
      <c r="D17" s="74"/>
      <c r="E17" s="75"/>
      <c r="F17" s="76"/>
      <c r="G17" s="77"/>
      <c r="H17" s="74"/>
      <c r="I17" s="75"/>
      <c r="J17" s="76"/>
      <c r="K17" s="73"/>
      <c r="L17" s="74"/>
      <c r="M17" s="75"/>
      <c r="N17" s="76"/>
      <c r="O17" s="70"/>
      <c r="P17" s="77"/>
      <c r="Q17" s="74"/>
      <c r="R17" s="75"/>
      <c r="S17" s="76"/>
      <c r="T17" s="73"/>
      <c r="U17" s="74"/>
      <c r="V17" s="75"/>
      <c r="W17" s="76"/>
      <c r="X17" s="77"/>
      <c r="Y17" s="74"/>
      <c r="Z17" s="75"/>
      <c r="AA17" s="76"/>
      <c r="AB17" s="448">
        <f t="shared" si="86"/>
        <v>0</v>
      </c>
      <c r="AC17" s="448">
        <f>SUM(AB17:AB20)</f>
        <v>8</v>
      </c>
      <c r="AD17" s="72"/>
      <c r="AE17" s="72"/>
      <c r="AF17" s="72"/>
      <c r="AG17" s="72"/>
    </row>
    <row r="18" ht="54.950000000000003" customHeight="1">
      <c r="A18" s="58"/>
      <c r="B18" s="59" t="s">
        <v>27</v>
      </c>
      <c r="C18" s="78"/>
      <c r="D18" s="79"/>
      <c r="E18" s="80"/>
      <c r="F18" s="81"/>
      <c r="G18" s="82"/>
      <c r="H18" s="79"/>
      <c r="I18" s="80"/>
      <c r="J18" s="81"/>
      <c r="K18" s="78"/>
      <c r="L18" s="79"/>
      <c r="M18" s="80"/>
      <c r="N18" s="81"/>
      <c r="O18" s="70"/>
      <c r="P18" s="82"/>
      <c r="Q18" s="79">
        <v>2</v>
      </c>
      <c r="R18" s="80"/>
      <c r="S18" s="81"/>
      <c r="T18" s="78"/>
      <c r="U18" s="79">
        <v>2</v>
      </c>
      <c r="V18" s="80"/>
      <c r="W18" s="81"/>
      <c r="X18" s="82"/>
      <c r="Y18" s="79"/>
      <c r="Z18" s="80"/>
      <c r="AA18" s="81"/>
      <c r="AB18" s="448">
        <f t="shared" si="86"/>
        <v>4</v>
      </c>
      <c r="AC18" s="448"/>
      <c r="AD18" s="72"/>
      <c r="AE18" s="72"/>
      <c r="AF18" s="72"/>
      <c r="AG18" s="72"/>
    </row>
    <row r="19" ht="54.950000000000003" customHeight="1">
      <c r="A19" s="58"/>
      <c r="B19" s="59" t="s">
        <v>24</v>
      </c>
      <c r="C19" s="83"/>
      <c r="D19" s="84"/>
      <c r="E19" s="85"/>
      <c r="F19" s="86"/>
      <c r="G19" s="87"/>
      <c r="H19" s="84"/>
      <c r="I19" s="85"/>
      <c r="J19" s="86"/>
      <c r="K19" s="83"/>
      <c r="L19" s="84"/>
      <c r="M19" s="85"/>
      <c r="N19" s="86"/>
      <c r="O19" s="70"/>
      <c r="P19" s="87"/>
      <c r="Q19" s="84"/>
      <c r="R19" s="85"/>
      <c r="S19" s="86"/>
      <c r="T19" s="83"/>
      <c r="U19" s="84"/>
      <c r="V19" s="85">
        <v>2</v>
      </c>
      <c r="W19" s="86">
        <v>2</v>
      </c>
      <c r="X19" s="87"/>
      <c r="Y19" s="84"/>
      <c r="Z19" s="85"/>
      <c r="AA19" s="86"/>
      <c r="AB19" s="448">
        <f t="shared" si="86"/>
        <v>4</v>
      </c>
      <c r="AC19" s="448"/>
      <c r="AD19" s="72"/>
      <c r="AE19" s="72"/>
      <c r="AF19" s="72"/>
      <c r="AG19" s="72"/>
    </row>
    <row r="20" ht="54.950000000000003" customHeight="1">
      <c r="A20" s="58"/>
      <c r="B20" s="59" t="s">
        <v>25</v>
      </c>
      <c r="C20" s="88"/>
      <c r="D20" s="89"/>
      <c r="E20" s="90"/>
      <c r="F20" s="91"/>
      <c r="G20" s="92"/>
      <c r="H20" s="89"/>
      <c r="I20" s="90"/>
      <c r="J20" s="91"/>
      <c r="K20" s="88"/>
      <c r="L20" s="89"/>
      <c r="M20" s="90"/>
      <c r="N20" s="91"/>
      <c r="O20" s="70"/>
      <c r="P20" s="92"/>
      <c r="Q20" s="89"/>
      <c r="R20" s="90"/>
      <c r="S20" s="91"/>
      <c r="T20" s="88"/>
      <c r="U20" s="89"/>
      <c r="V20" s="90"/>
      <c r="W20" s="91"/>
      <c r="X20" s="92"/>
      <c r="Y20" s="89"/>
      <c r="Z20" s="90"/>
      <c r="AA20" s="91"/>
      <c r="AB20" s="448">
        <f t="shared" si="86"/>
        <v>0</v>
      </c>
      <c r="AC20" s="448"/>
      <c r="AD20" s="72"/>
      <c r="AE20" s="72"/>
      <c r="AF20" s="72"/>
      <c r="AG20" s="72"/>
    </row>
    <row r="21" ht="54.950000000000003" hidden="1" customHeight="1" outlineLevel="1">
      <c r="A21" s="58">
        <v>9</v>
      </c>
      <c r="B21" s="59" t="s">
        <v>26</v>
      </c>
      <c r="C21" s="60"/>
      <c r="D21" s="61"/>
      <c r="E21" s="62"/>
      <c r="F21" s="63"/>
      <c r="G21" s="64"/>
      <c r="H21" s="65"/>
      <c r="I21" s="62"/>
      <c r="J21" s="63"/>
      <c r="K21" s="66"/>
      <c r="L21" s="67"/>
      <c r="M21" s="68"/>
      <c r="N21" s="69"/>
      <c r="O21" s="70"/>
      <c r="P21" s="60"/>
      <c r="Q21" s="61"/>
      <c r="R21" s="62"/>
      <c r="S21" s="63"/>
      <c r="T21" s="64"/>
      <c r="U21" s="65"/>
      <c r="V21" s="62"/>
      <c r="W21" s="63"/>
      <c r="X21" s="66"/>
      <c r="Y21" s="67"/>
      <c r="Z21" s="68"/>
      <c r="AA21" s="71"/>
      <c r="AB21" s="448"/>
      <c r="AC21" s="72"/>
      <c r="AD21" s="72"/>
      <c r="AE21" s="72"/>
      <c r="AF21" s="72"/>
      <c r="AG21" s="72"/>
    </row>
    <row r="22" ht="54.950000000000003" hidden="1" customHeight="1" outlineLevel="1">
      <c r="A22" s="93"/>
      <c r="B22" s="94" t="s">
        <v>27</v>
      </c>
      <c r="C22" s="95"/>
      <c r="D22" s="96"/>
      <c r="E22" s="97"/>
      <c r="F22" s="98"/>
      <c r="G22" s="99"/>
      <c r="H22" s="100"/>
      <c r="I22" s="97"/>
      <c r="J22" s="98"/>
      <c r="K22" s="101"/>
      <c r="L22" s="102"/>
      <c r="M22" s="103"/>
      <c r="N22" s="104"/>
      <c r="O22" s="70"/>
      <c r="P22" s="95"/>
      <c r="Q22" s="96"/>
      <c r="R22" s="97"/>
      <c r="S22" s="98"/>
      <c r="T22" s="99"/>
      <c r="U22" s="100"/>
      <c r="V22" s="97"/>
      <c r="W22" s="98"/>
      <c r="X22" s="101"/>
      <c r="Y22" s="102"/>
      <c r="Z22" s="103"/>
      <c r="AA22" s="105"/>
      <c r="AB22" s="448"/>
      <c r="AC22" s="72"/>
      <c r="AD22" s="72"/>
      <c r="AE22" s="72"/>
      <c r="AF22" s="72"/>
      <c r="AG22" s="72"/>
    </row>
    <row r="23" ht="24.949999999999999" customHeight="1" collapsed="1">
      <c r="A23" s="106"/>
      <c r="B23" s="106"/>
      <c r="C23" s="107"/>
      <c r="D23" s="107"/>
      <c r="E23" s="107"/>
      <c r="F23" s="107"/>
      <c r="G23" s="107"/>
      <c r="H23" s="107"/>
      <c r="I23" s="107"/>
      <c r="J23" s="107"/>
      <c r="K23" s="107"/>
      <c r="L23" s="107"/>
      <c r="M23" s="107"/>
      <c r="N23" s="107"/>
      <c r="O23" s="70"/>
      <c r="P23" s="107"/>
      <c r="Q23" s="107"/>
      <c r="R23" s="107"/>
      <c r="S23" s="107"/>
      <c r="T23" s="107"/>
      <c r="U23" s="107"/>
      <c r="V23" s="107"/>
      <c r="W23" s="107"/>
      <c r="X23" s="107"/>
      <c r="Y23" s="107"/>
      <c r="Z23" s="107"/>
      <c r="AA23" s="107"/>
      <c r="AB23" s="448"/>
      <c r="AC23" s="72"/>
      <c r="AD23" s="72"/>
      <c r="AE23" s="72"/>
      <c r="AF23" s="72"/>
      <c r="AG23" s="72"/>
    </row>
    <row r="24" ht="75" customHeight="1">
      <c r="A24" s="17" t="s">
        <v>8</v>
      </c>
      <c r="B24" s="18"/>
      <c r="C24" s="19" t="s">
        <v>79</v>
      </c>
      <c r="D24" s="20"/>
      <c r="E24" s="20"/>
      <c r="F24" s="20"/>
      <c r="G24" s="20"/>
      <c r="H24" s="20"/>
      <c r="I24" s="20"/>
      <c r="J24" s="20"/>
      <c r="K24" s="20"/>
      <c r="L24" s="20"/>
      <c r="M24" s="20"/>
      <c r="N24" s="20"/>
      <c r="O24" s="14"/>
      <c r="P24" s="14"/>
      <c r="Q24" s="14"/>
      <c r="R24" s="14"/>
      <c r="S24" s="14"/>
      <c r="T24" s="14"/>
      <c r="U24" s="14"/>
      <c r="V24" s="14"/>
      <c r="W24" s="14"/>
      <c r="X24" s="14"/>
      <c r="Y24" s="14"/>
      <c r="Z24" s="14"/>
      <c r="AA24" s="15"/>
      <c r="AB24" s="250"/>
    </row>
    <row r="25" ht="6" hidden="1" customHeight="1" outlineLevel="1">
      <c r="A25" s="23"/>
      <c r="B25" s="14"/>
      <c r="C25" s="108"/>
      <c r="D25" s="108"/>
      <c r="E25" s="108"/>
      <c r="F25" s="108"/>
      <c r="G25" s="108"/>
      <c r="H25" s="108"/>
      <c r="I25" s="108"/>
      <c r="J25" s="108"/>
      <c r="K25" s="108"/>
      <c r="L25" s="108"/>
      <c r="M25" s="108"/>
      <c r="N25" s="108"/>
      <c r="O25" s="14"/>
      <c r="P25" s="108"/>
      <c r="Q25" s="108"/>
      <c r="R25" s="108"/>
      <c r="S25" s="108"/>
      <c r="T25" s="108"/>
      <c r="U25" s="108"/>
      <c r="V25" s="108"/>
      <c r="W25" s="108"/>
      <c r="X25" s="108"/>
      <c r="Y25" s="108"/>
      <c r="Z25" s="108"/>
      <c r="AA25" s="109"/>
      <c r="AB25" s="250"/>
    </row>
    <row r="26" ht="32.25" customHeight="1" collapsed="1">
      <c r="A26" s="13"/>
      <c r="B26" s="14"/>
      <c r="C26" s="24" t="s">
        <v>54</v>
      </c>
      <c r="D26" s="25"/>
      <c r="E26" s="25"/>
      <c r="F26" s="25"/>
      <c r="G26" s="25"/>
      <c r="H26" s="25"/>
      <c r="I26" s="25"/>
      <c r="J26" s="25"/>
      <c r="K26" s="25"/>
      <c r="L26" s="25"/>
      <c r="M26" s="25"/>
      <c r="N26" s="25"/>
      <c r="O26" s="26"/>
      <c r="P26" s="24" t="s">
        <v>80</v>
      </c>
      <c r="Q26" s="25"/>
      <c r="R26" s="25"/>
      <c r="S26" s="25"/>
      <c r="T26" s="25"/>
      <c r="U26" s="25"/>
      <c r="V26" s="25"/>
      <c r="W26" s="25"/>
      <c r="X26" s="25"/>
      <c r="Y26" s="25"/>
      <c r="Z26" s="25"/>
      <c r="AA26" s="27"/>
      <c r="AB26" s="250"/>
      <c r="AC26" s="28"/>
      <c r="AD26" s="28"/>
      <c r="AE26" s="28"/>
      <c r="AF26" s="28"/>
      <c r="AG26" s="28"/>
    </row>
    <row r="27" ht="22.699999999999999" customHeight="1">
      <c r="A27" s="13"/>
      <c r="B27" s="14"/>
      <c r="C27" s="29" t="s">
        <v>69</v>
      </c>
      <c r="D27" s="30"/>
      <c r="E27" s="30"/>
      <c r="F27" s="30"/>
      <c r="G27" s="30" t="s">
        <v>77</v>
      </c>
      <c r="H27" s="30"/>
      <c r="I27" s="30"/>
      <c r="J27" s="30"/>
      <c r="K27" s="30" t="s">
        <v>78</v>
      </c>
      <c r="L27" s="30"/>
      <c r="M27" s="30"/>
      <c r="N27" s="30"/>
      <c r="O27" s="31"/>
      <c r="P27" s="29" t="s">
        <v>57</v>
      </c>
      <c r="Q27" s="30"/>
      <c r="R27" s="30"/>
      <c r="S27" s="30"/>
      <c r="T27" s="30" t="s">
        <v>78</v>
      </c>
      <c r="U27" s="30"/>
      <c r="V27" s="30"/>
      <c r="W27" s="30"/>
      <c r="X27" s="30" t="s">
        <v>69</v>
      </c>
      <c r="Y27" s="30"/>
      <c r="Z27" s="30"/>
      <c r="AA27" s="32"/>
      <c r="AB27" s="250"/>
    </row>
    <row r="28" ht="18.600000000000001" customHeight="1">
      <c r="A28" s="13"/>
      <c r="B28" s="14"/>
      <c r="C28" s="33" t="s">
        <v>18</v>
      </c>
      <c r="D28" s="34"/>
      <c r="E28" s="35" t="s">
        <v>19</v>
      </c>
      <c r="F28" s="36"/>
      <c r="G28" s="36" t="s">
        <v>18</v>
      </c>
      <c r="H28" s="37"/>
      <c r="I28" s="35" t="s">
        <v>19</v>
      </c>
      <c r="J28" s="36"/>
      <c r="K28" s="36" t="s">
        <v>18</v>
      </c>
      <c r="L28" s="38"/>
      <c r="M28" s="39" t="s">
        <v>19</v>
      </c>
      <c r="N28" s="40"/>
      <c r="O28" s="41"/>
      <c r="P28" s="33" t="s">
        <v>18</v>
      </c>
      <c r="Q28" s="34"/>
      <c r="R28" s="35" t="s">
        <v>19</v>
      </c>
      <c r="S28" s="36"/>
      <c r="T28" s="36" t="s">
        <v>18</v>
      </c>
      <c r="U28" s="37"/>
      <c r="V28" s="35" t="s">
        <v>19</v>
      </c>
      <c r="W28" s="36"/>
      <c r="X28" s="36" t="s">
        <v>18</v>
      </c>
      <c r="Y28" s="38"/>
      <c r="Z28" s="39" t="s">
        <v>19</v>
      </c>
      <c r="AA28" s="42"/>
      <c r="AB28" s="250"/>
    </row>
    <row r="29" ht="21">
      <c r="A29" s="43" t="s">
        <v>20</v>
      </c>
      <c r="B29" s="44" t="s">
        <v>21</v>
      </c>
      <c r="C29" s="45" t="s">
        <v>22</v>
      </c>
      <c r="D29" s="46" t="s">
        <v>23</v>
      </c>
      <c r="E29" s="47" t="s">
        <v>22</v>
      </c>
      <c r="F29" s="48" t="s">
        <v>23</v>
      </c>
      <c r="G29" s="49" t="s">
        <v>22</v>
      </c>
      <c r="H29" s="50" t="s">
        <v>23</v>
      </c>
      <c r="I29" s="47" t="s">
        <v>22</v>
      </c>
      <c r="J29" s="48" t="s">
        <v>23</v>
      </c>
      <c r="K29" s="51" t="s">
        <v>22</v>
      </c>
      <c r="L29" s="52" t="s">
        <v>23</v>
      </c>
      <c r="M29" s="53" t="s">
        <v>22</v>
      </c>
      <c r="N29" s="54" t="s">
        <v>23</v>
      </c>
      <c r="O29" s="55"/>
      <c r="P29" s="45" t="s">
        <v>22</v>
      </c>
      <c r="Q29" s="46" t="s">
        <v>23</v>
      </c>
      <c r="R29" s="47" t="s">
        <v>22</v>
      </c>
      <c r="S29" s="48" t="s">
        <v>23</v>
      </c>
      <c r="T29" s="49" t="s">
        <v>22</v>
      </c>
      <c r="U29" s="50" t="s">
        <v>23</v>
      </c>
      <c r="V29" s="47" t="s">
        <v>22</v>
      </c>
      <c r="W29" s="48" t="s">
        <v>23</v>
      </c>
      <c r="X29" s="51" t="s">
        <v>22</v>
      </c>
      <c r="Y29" s="52" t="s">
        <v>23</v>
      </c>
      <c r="Z29" s="53" t="s">
        <v>22</v>
      </c>
      <c r="AA29" s="56" t="s">
        <v>23</v>
      </c>
      <c r="AB29" s="449"/>
    </row>
    <row r="30" ht="54.950000000000003" hidden="1" customHeight="1" outlineLevel="1">
      <c r="A30" s="58">
        <v>6</v>
      </c>
      <c r="B30" s="59" t="s">
        <v>24</v>
      </c>
      <c r="C30" s="60"/>
      <c r="D30" s="61"/>
      <c r="E30" s="62"/>
      <c r="F30" s="63"/>
      <c r="G30" s="64"/>
      <c r="H30" s="65"/>
      <c r="I30" s="62"/>
      <c r="J30" s="63"/>
      <c r="K30" s="66"/>
      <c r="L30" s="67"/>
      <c r="M30" s="68"/>
      <c r="N30" s="69"/>
      <c r="O30" s="70"/>
      <c r="P30" s="60"/>
      <c r="Q30" s="61"/>
      <c r="R30" s="62"/>
      <c r="S30" s="63"/>
      <c r="T30" s="64"/>
      <c r="U30" s="65"/>
      <c r="V30" s="62"/>
      <c r="W30" s="63"/>
      <c r="X30" s="66"/>
      <c r="Y30" s="67"/>
      <c r="Z30" s="68"/>
      <c r="AA30" s="71"/>
      <c r="AB30" s="448"/>
      <c r="AC30" s="72"/>
      <c r="AD30" s="72"/>
      <c r="AE30" s="72"/>
      <c r="AF30" s="72"/>
      <c r="AG30" s="72"/>
    </row>
    <row r="31" ht="54.950000000000003" hidden="1" customHeight="1" outlineLevel="1">
      <c r="A31" s="58"/>
      <c r="B31" s="59" t="s">
        <v>25</v>
      </c>
      <c r="C31" s="60"/>
      <c r="D31" s="61"/>
      <c r="E31" s="62"/>
      <c r="F31" s="63"/>
      <c r="G31" s="64"/>
      <c r="H31" s="65"/>
      <c r="I31" s="62"/>
      <c r="J31" s="63"/>
      <c r="K31" s="66"/>
      <c r="L31" s="67"/>
      <c r="M31" s="68"/>
      <c r="N31" s="69"/>
      <c r="O31" s="70"/>
      <c r="P31" s="60"/>
      <c r="Q31" s="61"/>
      <c r="R31" s="62"/>
      <c r="S31" s="63"/>
      <c r="T31" s="64"/>
      <c r="U31" s="65"/>
      <c r="V31" s="62"/>
      <c r="W31" s="63"/>
      <c r="X31" s="66"/>
      <c r="Y31" s="67"/>
      <c r="Z31" s="68"/>
      <c r="AA31" s="71"/>
      <c r="AB31" s="448"/>
      <c r="AC31" s="72"/>
      <c r="AD31" s="72"/>
      <c r="AE31" s="72"/>
      <c r="AF31" s="72"/>
      <c r="AG31" s="72"/>
    </row>
    <row r="32" ht="54.950000000000003" customHeight="1" collapsed="1">
      <c r="A32" s="58">
        <v>7</v>
      </c>
      <c r="B32" s="59" t="s">
        <v>26</v>
      </c>
      <c r="C32" s="73"/>
      <c r="D32" s="74">
        <v>2</v>
      </c>
      <c r="E32" s="75"/>
      <c r="F32" s="76"/>
      <c r="G32" s="77"/>
      <c r="H32" s="74">
        <v>1</v>
      </c>
      <c r="I32" s="75"/>
      <c r="J32" s="76"/>
      <c r="K32" s="73"/>
      <c r="L32" s="74"/>
      <c r="M32" s="75"/>
      <c r="N32" s="76"/>
      <c r="O32" s="70"/>
      <c r="P32" s="77"/>
      <c r="Q32" s="74"/>
      <c r="R32" s="75"/>
      <c r="S32" s="76"/>
      <c r="T32" s="73"/>
      <c r="U32" s="74"/>
      <c r="V32" s="75"/>
      <c r="W32" s="76"/>
      <c r="X32" s="77"/>
      <c r="Y32" s="74"/>
      <c r="Z32" s="75"/>
      <c r="AA32" s="76"/>
      <c r="AB32" s="448">
        <f t="shared" si="86"/>
        <v>3</v>
      </c>
      <c r="AC32" s="448">
        <f>SUM(AB32:AB35)</f>
        <v>15</v>
      </c>
      <c r="AD32" s="72"/>
      <c r="AE32" s="72"/>
      <c r="AF32" s="72"/>
      <c r="AG32" s="72"/>
    </row>
    <row r="33" ht="54.950000000000003" customHeight="1">
      <c r="A33" s="58"/>
      <c r="B33" s="59" t="s">
        <v>27</v>
      </c>
      <c r="C33" s="78">
        <v>1</v>
      </c>
      <c r="D33" s="79"/>
      <c r="E33" s="80"/>
      <c r="F33" s="81"/>
      <c r="G33" s="82"/>
      <c r="H33" s="79"/>
      <c r="I33" s="80"/>
      <c r="J33" s="81"/>
      <c r="K33" s="78"/>
      <c r="L33" s="79">
        <v>1</v>
      </c>
      <c r="M33" s="80"/>
      <c r="N33" s="81"/>
      <c r="O33" s="70"/>
      <c r="P33" s="82"/>
      <c r="Q33" s="79"/>
      <c r="R33" s="80"/>
      <c r="S33" s="81"/>
      <c r="T33" s="78"/>
      <c r="U33" s="79"/>
      <c r="V33" s="80"/>
      <c r="W33" s="81"/>
      <c r="X33" s="82"/>
      <c r="Y33" s="79">
        <v>1</v>
      </c>
      <c r="Z33" s="80"/>
      <c r="AA33" s="81"/>
      <c r="AB33" s="448">
        <f t="shared" si="86"/>
        <v>3</v>
      </c>
      <c r="AC33" s="448"/>
      <c r="AD33" s="72"/>
      <c r="AE33" s="72"/>
      <c r="AF33" s="72"/>
      <c r="AG33" s="72"/>
    </row>
    <row r="34" ht="54.950000000000003" customHeight="1">
      <c r="A34" s="58"/>
      <c r="B34" s="59" t="s">
        <v>24</v>
      </c>
      <c r="C34" s="83"/>
      <c r="D34" s="84"/>
      <c r="E34" s="85"/>
      <c r="F34" s="86"/>
      <c r="G34" s="87"/>
      <c r="H34" s="84"/>
      <c r="I34" s="85"/>
      <c r="J34" s="86"/>
      <c r="K34" s="83"/>
      <c r="L34" s="84"/>
      <c r="M34" s="85"/>
      <c r="N34" s="86"/>
      <c r="O34" s="70"/>
      <c r="P34" s="87"/>
      <c r="Q34" s="84"/>
      <c r="R34" s="85"/>
      <c r="S34" s="86"/>
      <c r="T34" s="83"/>
      <c r="U34" s="84"/>
      <c r="V34" s="85"/>
      <c r="W34" s="86"/>
      <c r="X34" s="87"/>
      <c r="Y34" s="84"/>
      <c r="Z34" s="85"/>
      <c r="AA34" s="86"/>
      <c r="AB34" s="448">
        <f t="shared" si="86"/>
        <v>0</v>
      </c>
      <c r="AC34" s="448"/>
      <c r="AD34" s="72"/>
      <c r="AE34" s="72"/>
      <c r="AF34" s="72"/>
      <c r="AG34" s="72"/>
    </row>
    <row r="35" ht="54.950000000000003" customHeight="1">
      <c r="A35" s="58"/>
      <c r="B35" s="59" t="s">
        <v>25</v>
      </c>
      <c r="C35" s="88"/>
      <c r="D35" s="89">
        <v>5</v>
      </c>
      <c r="E35" s="90">
        <v>1</v>
      </c>
      <c r="F35" s="91"/>
      <c r="G35" s="92"/>
      <c r="H35" s="89"/>
      <c r="I35" s="90"/>
      <c r="J35" s="91">
        <v>2</v>
      </c>
      <c r="K35" s="88"/>
      <c r="L35" s="89"/>
      <c r="M35" s="90">
        <v>1</v>
      </c>
      <c r="N35" s="91"/>
      <c r="O35" s="70"/>
      <c r="P35" s="92"/>
      <c r="Q35" s="89"/>
      <c r="R35" s="90"/>
      <c r="S35" s="91"/>
      <c r="T35" s="88"/>
      <c r="U35" s="89"/>
      <c r="V35" s="90"/>
      <c r="W35" s="91"/>
      <c r="X35" s="92"/>
      <c r="Y35" s="89"/>
      <c r="Z35" s="90"/>
      <c r="AA35" s="91"/>
      <c r="AB35" s="448">
        <f t="shared" si="86"/>
        <v>9</v>
      </c>
      <c r="AC35" s="448"/>
      <c r="AD35" s="72"/>
      <c r="AE35" s="72"/>
      <c r="AF35" s="72"/>
      <c r="AG35" s="72"/>
    </row>
    <row r="36" ht="54.950000000000003" customHeight="1">
      <c r="A36" s="58">
        <v>8</v>
      </c>
      <c r="B36" s="59" t="s">
        <v>26</v>
      </c>
      <c r="C36" s="73"/>
      <c r="D36" s="74"/>
      <c r="E36" s="75"/>
      <c r="F36" s="76"/>
      <c r="G36" s="77"/>
      <c r="H36" s="74">
        <v>2</v>
      </c>
      <c r="I36" s="75"/>
      <c r="J36" s="76"/>
      <c r="K36" s="73"/>
      <c r="L36" s="74"/>
      <c r="M36" s="75"/>
      <c r="N36" s="76"/>
      <c r="O36" s="70"/>
      <c r="P36" s="77"/>
      <c r="Q36" s="74"/>
      <c r="R36" s="75"/>
      <c r="S36" s="76"/>
      <c r="T36" s="73"/>
      <c r="U36" s="74"/>
      <c r="V36" s="75"/>
      <c r="W36" s="76"/>
      <c r="X36" s="77"/>
      <c r="Y36" s="74"/>
      <c r="Z36" s="75"/>
      <c r="AA36" s="76"/>
      <c r="AB36" s="448">
        <f t="shared" si="86"/>
        <v>2</v>
      </c>
      <c r="AC36" s="448">
        <f>SUM(AB36:AB39)</f>
        <v>18</v>
      </c>
      <c r="AD36" s="72"/>
      <c r="AE36" s="72"/>
      <c r="AF36" s="72"/>
      <c r="AG36" s="72"/>
    </row>
    <row r="37" ht="54.950000000000003" customHeight="1">
      <c r="A37" s="58"/>
      <c r="B37" s="59" t="s">
        <v>27</v>
      </c>
      <c r="C37" s="78"/>
      <c r="D37" s="79"/>
      <c r="E37" s="80">
        <v>2</v>
      </c>
      <c r="F37" s="81"/>
      <c r="G37" s="82"/>
      <c r="H37" s="79">
        <v>1</v>
      </c>
      <c r="I37" s="80"/>
      <c r="J37" s="81"/>
      <c r="K37" s="78"/>
      <c r="L37" s="79">
        <v>2</v>
      </c>
      <c r="M37" s="80"/>
      <c r="N37" s="81"/>
      <c r="O37" s="70"/>
      <c r="P37" s="82"/>
      <c r="Q37" s="79"/>
      <c r="R37" s="80"/>
      <c r="S37" s="81"/>
      <c r="T37" s="78">
        <v>2</v>
      </c>
      <c r="U37" s="79">
        <v>2</v>
      </c>
      <c r="V37" s="80">
        <v>1</v>
      </c>
      <c r="W37" s="81"/>
      <c r="X37" s="82"/>
      <c r="Y37" s="79"/>
      <c r="Z37" s="80"/>
      <c r="AA37" s="81"/>
      <c r="AB37" s="448">
        <f t="shared" si="86"/>
        <v>10</v>
      </c>
      <c r="AC37" s="448"/>
      <c r="AD37" s="72"/>
      <c r="AE37" s="72"/>
      <c r="AF37" s="72"/>
      <c r="AG37" s="72"/>
    </row>
    <row r="38" ht="54.950000000000003" customHeight="1">
      <c r="A38" s="58"/>
      <c r="B38" s="59" t="s">
        <v>24</v>
      </c>
      <c r="C38" s="83"/>
      <c r="D38" s="84"/>
      <c r="E38" s="85"/>
      <c r="F38" s="86"/>
      <c r="G38" s="87"/>
      <c r="H38" s="84"/>
      <c r="I38" s="85"/>
      <c r="J38" s="86"/>
      <c r="K38" s="83">
        <v>2</v>
      </c>
      <c r="L38" s="84"/>
      <c r="M38" s="85">
        <v>1</v>
      </c>
      <c r="N38" s="86"/>
      <c r="O38" s="70"/>
      <c r="P38" s="87"/>
      <c r="Q38" s="84"/>
      <c r="R38" s="85"/>
      <c r="S38" s="86"/>
      <c r="T38" s="83"/>
      <c r="U38" s="84"/>
      <c r="V38" s="85"/>
      <c r="W38" s="86"/>
      <c r="X38" s="87"/>
      <c r="Y38" s="84"/>
      <c r="Z38" s="85"/>
      <c r="AA38" s="86"/>
      <c r="AB38" s="448">
        <f t="shared" si="86"/>
        <v>3</v>
      </c>
      <c r="AC38" s="448"/>
      <c r="AD38" s="72"/>
      <c r="AE38" s="72"/>
      <c r="AF38" s="72"/>
      <c r="AG38" s="72"/>
    </row>
    <row r="39" ht="54.950000000000003" customHeight="1">
      <c r="A39" s="58"/>
      <c r="B39" s="59" t="s">
        <v>25</v>
      </c>
      <c r="C39" s="88">
        <v>1</v>
      </c>
      <c r="D39" s="89"/>
      <c r="E39" s="90">
        <v>1</v>
      </c>
      <c r="F39" s="91"/>
      <c r="G39" s="92"/>
      <c r="H39" s="89"/>
      <c r="I39" s="90"/>
      <c r="J39" s="91"/>
      <c r="K39" s="88"/>
      <c r="L39" s="89"/>
      <c r="M39" s="90"/>
      <c r="N39" s="91"/>
      <c r="O39" s="70"/>
      <c r="P39" s="92"/>
      <c r="Q39" s="89"/>
      <c r="R39" s="90"/>
      <c r="S39" s="91"/>
      <c r="T39" s="88"/>
      <c r="U39" s="89">
        <v>1</v>
      </c>
      <c r="V39" s="90"/>
      <c r="W39" s="91"/>
      <c r="X39" s="92"/>
      <c r="Y39" s="89"/>
      <c r="Z39" s="90"/>
      <c r="AA39" s="91"/>
      <c r="AB39" s="448">
        <f t="shared" si="86"/>
        <v>3</v>
      </c>
      <c r="AC39" s="448"/>
      <c r="AD39" s="72"/>
      <c r="AE39" s="72"/>
      <c r="AF39" s="72"/>
      <c r="AG39" s="72"/>
    </row>
    <row r="40" ht="54.950000000000003" hidden="1" customHeight="1" outlineLevel="1">
      <c r="A40" s="58">
        <v>9</v>
      </c>
      <c r="B40" s="59" t="s">
        <v>26</v>
      </c>
      <c r="C40" s="60"/>
      <c r="D40" s="61"/>
      <c r="E40" s="62"/>
      <c r="F40" s="63"/>
      <c r="G40" s="64"/>
      <c r="H40" s="65"/>
      <c r="I40" s="62"/>
      <c r="J40" s="63"/>
      <c r="K40" s="66"/>
      <c r="L40" s="67"/>
      <c r="M40" s="68"/>
      <c r="N40" s="69"/>
      <c r="O40" s="70"/>
      <c r="P40" s="60"/>
      <c r="Q40" s="61"/>
      <c r="R40" s="62"/>
      <c r="S40" s="63"/>
      <c r="T40" s="64"/>
      <c r="U40" s="65"/>
      <c r="V40" s="62"/>
      <c r="W40" s="63"/>
      <c r="X40" s="66"/>
      <c r="Y40" s="67"/>
      <c r="Z40" s="68"/>
      <c r="AA40" s="71"/>
      <c r="AB40" s="72"/>
      <c r="AC40" s="72"/>
      <c r="AD40" s="72"/>
      <c r="AE40" s="72"/>
      <c r="AF40" s="72"/>
      <c r="AG40" s="72"/>
    </row>
    <row r="41" ht="54.950000000000003" hidden="1" customHeight="1" outlineLevel="1">
      <c r="A41" s="93"/>
      <c r="B41" s="94" t="s">
        <v>27</v>
      </c>
      <c r="C41" s="95"/>
      <c r="D41" s="96"/>
      <c r="E41" s="97"/>
      <c r="F41" s="98"/>
      <c r="G41" s="99"/>
      <c r="H41" s="100"/>
      <c r="I41" s="97"/>
      <c r="J41" s="98"/>
      <c r="K41" s="101"/>
      <c r="L41" s="102"/>
      <c r="M41" s="103"/>
      <c r="N41" s="104"/>
      <c r="O41" s="70"/>
      <c r="P41" s="95"/>
      <c r="Q41" s="96"/>
      <c r="R41" s="97"/>
      <c r="S41" s="98"/>
      <c r="T41" s="99"/>
      <c r="U41" s="100"/>
      <c r="V41" s="97"/>
      <c r="W41" s="98"/>
      <c r="X41" s="101"/>
      <c r="Y41" s="102"/>
      <c r="Z41" s="103"/>
      <c r="AA41" s="105"/>
      <c r="AB41" s="72"/>
      <c r="AC41" s="72"/>
      <c r="AD41" s="72"/>
      <c r="AE41" s="72"/>
      <c r="AF41" s="72"/>
      <c r="AG41" s="72"/>
    </row>
    <row r="42" ht="30" customHeight="1" collapsed="1">
      <c r="A42" s="55"/>
      <c r="B42" s="55"/>
      <c r="C42" s="113"/>
      <c r="D42" s="113"/>
      <c r="E42" s="113"/>
      <c r="F42" s="113"/>
      <c r="G42" s="113"/>
      <c r="H42" s="113"/>
      <c r="I42" s="113"/>
      <c r="J42" s="113"/>
      <c r="K42" s="113"/>
      <c r="L42" s="113"/>
      <c r="M42" s="113"/>
      <c r="N42" s="113"/>
      <c r="O42" s="70"/>
      <c r="P42" s="113"/>
      <c r="Q42" s="113"/>
      <c r="R42" s="113"/>
      <c r="S42" s="113"/>
      <c r="T42" s="113"/>
      <c r="U42" s="113"/>
      <c r="V42" s="113"/>
      <c r="W42" s="113"/>
      <c r="X42" s="113"/>
      <c r="Y42" s="113"/>
      <c r="Z42" s="113"/>
      <c r="AA42" s="113"/>
      <c r="AB42" s="72"/>
      <c r="AC42" s="72"/>
      <c r="AD42" s="72"/>
      <c r="AE42" s="72"/>
      <c r="AF42" s="72"/>
      <c r="AG42" s="72"/>
    </row>
    <row r="43" ht="30" customHeight="1">
      <c r="A43" s="114"/>
      <c r="B43" s="115"/>
      <c r="C43" s="115"/>
      <c r="D43" s="115"/>
      <c r="E43" s="115"/>
      <c r="F43" s="115"/>
      <c r="G43" s="115"/>
      <c r="H43" s="115"/>
      <c r="I43" s="115"/>
      <c r="J43" s="115"/>
      <c r="K43" s="115"/>
      <c r="L43" s="115"/>
      <c r="M43" s="115"/>
      <c r="N43" s="115"/>
      <c r="O43" s="115"/>
      <c r="P43" s="115"/>
      <c r="Q43" s="115"/>
      <c r="R43" s="115"/>
      <c r="S43" s="115"/>
      <c r="T43" s="115"/>
      <c r="U43" s="115"/>
      <c r="V43" s="115"/>
      <c r="W43" s="115"/>
      <c r="X43" s="115"/>
      <c r="Y43" s="115"/>
      <c r="Z43" s="115"/>
      <c r="AA43" s="116"/>
      <c r="AB43" s="116"/>
      <c r="AC43" s="116"/>
      <c r="AD43" s="116"/>
      <c r="AE43" s="116"/>
      <c r="AF43" s="116"/>
      <c r="AG43" s="116"/>
      <c r="AH43" s="116"/>
      <c r="AI43" s="116"/>
      <c r="AJ43" s="116"/>
      <c r="AK43" s="116"/>
    </row>
    <row r="44" ht="32.25" customHeight="1">
      <c r="A44" s="118"/>
      <c r="B44" s="115"/>
      <c r="C44" s="119" t="str">
        <f t="shared" ref="C44:C45" si="87">C7</f>
        <v xml:space="preserve">Depuis 'Annemasse - Genève'</v>
      </c>
      <c r="D44" s="120"/>
      <c r="E44" s="120"/>
      <c r="F44" s="120"/>
      <c r="G44" s="120"/>
      <c r="H44" s="120"/>
      <c r="I44" s="120"/>
      <c r="J44" s="120"/>
      <c r="K44" s="120"/>
      <c r="L44" s="120"/>
      <c r="M44" s="120"/>
      <c r="N44" s="120"/>
      <c r="O44" s="121"/>
      <c r="P44" s="119" t="str">
        <f t="shared" ref="P44:P45" si="88">P7</f>
        <v xml:space="preserve">Depuis 'L'Eculaz'</v>
      </c>
      <c r="Q44" s="120"/>
      <c r="R44" s="120"/>
      <c r="S44" s="120"/>
      <c r="T44" s="120"/>
      <c r="U44" s="120"/>
      <c r="V44" s="120"/>
      <c r="W44" s="120"/>
      <c r="X44" s="120"/>
      <c r="Y44" s="120"/>
      <c r="Z44" s="120"/>
      <c r="AA44" s="122"/>
      <c r="AB44" s="118"/>
      <c r="AC44" s="115"/>
      <c r="AD44" s="123" t="s">
        <v>31</v>
      </c>
      <c r="AE44" s="124" t="s">
        <v>32</v>
      </c>
      <c r="AF44" s="124" t="s">
        <v>33</v>
      </c>
      <c r="AG44" s="124" t="s">
        <v>34</v>
      </c>
      <c r="AH44" s="124" t="s">
        <v>58</v>
      </c>
      <c r="AI44" s="450" t="s">
        <v>38</v>
      </c>
      <c r="AJ44" s="451"/>
      <c r="AK44" s="452"/>
    </row>
    <row r="45" ht="22.699999999999999" customHeight="1">
      <c r="A45" s="118"/>
      <c r="B45" s="115"/>
      <c r="C45" s="129" t="str">
        <f t="shared" si="87"/>
        <v xml:space="preserve">vers 'Reignier-centre'</v>
      </c>
      <c r="D45" s="130"/>
      <c r="E45" s="130"/>
      <c r="F45" s="130"/>
      <c r="G45" s="129" t="str">
        <f>G8</f>
        <v xml:space="preserve">vers 'Rue des Ecoles'</v>
      </c>
      <c r="H45" s="130"/>
      <c r="I45" s="130"/>
      <c r="J45" s="130"/>
      <c r="K45" s="129" t="str">
        <f>K8</f>
        <v xml:space="preserve">vers 'L'Eculaz'</v>
      </c>
      <c r="L45" s="130"/>
      <c r="M45" s="130"/>
      <c r="N45" s="130"/>
      <c r="O45" s="131"/>
      <c r="P45" s="129" t="str">
        <f t="shared" si="88"/>
        <v xml:space="preserve">vers 'Reignier-centre'</v>
      </c>
      <c r="Q45" s="130"/>
      <c r="R45" s="130"/>
      <c r="S45" s="130"/>
      <c r="T45" s="129" t="str">
        <f>T8</f>
        <v xml:space="preserve">vers 'Rue des Ecoles'</v>
      </c>
      <c r="U45" s="130"/>
      <c r="V45" s="130"/>
      <c r="W45" s="130"/>
      <c r="X45" s="129" t="str">
        <f>X8</f>
        <v xml:space="preserve">vers 'Annemasse - Genève'</v>
      </c>
      <c r="Y45" s="130"/>
      <c r="Z45" s="130"/>
      <c r="AA45" s="132"/>
      <c r="AB45" s="118"/>
      <c r="AC45" s="115"/>
      <c r="AD45" s="133"/>
      <c r="AE45" s="134"/>
      <c r="AF45" s="134"/>
      <c r="AG45" s="134"/>
      <c r="AH45" s="134"/>
      <c r="AI45" s="453"/>
      <c r="AJ45" s="454"/>
      <c r="AK45" s="455"/>
    </row>
    <row r="46" ht="18.600000000000001" customHeight="1">
      <c r="A46" s="118"/>
      <c r="B46" s="115"/>
      <c r="C46" s="139" t="s">
        <v>18</v>
      </c>
      <c r="D46" s="140"/>
      <c r="E46" s="141" t="s">
        <v>19</v>
      </c>
      <c r="F46" s="142"/>
      <c r="G46" s="142" t="s">
        <v>18</v>
      </c>
      <c r="H46" s="139"/>
      <c r="I46" s="141" t="s">
        <v>19</v>
      </c>
      <c r="J46" s="142"/>
      <c r="K46" s="142" t="s">
        <v>18</v>
      </c>
      <c r="L46" s="139"/>
      <c r="M46" s="141" t="s">
        <v>19</v>
      </c>
      <c r="N46" s="142"/>
      <c r="O46" s="142"/>
      <c r="P46" s="142" t="s">
        <v>18</v>
      </c>
      <c r="Q46" s="139"/>
      <c r="R46" s="141" t="s">
        <v>19</v>
      </c>
      <c r="S46" s="142"/>
      <c r="T46" s="142" t="s">
        <v>18</v>
      </c>
      <c r="U46" s="139"/>
      <c r="V46" s="141" t="s">
        <v>19</v>
      </c>
      <c r="W46" s="142"/>
      <c r="X46" s="142" t="s">
        <v>18</v>
      </c>
      <c r="Y46" s="139"/>
      <c r="Z46" s="140" t="s">
        <v>19</v>
      </c>
      <c r="AA46" s="141"/>
      <c r="AB46" s="143"/>
      <c r="AC46" s="115"/>
      <c r="AD46" s="133"/>
      <c r="AE46" s="134"/>
      <c r="AF46" s="134"/>
      <c r="AG46" s="134"/>
      <c r="AH46" s="134"/>
      <c r="AI46" s="453"/>
      <c r="AJ46" s="454"/>
      <c r="AK46" s="455"/>
    </row>
    <row r="47" ht="21">
      <c r="A47" s="144" t="s">
        <v>39</v>
      </c>
      <c r="B47" s="145"/>
      <c r="C47" s="146" t="s">
        <v>22</v>
      </c>
      <c r="D47" s="147" t="s">
        <v>23</v>
      </c>
      <c r="E47" s="148" t="s">
        <v>22</v>
      </c>
      <c r="F47" s="149" t="s">
        <v>23</v>
      </c>
      <c r="G47" s="146" t="s">
        <v>22</v>
      </c>
      <c r="H47" s="147" t="s">
        <v>23</v>
      </c>
      <c r="I47" s="148" t="s">
        <v>22</v>
      </c>
      <c r="J47" s="149" t="s">
        <v>23</v>
      </c>
      <c r="K47" s="146" t="s">
        <v>22</v>
      </c>
      <c r="L47" s="147" t="s">
        <v>23</v>
      </c>
      <c r="M47" s="148" t="s">
        <v>22</v>
      </c>
      <c r="N47" s="149" t="s">
        <v>23</v>
      </c>
      <c r="O47" s="150"/>
      <c r="P47" s="146" t="s">
        <v>22</v>
      </c>
      <c r="Q47" s="147" t="s">
        <v>23</v>
      </c>
      <c r="R47" s="148" t="s">
        <v>22</v>
      </c>
      <c r="S47" s="149" t="s">
        <v>23</v>
      </c>
      <c r="T47" s="146" t="s">
        <v>22</v>
      </c>
      <c r="U47" s="147" t="s">
        <v>23</v>
      </c>
      <c r="V47" s="148" t="s">
        <v>22</v>
      </c>
      <c r="W47" s="149" t="s">
        <v>23</v>
      </c>
      <c r="X47" s="146" t="s">
        <v>22</v>
      </c>
      <c r="Y47" s="147" t="s">
        <v>23</v>
      </c>
      <c r="Z47" s="148" t="s">
        <v>22</v>
      </c>
      <c r="AA47" s="149" t="s">
        <v>23</v>
      </c>
      <c r="AB47" s="151" t="s">
        <v>39</v>
      </c>
      <c r="AC47" s="152"/>
      <c r="AD47" s="133"/>
      <c r="AE47" s="153"/>
      <c r="AF47" s="153"/>
      <c r="AG47" s="153"/>
      <c r="AH47" s="153"/>
      <c r="AI47" s="456"/>
      <c r="AJ47" s="457"/>
      <c r="AK47" s="458"/>
    </row>
    <row r="48" ht="54.950000000000003" customHeight="1">
      <c r="A48" s="158" t="s">
        <v>40</v>
      </c>
      <c r="B48" s="159"/>
      <c r="C48" s="160">
        <f t="shared" ref="C48:AA48" si="89">SUM(C11:C14)</f>
        <v>0</v>
      </c>
      <c r="D48" s="161">
        <f t="shared" si="89"/>
        <v>1</v>
      </c>
      <c r="E48" s="162">
        <f t="shared" si="89"/>
        <v>0</v>
      </c>
      <c r="F48" s="163">
        <f t="shared" si="89"/>
        <v>0</v>
      </c>
      <c r="G48" s="160">
        <f t="shared" si="89"/>
        <v>0</v>
      </c>
      <c r="H48" s="161">
        <f t="shared" si="89"/>
        <v>0</v>
      </c>
      <c r="I48" s="162">
        <f t="shared" si="89"/>
        <v>0</v>
      </c>
      <c r="J48" s="163">
        <f t="shared" si="89"/>
        <v>0</v>
      </c>
      <c r="K48" s="160">
        <f t="shared" si="89"/>
        <v>0</v>
      </c>
      <c r="L48" s="161">
        <f t="shared" si="89"/>
        <v>0</v>
      </c>
      <c r="M48" s="162">
        <f t="shared" si="89"/>
        <v>0</v>
      </c>
      <c r="N48" s="163">
        <f t="shared" si="89"/>
        <v>0</v>
      </c>
      <c r="O48" s="164"/>
      <c r="P48" s="160">
        <f t="shared" si="89"/>
        <v>0</v>
      </c>
      <c r="Q48" s="161">
        <f t="shared" si="89"/>
        <v>0</v>
      </c>
      <c r="R48" s="162">
        <f t="shared" si="89"/>
        <v>0</v>
      </c>
      <c r="S48" s="163">
        <f t="shared" si="89"/>
        <v>0</v>
      </c>
      <c r="T48" s="160">
        <f t="shared" si="89"/>
        <v>0</v>
      </c>
      <c r="U48" s="161">
        <f t="shared" si="89"/>
        <v>0</v>
      </c>
      <c r="V48" s="162">
        <f t="shared" si="89"/>
        <v>0</v>
      </c>
      <c r="W48" s="163">
        <f t="shared" si="89"/>
        <v>0</v>
      </c>
      <c r="X48" s="160">
        <f t="shared" si="89"/>
        <v>0</v>
      </c>
      <c r="Y48" s="161">
        <f t="shared" si="89"/>
        <v>0</v>
      </c>
      <c r="Z48" s="162">
        <f t="shared" si="89"/>
        <v>0</v>
      </c>
      <c r="AA48" s="163">
        <f t="shared" si="89"/>
        <v>0</v>
      </c>
      <c r="AB48" s="165" t="s">
        <v>40</v>
      </c>
      <c r="AC48" s="166"/>
      <c r="AD48" s="167">
        <f t="shared" ref="AD48:AD53" si="90">SUM(C48:AA48)+SUM(C60:AA60)</f>
        <v>7</v>
      </c>
      <c r="AE48" s="168">
        <f t="shared" ref="AE48:AE54" si="91">IF(AD48=0,0,AE60/AD48)</f>
        <v>0.14285714285714285</v>
      </c>
      <c r="AF48" s="168">
        <f t="shared" ref="AF48:AF54" si="92">IF(AD48=0,0,AF60/AD48)</f>
        <v>0</v>
      </c>
      <c r="AG48" s="168">
        <f t="shared" ref="AG48:AG54" si="93">IF(AF60=0,0,AG60/AF60)</f>
        <v>0</v>
      </c>
      <c r="AH48" s="168">
        <f t="shared" ref="AH48:AH54" si="94">IF(AD48=0,0,AH60/AD48)</f>
        <v>0.5714285714285714</v>
      </c>
      <c r="AI48" s="459"/>
      <c r="AJ48" s="460"/>
      <c r="AK48" s="461"/>
    </row>
    <row r="49" ht="54.950000000000003" customHeight="1">
      <c r="A49" s="173" t="s">
        <v>41</v>
      </c>
      <c r="B49" s="174"/>
      <c r="C49" s="175">
        <f t="shared" ref="C49:AA49" si="95">SUM(C13:C16)</f>
        <v>0</v>
      </c>
      <c r="D49" s="176">
        <f t="shared" si="95"/>
        <v>1</v>
      </c>
      <c r="E49" s="177">
        <f t="shared" si="95"/>
        <v>0</v>
      </c>
      <c r="F49" s="178">
        <f t="shared" si="95"/>
        <v>1</v>
      </c>
      <c r="G49" s="175">
        <f t="shared" si="95"/>
        <v>0</v>
      </c>
      <c r="H49" s="176">
        <f t="shared" si="95"/>
        <v>0</v>
      </c>
      <c r="I49" s="177">
        <f t="shared" si="95"/>
        <v>0</v>
      </c>
      <c r="J49" s="178">
        <f t="shared" si="95"/>
        <v>0</v>
      </c>
      <c r="K49" s="175">
        <f t="shared" si="95"/>
        <v>0</v>
      </c>
      <c r="L49" s="176">
        <f t="shared" si="95"/>
        <v>0</v>
      </c>
      <c r="M49" s="177">
        <f t="shared" si="95"/>
        <v>0</v>
      </c>
      <c r="N49" s="178">
        <f t="shared" si="95"/>
        <v>0</v>
      </c>
      <c r="O49" s="179"/>
      <c r="P49" s="175">
        <f t="shared" si="95"/>
        <v>0</v>
      </c>
      <c r="Q49" s="176">
        <f t="shared" si="95"/>
        <v>2</v>
      </c>
      <c r="R49" s="177">
        <f t="shared" si="95"/>
        <v>1</v>
      </c>
      <c r="S49" s="178">
        <f t="shared" si="95"/>
        <v>0</v>
      </c>
      <c r="T49" s="175">
        <f t="shared" si="95"/>
        <v>0</v>
      </c>
      <c r="U49" s="176">
        <f t="shared" si="95"/>
        <v>0</v>
      </c>
      <c r="V49" s="177">
        <f t="shared" si="95"/>
        <v>0</v>
      </c>
      <c r="W49" s="178">
        <f t="shared" si="95"/>
        <v>2</v>
      </c>
      <c r="X49" s="175">
        <f t="shared" si="95"/>
        <v>1</v>
      </c>
      <c r="Y49" s="176">
        <f t="shared" si="95"/>
        <v>0</v>
      </c>
      <c r="Z49" s="177">
        <f t="shared" si="95"/>
        <v>0</v>
      </c>
      <c r="AA49" s="178">
        <f t="shared" si="95"/>
        <v>0</v>
      </c>
      <c r="AB49" s="180" t="s">
        <v>41</v>
      </c>
      <c r="AC49" s="181"/>
      <c r="AD49" s="182">
        <f t="shared" si="90"/>
        <v>23</v>
      </c>
      <c r="AE49" s="183">
        <f t="shared" si="91"/>
        <v>0.21739130434782608</v>
      </c>
      <c r="AF49" s="183">
        <f t="shared" si="92"/>
        <v>0.34782608695652173</v>
      </c>
      <c r="AG49" s="183">
        <f t="shared" si="93"/>
        <v>0.375</v>
      </c>
      <c r="AH49" s="183">
        <f t="shared" si="94"/>
        <v>0.47826086956521741</v>
      </c>
      <c r="AI49" s="462"/>
      <c r="AJ49" s="463"/>
      <c r="AK49" s="464"/>
    </row>
    <row r="50" ht="54.950000000000003" customHeight="1">
      <c r="A50" s="173" t="s">
        <v>42</v>
      </c>
      <c r="B50" s="174"/>
      <c r="C50" s="175">
        <f t="shared" ref="C50:AA50" si="96">SUM(C15:C18)</f>
        <v>0</v>
      </c>
      <c r="D50" s="176">
        <f t="shared" si="96"/>
        <v>0</v>
      </c>
      <c r="E50" s="177">
        <f t="shared" si="96"/>
        <v>0</v>
      </c>
      <c r="F50" s="178">
        <f t="shared" si="96"/>
        <v>1</v>
      </c>
      <c r="G50" s="175">
        <f t="shared" si="96"/>
        <v>0</v>
      </c>
      <c r="H50" s="176">
        <f t="shared" si="96"/>
        <v>0</v>
      </c>
      <c r="I50" s="177">
        <f t="shared" si="96"/>
        <v>0</v>
      </c>
      <c r="J50" s="178">
        <f t="shared" si="96"/>
        <v>0</v>
      </c>
      <c r="K50" s="175">
        <f t="shared" si="96"/>
        <v>0</v>
      </c>
      <c r="L50" s="176">
        <f t="shared" si="96"/>
        <v>0</v>
      </c>
      <c r="M50" s="177">
        <f t="shared" si="96"/>
        <v>0</v>
      </c>
      <c r="N50" s="178">
        <f t="shared" si="96"/>
        <v>0</v>
      </c>
      <c r="O50" s="179"/>
      <c r="P50" s="175">
        <f t="shared" si="96"/>
        <v>0</v>
      </c>
      <c r="Q50" s="176">
        <f t="shared" si="96"/>
        <v>4</v>
      </c>
      <c r="R50" s="177">
        <f t="shared" si="96"/>
        <v>1</v>
      </c>
      <c r="S50" s="178">
        <f t="shared" si="96"/>
        <v>0</v>
      </c>
      <c r="T50" s="175">
        <f t="shared" si="96"/>
        <v>0</v>
      </c>
      <c r="U50" s="176">
        <f t="shared" si="96"/>
        <v>2</v>
      </c>
      <c r="V50" s="177">
        <f t="shared" si="96"/>
        <v>0</v>
      </c>
      <c r="W50" s="178">
        <f t="shared" si="96"/>
        <v>2</v>
      </c>
      <c r="X50" s="175">
        <f t="shared" si="96"/>
        <v>1</v>
      </c>
      <c r="Y50" s="176">
        <f t="shared" si="96"/>
        <v>0</v>
      </c>
      <c r="Z50" s="177">
        <f t="shared" si="96"/>
        <v>0</v>
      </c>
      <c r="AA50" s="178">
        <f t="shared" si="96"/>
        <v>0</v>
      </c>
      <c r="AB50" s="180" t="s">
        <v>42</v>
      </c>
      <c r="AC50" s="181"/>
      <c r="AD50" s="182">
        <f t="shared" si="90"/>
        <v>32</v>
      </c>
      <c r="AE50" s="183">
        <f t="shared" si="91"/>
        <v>0.28125</v>
      </c>
      <c r="AF50" s="183">
        <f t="shared" si="92"/>
        <v>0.34375</v>
      </c>
      <c r="AG50" s="183">
        <f t="shared" si="93"/>
        <v>0.54545454545454541</v>
      </c>
      <c r="AH50" s="183">
        <f t="shared" si="94"/>
        <v>0.28125</v>
      </c>
      <c r="AI50" s="462"/>
      <c r="AJ50" s="463"/>
      <c r="AK50" s="464"/>
    </row>
    <row r="51" ht="54.950000000000003" customHeight="1">
      <c r="A51" s="173" t="s">
        <v>43</v>
      </c>
      <c r="B51" s="174"/>
      <c r="C51" s="175">
        <f t="shared" ref="C51:AA51" si="97">SUM(C17:C20)</f>
        <v>0</v>
      </c>
      <c r="D51" s="176">
        <f t="shared" si="97"/>
        <v>0</v>
      </c>
      <c r="E51" s="177">
        <f t="shared" si="97"/>
        <v>0</v>
      </c>
      <c r="F51" s="178">
        <f t="shared" si="97"/>
        <v>0</v>
      </c>
      <c r="G51" s="175">
        <f t="shared" si="97"/>
        <v>0</v>
      </c>
      <c r="H51" s="176">
        <f t="shared" si="97"/>
        <v>0</v>
      </c>
      <c r="I51" s="177">
        <f t="shared" si="97"/>
        <v>0</v>
      </c>
      <c r="J51" s="178">
        <f t="shared" si="97"/>
        <v>0</v>
      </c>
      <c r="K51" s="175">
        <f t="shared" si="97"/>
        <v>0</v>
      </c>
      <c r="L51" s="176">
        <f t="shared" si="97"/>
        <v>0</v>
      </c>
      <c r="M51" s="177">
        <f t="shared" si="97"/>
        <v>0</v>
      </c>
      <c r="N51" s="178">
        <f t="shared" si="97"/>
        <v>0</v>
      </c>
      <c r="O51" s="179"/>
      <c r="P51" s="175">
        <f t="shared" si="97"/>
        <v>0</v>
      </c>
      <c r="Q51" s="176">
        <f t="shared" si="97"/>
        <v>2</v>
      </c>
      <c r="R51" s="177">
        <f t="shared" si="97"/>
        <v>0</v>
      </c>
      <c r="S51" s="178">
        <f t="shared" si="97"/>
        <v>0</v>
      </c>
      <c r="T51" s="175">
        <f t="shared" si="97"/>
        <v>0</v>
      </c>
      <c r="U51" s="176">
        <f t="shared" si="97"/>
        <v>2</v>
      </c>
      <c r="V51" s="177">
        <f t="shared" si="97"/>
        <v>2</v>
      </c>
      <c r="W51" s="178">
        <f t="shared" si="97"/>
        <v>2</v>
      </c>
      <c r="X51" s="175">
        <f t="shared" si="97"/>
        <v>0</v>
      </c>
      <c r="Y51" s="176">
        <f t="shared" si="97"/>
        <v>0</v>
      </c>
      <c r="Z51" s="177">
        <f t="shared" si="97"/>
        <v>0</v>
      </c>
      <c r="AA51" s="178">
        <f t="shared" si="97"/>
        <v>0</v>
      </c>
      <c r="AB51" s="180" t="s">
        <v>43</v>
      </c>
      <c r="AC51" s="181"/>
      <c r="AD51" s="182">
        <f t="shared" si="90"/>
        <v>26</v>
      </c>
      <c r="AE51" s="183">
        <f t="shared" si="91"/>
        <v>0.46153846153846156</v>
      </c>
      <c r="AF51" s="183">
        <f t="shared" si="92"/>
        <v>0.34615384615384615</v>
      </c>
      <c r="AG51" s="183">
        <f t="shared" si="93"/>
        <v>0.77777777777777779</v>
      </c>
      <c r="AH51" s="183">
        <f t="shared" si="94"/>
        <v>0.15384615384615385</v>
      </c>
      <c r="AI51" s="462"/>
      <c r="AJ51" s="463"/>
      <c r="AK51" s="464"/>
    </row>
    <row r="52" ht="54.950000000000003" customHeight="1">
      <c r="A52" s="188" t="s">
        <v>44</v>
      </c>
      <c r="B52" s="189"/>
      <c r="C52" s="190">
        <f t="shared" ref="C52:AA52" si="98">SUM(C19:C22)</f>
        <v>0</v>
      </c>
      <c r="D52" s="191">
        <f t="shared" si="98"/>
        <v>0</v>
      </c>
      <c r="E52" s="192">
        <f t="shared" si="98"/>
        <v>0</v>
      </c>
      <c r="F52" s="193">
        <f t="shared" si="98"/>
        <v>0</v>
      </c>
      <c r="G52" s="190">
        <f t="shared" si="98"/>
        <v>0</v>
      </c>
      <c r="H52" s="191">
        <f t="shared" si="98"/>
        <v>0</v>
      </c>
      <c r="I52" s="192">
        <f t="shared" si="98"/>
        <v>0</v>
      </c>
      <c r="J52" s="193">
        <f t="shared" si="98"/>
        <v>0</v>
      </c>
      <c r="K52" s="190">
        <f t="shared" si="98"/>
        <v>0</v>
      </c>
      <c r="L52" s="191">
        <f t="shared" si="98"/>
        <v>0</v>
      </c>
      <c r="M52" s="192">
        <f t="shared" si="98"/>
        <v>0</v>
      </c>
      <c r="N52" s="193">
        <f t="shared" si="98"/>
        <v>0</v>
      </c>
      <c r="O52" s="194"/>
      <c r="P52" s="190">
        <f t="shared" si="98"/>
        <v>0</v>
      </c>
      <c r="Q52" s="191">
        <f t="shared" si="98"/>
        <v>0</v>
      </c>
      <c r="R52" s="192">
        <f t="shared" si="98"/>
        <v>0</v>
      </c>
      <c r="S52" s="193">
        <f t="shared" si="98"/>
        <v>0</v>
      </c>
      <c r="T52" s="190">
        <f t="shared" si="98"/>
        <v>0</v>
      </c>
      <c r="U52" s="191">
        <f t="shared" si="98"/>
        <v>0</v>
      </c>
      <c r="V52" s="192">
        <f t="shared" si="98"/>
        <v>2</v>
      </c>
      <c r="W52" s="193">
        <f t="shared" si="98"/>
        <v>2</v>
      </c>
      <c r="X52" s="190">
        <f t="shared" si="98"/>
        <v>0</v>
      </c>
      <c r="Y52" s="191">
        <f t="shared" si="98"/>
        <v>0</v>
      </c>
      <c r="Z52" s="192">
        <f t="shared" si="98"/>
        <v>0</v>
      </c>
      <c r="AA52" s="193">
        <f t="shared" si="98"/>
        <v>0</v>
      </c>
      <c r="AB52" s="195" t="s">
        <v>44</v>
      </c>
      <c r="AC52" s="196"/>
      <c r="AD52" s="197">
        <f t="shared" si="90"/>
        <v>10</v>
      </c>
      <c r="AE52" s="198">
        <f t="shared" si="91"/>
        <v>0.69999999999999996</v>
      </c>
      <c r="AF52" s="198">
        <f t="shared" si="92"/>
        <v>0.59999999999999998</v>
      </c>
      <c r="AG52" s="198">
        <f t="shared" si="93"/>
        <v>0.66666666666666663</v>
      </c>
      <c r="AH52" s="198">
        <f t="shared" si="94"/>
        <v>0.20000000000000001</v>
      </c>
      <c r="AI52" s="465"/>
      <c r="AJ52" s="466"/>
      <c r="AK52" s="467"/>
    </row>
    <row r="53" ht="54.950000000000003" customHeight="1">
      <c r="A53" s="203" t="s">
        <v>31</v>
      </c>
      <c r="B53" s="204"/>
      <c r="C53" s="205">
        <f t="shared" ref="C53:AA53" si="99">SUM(C11:C22)</f>
        <v>0</v>
      </c>
      <c r="D53" s="206">
        <f t="shared" si="99"/>
        <v>1</v>
      </c>
      <c r="E53" s="207">
        <f t="shared" si="99"/>
        <v>0</v>
      </c>
      <c r="F53" s="208">
        <f t="shared" si="99"/>
        <v>1</v>
      </c>
      <c r="G53" s="205">
        <f t="shared" si="99"/>
        <v>0</v>
      </c>
      <c r="H53" s="206">
        <f t="shared" si="99"/>
        <v>0</v>
      </c>
      <c r="I53" s="207">
        <f t="shared" si="99"/>
        <v>0</v>
      </c>
      <c r="J53" s="208">
        <f t="shared" si="99"/>
        <v>0</v>
      </c>
      <c r="K53" s="205">
        <f t="shared" si="99"/>
        <v>0</v>
      </c>
      <c r="L53" s="206">
        <f t="shared" si="99"/>
        <v>0</v>
      </c>
      <c r="M53" s="207">
        <f t="shared" si="99"/>
        <v>0</v>
      </c>
      <c r="N53" s="208">
        <f t="shared" si="99"/>
        <v>0</v>
      </c>
      <c r="O53" s="209"/>
      <c r="P53" s="205">
        <f t="shared" si="99"/>
        <v>0</v>
      </c>
      <c r="Q53" s="206">
        <f t="shared" si="99"/>
        <v>4</v>
      </c>
      <c r="R53" s="207">
        <f t="shared" si="99"/>
        <v>1</v>
      </c>
      <c r="S53" s="208">
        <f t="shared" si="99"/>
        <v>0</v>
      </c>
      <c r="T53" s="205">
        <f t="shared" si="99"/>
        <v>0</v>
      </c>
      <c r="U53" s="206">
        <f t="shared" si="99"/>
        <v>2</v>
      </c>
      <c r="V53" s="207">
        <f t="shared" si="99"/>
        <v>2</v>
      </c>
      <c r="W53" s="208">
        <f t="shared" si="99"/>
        <v>4</v>
      </c>
      <c r="X53" s="205">
        <f t="shared" si="99"/>
        <v>1</v>
      </c>
      <c r="Y53" s="206">
        <f t="shared" si="99"/>
        <v>0</v>
      </c>
      <c r="Z53" s="207">
        <f t="shared" si="99"/>
        <v>0</v>
      </c>
      <c r="AA53" s="208">
        <f t="shared" si="99"/>
        <v>0</v>
      </c>
      <c r="AB53" s="210" t="s">
        <v>31</v>
      </c>
      <c r="AC53" s="211"/>
      <c r="AD53" s="212">
        <f t="shared" si="90"/>
        <v>49</v>
      </c>
      <c r="AE53" s="213">
        <f t="shared" si="91"/>
        <v>0.34693877551020408</v>
      </c>
      <c r="AF53" s="213">
        <f t="shared" si="92"/>
        <v>0.34693877551020408</v>
      </c>
      <c r="AG53" s="213">
        <f t="shared" si="93"/>
        <v>0.58823529411764708</v>
      </c>
      <c r="AH53" s="213">
        <f t="shared" si="94"/>
        <v>0.30612244897959184</v>
      </c>
      <c r="AI53" s="468"/>
      <c r="AJ53" s="469"/>
      <c r="AK53" s="470"/>
    </row>
    <row r="54" ht="54.950000000000003" customHeight="1">
      <c r="A54" s="218" t="str">
        <f>IF($AD$48=MAX($AD$48:$AD$52),A48,IF($AD$49=MAX($AD$48:$AD$52),A49,IF($AD$50=MAX($AD$48:$AD$52),A50,IF($AD$51=MAX($AD$48:$AD$52),A51,A52))))</f>
        <v xml:space="preserve">de 7:30 à 8:30</v>
      </c>
      <c r="B54" s="219"/>
      <c r="C54" s="220">
        <f t="shared" ref="C54:N54" si="100">IF($AD$48=MAX($AD$48:$AD$52),C48,IF($AD$49=MAX($AD$48:$AD$52),C49,IF($AD$50=MAX($AD$48:$AD$52),C50,IF($AD$51=MAX($AD$48:$AD$52),(C51),C52))))</f>
        <v>0</v>
      </c>
      <c r="D54" s="221">
        <f t="shared" si="100"/>
        <v>0</v>
      </c>
      <c r="E54" s="222">
        <f t="shared" si="100"/>
        <v>0</v>
      </c>
      <c r="F54" s="223">
        <f t="shared" si="100"/>
        <v>1</v>
      </c>
      <c r="G54" s="220">
        <f t="shared" si="100"/>
        <v>0</v>
      </c>
      <c r="H54" s="221">
        <f t="shared" si="100"/>
        <v>0</v>
      </c>
      <c r="I54" s="222">
        <f t="shared" si="100"/>
        <v>0</v>
      </c>
      <c r="J54" s="223">
        <f t="shared" si="100"/>
        <v>0</v>
      </c>
      <c r="K54" s="220">
        <f t="shared" si="100"/>
        <v>0</v>
      </c>
      <c r="L54" s="221">
        <f t="shared" si="100"/>
        <v>0</v>
      </c>
      <c r="M54" s="222">
        <f t="shared" si="100"/>
        <v>0</v>
      </c>
      <c r="N54" s="223">
        <f t="shared" si="100"/>
        <v>0</v>
      </c>
      <c r="O54" s="224"/>
      <c r="P54" s="220">
        <f t="shared" ref="P54:AA54" si="101">IF($AD$48=MAX($AD$48:$AD$52),P48,IF($AD$49=MAX($AD$48:$AD$52),P49,IF($AD$50=MAX($AD$48:$AD$52),P50,IF($AD$51=MAX($AD$48:$AD$52),(P51),P52))))</f>
        <v>0</v>
      </c>
      <c r="Q54" s="221">
        <f t="shared" si="101"/>
        <v>4</v>
      </c>
      <c r="R54" s="222">
        <f t="shared" si="101"/>
        <v>1</v>
      </c>
      <c r="S54" s="223">
        <f t="shared" si="101"/>
        <v>0</v>
      </c>
      <c r="T54" s="220">
        <f t="shared" si="101"/>
        <v>0</v>
      </c>
      <c r="U54" s="221">
        <f t="shared" si="101"/>
        <v>2</v>
      </c>
      <c r="V54" s="222">
        <f t="shared" si="101"/>
        <v>0</v>
      </c>
      <c r="W54" s="223">
        <f t="shared" si="101"/>
        <v>2</v>
      </c>
      <c r="X54" s="220">
        <f t="shared" si="101"/>
        <v>1</v>
      </c>
      <c r="Y54" s="221">
        <f t="shared" si="101"/>
        <v>0</v>
      </c>
      <c r="Z54" s="222">
        <f t="shared" si="101"/>
        <v>0</v>
      </c>
      <c r="AA54" s="223">
        <f t="shared" si="101"/>
        <v>0</v>
      </c>
      <c r="AB54" s="225" t="str">
        <f>IF($AD$48=MAX($AD$48:$AD$52),A48,IF($AD$49=MAX($AD$48:$AD$52),A49,IF($AD$50=MAX($AD$48:$AD$52),A50,IF($AD$51=MAX($AD$48:$AD$52),A51,A52))))</f>
        <v xml:space="preserve">de 7:30 à 8:30</v>
      </c>
      <c r="AC54" s="226"/>
      <c r="AD54" s="227">
        <f>IF($AD$48=MAX($AD$48:$AD$52),AD48,IF($AD$49=MAX($AD$48:$AD$52),AD49,IF($AD$50=MAX($AD$48:$AD$52),AD50,IF($AD$51=MAX($AD$48:$AD$52),(AD51),AD52))))</f>
        <v>32</v>
      </c>
      <c r="AE54" s="228">
        <f t="shared" si="91"/>
        <v>0.28125</v>
      </c>
      <c r="AF54" s="228">
        <f t="shared" si="92"/>
        <v>0.34375</v>
      </c>
      <c r="AG54" s="228">
        <f t="shared" si="93"/>
        <v>0.54545454545454541</v>
      </c>
      <c r="AH54" s="228">
        <f t="shared" si="94"/>
        <v>0.28125</v>
      </c>
      <c r="AI54" s="471"/>
      <c r="AJ54" s="472"/>
      <c r="AK54" s="473"/>
    </row>
    <row r="55" ht="12.75" customHeight="1">
      <c r="A55" s="114"/>
      <c r="B55" s="115"/>
      <c r="C55" s="115"/>
      <c r="D55" s="115"/>
      <c r="E55" s="115"/>
      <c r="F55" s="115"/>
      <c r="G55" s="115"/>
      <c r="H55" s="115"/>
      <c r="I55" s="115"/>
      <c r="J55" s="115"/>
      <c r="K55" s="115"/>
      <c r="L55" s="115"/>
      <c r="M55" s="115"/>
      <c r="N55" s="115"/>
      <c r="O55" s="115"/>
      <c r="P55" s="115"/>
      <c r="Q55" s="115"/>
      <c r="R55" s="115"/>
      <c r="S55" s="115"/>
      <c r="T55" s="115"/>
      <c r="U55" s="115"/>
      <c r="V55" s="115"/>
      <c r="W55" s="115"/>
      <c r="X55" s="115"/>
      <c r="Y55" s="115"/>
      <c r="Z55" s="115"/>
      <c r="AA55" s="116"/>
      <c r="AB55" s="233"/>
      <c r="AC55" s="233"/>
      <c r="AD55" s="234"/>
      <c r="AE55" s="235"/>
      <c r="AF55" s="235"/>
      <c r="AG55" s="235"/>
      <c r="AH55" s="235"/>
      <c r="AI55" s="236"/>
      <c r="AJ55" s="236"/>
      <c r="AK55" s="236"/>
    </row>
    <row r="56" ht="32.25" customHeight="1">
      <c r="A56" s="118"/>
      <c r="B56" s="115"/>
      <c r="C56" s="119" t="str">
        <f t="shared" ref="C56:C57" si="102">C26</f>
        <v xml:space="preserve">Depuis 'Reignier-centre'</v>
      </c>
      <c r="D56" s="120"/>
      <c r="E56" s="120"/>
      <c r="F56" s="120"/>
      <c r="G56" s="120"/>
      <c r="H56" s="120"/>
      <c r="I56" s="120"/>
      <c r="J56" s="120"/>
      <c r="K56" s="120"/>
      <c r="L56" s="120"/>
      <c r="M56" s="120"/>
      <c r="N56" s="120"/>
      <c r="O56" s="121"/>
      <c r="P56" s="119" t="str">
        <f t="shared" ref="P56:P57" si="103">P26</f>
        <v xml:space="preserve">Depuis 'Reignier - Rue des Ecoles'</v>
      </c>
      <c r="Q56" s="120"/>
      <c r="R56" s="120"/>
      <c r="S56" s="120"/>
      <c r="T56" s="120"/>
      <c r="U56" s="120"/>
      <c r="V56" s="120"/>
      <c r="W56" s="120"/>
      <c r="X56" s="120"/>
      <c r="Y56" s="120"/>
      <c r="Z56" s="120"/>
      <c r="AA56" s="122"/>
      <c r="AB56" s="233"/>
      <c r="AC56" s="233"/>
      <c r="AD56" s="234"/>
      <c r="AE56" s="124" t="s">
        <v>45</v>
      </c>
      <c r="AF56" s="124" t="s">
        <v>46</v>
      </c>
      <c r="AG56" s="124" t="s">
        <v>47</v>
      </c>
      <c r="AH56" s="125" t="s">
        <v>59</v>
      </c>
      <c r="AI56" s="236"/>
      <c r="AJ56" s="236"/>
      <c r="AK56" s="236"/>
    </row>
    <row r="57" ht="22.699999999999999" customHeight="1">
      <c r="A57" s="118"/>
      <c r="B57" s="115"/>
      <c r="C57" s="129" t="str">
        <f t="shared" si="102"/>
        <v xml:space="preserve">vers 'Annemasse - Genève'</v>
      </c>
      <c r="D57" s="130"/>
      <c r="E57" s="130"/>
      <c r="F57" s="130"/>
      <c r="G57" s="129" t="str">
        <f>G27</f>
        <v xml:space="preserve">vers 'Rue des Ecoles'</v>
      </c>
      <c r="H57" s="130"/>
      <c r="I57" s="130"/>
      <c r="J57" s="130"/>
      <c r="K57" s="129" t="str">
        <f>K27</f>
        <v xml:space="preserve">vers 'L'Eculaz'</v>
      </c>
      <c r="L57" s="130"/>
      <c r="M57" s="130"/>
      <c r="N57" s="130"/>
      <c r="O57" s="131"/>
      <c r="P57" s="129" t="str">
        <f t="shared" si="103"/>
        <v xml:space="preserve">vers 'Reignier-centre'</v>
      </c>
      <c r="Q57" s="130"/>
      <c r="R57" s="130"/>
      <c r="S57" s="130"/>
      <c r="T57" s="129" t="str">
        <f>T27</f>
        <v xml:space="preserve">vers 'L'Eculaz'</v>
      </c>
      <c r="U57" s="130"/>
      <c r="V57" s="130"/>
      <c r="W57" s="130"/>
      <c r="X57" s="129" t="str">
        <f>X27</f>
        <v xml:space="preserve">vers 'Annemasse - Genève'</v>
      </c>
      <c r="Y57" s="130"/>
      <c r="Z57" s="130"/>
      <c r="AA57" s="132"/>
      <c r="AB57" s="233"/>
      <c r="AC57" s="233"/>
      <c r="AD57" s="234"/>
      <c r="AE57" s="134"/>
      <c r="AF57" s="134"/>
      <c r="AG57" s="134"/>
      <c r="AH57" s="135"/>
      <c r="AI57" s="236"/>
      <c r="AJ57" s="236"/>
      <c r="AK57" s="236"/>
    </row>
    <row r="58" ht="18.600000000000001" customHeight="1">
      <c r="A58" s="118"/>
      <c r="B58" s="115"/>
      <c r="C58" s="139" t="s">
        <v>18</v>
      </c>
      <c r="D58" s="140"/>
      <c r="E58" s="141" t="s">
        <v>19</v>
      </c>
      <c r="F58" s="142"/>
      <c r="G58" s="142" t="s">
        <v>18</v>
      </c>
      <c r="H58" s="139"/>
      <c r="I58" s="141" t="s">
        <v>19</v>
      </c>
      <c r="J58" s="142"/>
      <c r="K58" s="142" t="s">
        <v>18</v>
      </c>
      <c r="L58" s="139"/>
      <c r="M58" s="141" t="s">
        <v>19</v>
      </c>
      <c r="N58" s="142"/>
      <c r="O58" s="142"/>
      <c r="P58" s="142" t="s">
        <v>18</v>
      </c>
      <c r="Q58" s="139"/>
      <c r="R58" s="141" t="s">
        <v>19</v>
      </c>
      <c r="S58" s="142"/>
      <c r="T58" s="142" t="s">
        <v>18</v>
      </c>
      <c r="U58" s="139"/>
      <c r="V58" s="141" t="s">
        <v>19</v>
      </c>
      <c r="W58" s="142"/>
      <c r="X58" s="142" t="s">
        <v>18</v>
      </c>
      <c r="Y58" s="139"/>
      <c r="Z58" s="140" t="s">
        <v>19</v>
      </c>
      <c r="AA58" s="141"/>
      <c r="AB58" s="233"/>
      <c r="AC58" s="233"/>
      <c r="AD58" s="234"/>
      <c r="AE58" s="134"/>
      <c r="AF58" s="134"/>
      <c r="AG58" s="134"/>
      <c r="AH58" s="135"/>
      <c r="AI58" s="236"/>
      <c r="AJ58" s="236"/>
      <c r="AK58" s="236"/>
    </row>
    <row r="59" ht="21.75" customHeight="1">
      <c r="A59" s="144" t="s">
        <v>39</v>
      </c>
      <c r="B59" s="145"/>
      <c r="C59" s="146" t="s">
        <v>22</v>
      </c>
      <c r="D59" s="147" t="s">
        <v>23</v>
      </c>
      <c r="E59" s="148" t="s">
        <v>22</v>
      </c>
      <c r="F59" s="149" t="s">
        <v>23</v>
      </c>
      <c r="G59" s="146" t="s">
        <v>22</v>
      </c>
      <c r="H59" s="147" t="s">
        <v>23</v>
      </c>
      <c r="I59" s="148" t="s">
        <v>22</v>
      </c>
      <c r="J59" s="149" t="s">
        <v>23</v>
      </c>
      <c r="K59" s="146" t="s">
        <v>22</v>
      </c>
      <c r="L59" s="147" t="s">
        <v>23</v>
      </c>
      <c r="M59" s="148" t="s">
        <v>22</v>
      </c>
      <c r="N59" s="149" t="s">
        <v>23</v>
      </c>
      <c r="O59" s="150"/>
      <c r="P59" s="146" t="s">
        <v>22</v>
      </c>
      <c r="Q59" s="147" t="s">
        <v>23</v>
      </c>
      <c r="R59" s="148" t="s">
        <v>22</v>
      </c>
      <c r="S59" s="149" t="s">
        <v>23</v>
      </c>
      <c r="T59" s="146" t="s">
        <v>22</v>
      </c>
      <c r="U59" s="147" t="s">
        <v>23</v>
      </c>
      <c r="V59" s="148" t="s">
        <v>22</v>
      </c>
      <c r="W59" s="149" t="s">
        <v>23</v>
      </c>
      <c r="X59" s="146" t="s">
        <v>22</v>
      </c>
      <c r="Y59" s="147" t="s">
        <v>23</v>
      </c>
      <c r="Z59" s="148" t="s">
        <v>22</v>
      </c>
      <c r="AA59" s="149" t="s">
        <v>23</v>
      </c>
      <c r="AB59" s="233"/>
      <c r="AC59" s="233"/>
      <c r="AD59" s="234"/>
      <c r="AE59" s="153"/>
      <c r="AF59" s="153"/>
      <c r="AG59" s="153"/>
      <c r="AH59" s="154"/>
      <c r="AI59" s="236"/>
      <c r="AJ59" s="236"/>
      <c r="AK59" s="236"/>
    </row>
    <row r="60" ht="54.950000000000003" customHeight="1">
      <c r="A60" s="158" t="s">
        <v>40</v>
      </c>
      <c r="B60" s="159"/>
      <c r="C60" s="160">
        <f t="shared" ref="C60:AA60" si="104">SUM(C30:C33)</f>
        <v>1</v>
      </c>
      <c r="D60" s="161">
        <f t="shared" si="104"/>
        <v>2</v>
      </c>
      <c r="E60" s="162">
        <f t="shared" si="104"/>
        <v>0</v>
      </c>
      <c r="F60" s="163">
        <f t="shared" si="104"/>
        <v>0</v>
      </c>
      <c r="G60" s="160">
        <f t="shared" si="104"/>
        <v>0</v>
      </c>
      <c r="H60" s="161">
        <f t="shared" si="104"/>
        <v>1</v>
      </c>
      <c r="I60" s="162">
        <f t="shared" si="104"/>
        <v>0</v>
      </c>
      <c r="J60" s="163">
        <f t="shared" si="104"/>
        <v>0</v>
      </c>
      <c r="K60" s="160">
        <f t="shared" si="104"/>
        <v>0</v>
      </c>
      <c r="L60" s="161">
        <f t="shared" si="104"/>
        <v>1</v>
      </c>
      <c r="M60" s="162">
        <f t="shared" si="104"/>
        <v>0</v>
      </c>
      <c r="N60" s="163">
        <f t="shared" si="104"/>
        <v>0</v>
      </c>
      <c r="O60" s="164"/>
      <c r="P60" s="160">
        <f t="shared" si="104"/>
        <v>0</v>
      </c>
      <c r="Q60" s="161">
        <f t="shared" si="104"/>
        <v>0</v>
      </c>
      <c r="R60" s="162">
        <f t="shared" si="104"/>
        <v>0</v>
      </c>
      <c r="S60" s="163">
        <f t="shared" si="104"/>
        <v>0</v>
      </c>
      <c r="T60" s="160">
        <f t="shared" si="104"/>
        <v>0</v>
      </c>
      <c r="U60" s="161">
        <f t="shared" si="104"/>
        <v>0</v>
      </c>
      <c r="V60" s="162">
        <f t="shared" si="104"/>
        <v>0</v>
      </c>
      <c r="W60" s="163">
        <f t="shared" si="104"/>
        <v>0</v>
      </c>
      <c r="X60" s="160">
        <f t="shared" si="104"/>
        <v>0</v>
      </c>
      <c r="Y60" s="161">
        <f t="shared" si="104"/>
        <v>1</v>
      </c>
      <c r="Z60" s="162">
        <f t="shared" si="104"/>
        <v>0</v>
      </c>
      <c r="AA60" s="163">
        <f t="shared" si="104"/>
        <v>0</v>
      </c>
      <c r="AB60" s="233"/>
      <c r="AC60" s="233"/>
      <c r="AD60" s="234"/>
      <c r="AE60" s="474">
        <f t="shared" ref="AE60:AE66" si="105">(C48+E48+G48+I48+K48+M48+P48+R48+T48+V48+X48+Z48+C60+E60+G60+I60+K60+M60+P60+R60+T60+V60+X60+Z60)</f>
        <v>1</v>
      </c>
      <c r="AF60" s="474">
        <f t="shared" ref="AF60:AF66" si="106">(E48+F48+I48+J48+M48+N48+R48+S48+V48+W48+Z48+AA48+E60+F60+I60+J60+M60+N60+R60+S60+V60+W60+Z60+AA60)</f>
        <v>0</v>
      </c>
      <c r="AG60" s="474">
        <f t="shared" ref="AG60:AG66" si="107">(E48+I48+M48+R48+V48+Z48+E60+I60+M60+R60+V60+Z60)</f>
        <v>0</v>
      </c>
      <c r="AH60" s="474">
        <f t="shared" ref="AH60:AH66" si="108">SUM(X48:AA48,C60:F60,X60:AA60)</f>
        <v>4</v>
      </c>
      <c r="AI60" s="236"/>
      <c r="AJ60" s="236"/>
      <c r="AK60" s="236"/>
    </row>
    <row r="61" ht="54.950000000000003" customHeight="1">
      <c r="A61" s="173" t="s">
        <v>41</v>
      </c>
      <c r="B61" s="174"/>
      <c r="C61" s="175">
        <f t="shared" ref="C61:AA61" si="109">SUM(C32:C35)</f>
        <v>1</v>
      </c>
      <c r="D61" s="176">
        <f t="shared" si="109"/>
        <v>7</v>
      </c>
      <c r="E61" s="177">
        <f t="shared" si="109"/>
        <v>1</v>
      </c>
      <c r="F61" s="178">
        <f t="shared" si="109"/>
        <v>0</v>
      </c>
      <c r="G61" s="175">
        <f t="shared" si="109"/>
        <v>0</v>
      </c>
      <c r="H61" s="176">
        <f t="shared" si="109"/>
        <v>1</v>
      </c>
      <c r="I61" s="177">
        <f t="shared" si="109"/>
        <v>0</v>
      </c>
      <c r="J61" s="178">
        <f t="shared" si="109"/>
        <v>2</v>
      </c>
      <c r="K61" s="175">
        <f t="shared" si="109"/>
        <v>0</v>
      </c>
      <c r="L61" s="176">
        <f t="shared" si="109"/>
        <v>1</v>
      </c>
      <c r="M61" s="177">
        <f t="shared" si="109"/>
        <v>1</v>
      </c>
      <c r="N61" s="178">
        <f t="shared" si="109"/>
        <v>0</v>
      </c>
      <c r="O61" s="179"/>
      <c r="P61" s="175">
        <f t="shared" si="109"/>
        <v>0</v>
      </c>
      <c r="Q61" s="176">
        <f t="shared" si="109"/>
        <v>0</v>
      </c>
      <c r="R61" s="177">
        <f t="shared" si="109"/>
        <v>0</v>
      </c>
      <c r="S61" s="178">
        <f t="shared" si="109"/>
        <v>0</v>
      </c>
      <c r="T61" s="175">
        <f t="shared" si="109"/>
        <v>0</v>
      </c>
      <c r="U61" s="176">
        <f t="shared" si="109"/>
        <v>0</v>
      </c>
      <c r="V61" s="177">
        <f t="shared" si="109"/>
        <v>0</v>
      </c>
      <c r="W61" s="178">
        <f t="shared" si="109"/>
        <v>0</v>
      </c>
      <c r="X61" s="175">
        <f t="shared" si="109"/>
        <v>0</v>
      </c>
      <c r="Y61" s="176">
        <f t="shared" si="109"/>
        <v>1</v>
      </c>
      <c r="Z61" s="177">
        <f t="shared" si="109"/>
        <v>0</v>
      </c>
      <c r="AA61" s="178">
        <f t="shared" si="109"/>
        <v>0</v>
      </c>
      <c r="AB61" s="233"/>
      <c r="AC61" s="233"/>
      <c r="AD61" s="234"/>
      <c r="AE61" s="475">
        <f t="shared" si="105"/>
        <v>5</v>
      </c>
      <c r="AF61" s="475">
        <f t="shared" si="106"/>
        <v>8</v>
      </c>
      <c r="AG61" s="475">
        <f t="shared" si="107"/>
        <v>3</v>
      </c>
      <c r="AH61" s="475">
        <f t="shared" si="108"/>
        <v>11</v>
      </c>
      <c r="AI61" s="236"/>
      <c r="AJ61" s="236"/>
      <c r="AK61" s="236"/>
    </row>
    <row r="62" ht="54.950000000000003" customHeight="1">
      <c r="A62" s="173" t="s">
        <v>42</v>
      </c>
      <c r="B62" s="174"/>
      <c r="C62" s="175">
        <f t="shared" ref="C62:AA62" si="110">SUM(C34:C37)</f>
        <v>0</v>
      </c>
      <c r="D62" s="176">
        <f t="shared" si="110"/>
        <v>5</v>
      </c>
      <c r="E62" s="177">
        <f t="shared" si="110"/>
        <v>3</v>
      </c>
      <c r="F62" s="178">
        <f t="shared" si="110"/>
        <v>0</v>
      </c>
      <c r="G62" s="175">
        <f t="shared" si="110"/>
        <v>0</v>
      </c>
      <c r="H62" s="176">
        <f t="shared" si="110"/>
        <v>3</v>
      </c>
      <c r="I62" s="177">
        <f t="shared" si="110"/>
        <v>0</v>
      </c>
      <c r="J62" s="178">
        <f t="shared" si="110"/>
        <v>2</v>
      </c>
      <c r="K62" s="175">
        <f t="shared" si="110"/>
        <v>0</v>
      </c>
      <c r="L62" s="176">
        <f t="shared" si="110"/>
        <v>2</v>
      </c>
      <c r="M62" s="177">
        <f t="shared" si="110"/>
        <v>1</v>
      </c>
      <c r="N62" s="178">
        <f t="shared" si="110"/>
        <v>0</v>
      </c>
      <c r="O62" s="179"/>
      <c r="P62" s="175">
        <f t="shared" si="110"/>
        <v>0</v>
      </c>
      <c r="Q62" s="176">
        <f t="shared" si="110"/>
        <v>0</v>
      </c>
      <c r="R62" s="177">
        <f t="shared" si="110"/>
        <v>0</v>
      </c>
      <c r="S62" s="178">
        <f t="shared" si="110"/>
        <v>0</v>
      </c>
      <c r="T62" s="175">
        <f t="shared" si="110"/>
        <v>2</v>
      </c>
      <c r="U62" s="176">
        <f t="shared" si="110"/>
        <v>2</v>
      </c>
      <c r="V62" s="177">
        <f t="shared" si="110"/>
        <v>1</v>
      </c>
      <c r="W62" s="178">
        <f t="shared" si="110"/>
        <v>0</v>
      </c>
      <c r="X62" s="175">
        <f t="shared" si="110"/>
        <v>0</v>
      </c>
      <c r="Y62" s="176">
        <f t="shared" si="110"/>
        <v>0</v>
      </c>
      <c r="Z62" s="177">
        <f t="shared" si="110"/>
        <v>0</v>
      </c>
      <c r="AA62" s="178">
        <f t="shared" si="110"/>
        <v>0</v>
      </c>
      <c r="AB62" s="233"/>
      <c r="AC62" s="233"/>
      <c r="AD62" s="234"/>
      <c r="AE62" s="475">
        <f t="shared" si="105"/>
        <v>9</v>
      </c>
      <c r="AF62" s="475">
        <f t="shared" si="106"/>
        <v>11</v>
      </c>
      <c r="AG62" s="475">
        <f t="shared" si="107"/>
        <v>6</v>
      </c>
      <c r="AH62" s="475">
        <f t="shared" si="108"/>
        <v>9</v>
      </c>
      <c r="AI62" s="236"/>
      <c r="AJ62" s="236"/>
      <c r="AK62" s="236"/>
    </row>
    <row r="63" ht="54.950000000000003" customHeight="1">
      <c r="A63" s="173" t="s">
        <v>43</v>
      </c>
      <c r="B63" s="174"/>
      <c r="C63" s="175">
        <f t="shared" ref="C63:AA63" si="111">SUM(C36:C39)</f>
        <v>1</v>
      </c>
      <c r="D63" s="176">
        <f t="shared" si="111"/>
        <v>0</v>
      </c>
      <c r="E63" s="177">
        <f t="shared" si="111"/>
        <v>3</v>
      </c>
      <c r="F63" s="178">
        <f t="shared" si="111"/>
        <v>0</v>
      </c>
      <c r="G63" s="175">
        <f t="shared" si="111"/>
        <v>0</v>
      </c>
      <c r="H63" s="176">
        <f t="shared" si="111"/>
        <v>3</v>
      </c>
      <c r="I63" s="177">
        <f t="shared" si="111"/>
        <v>0</v>
      </c>
      <c r="J63" s="178">
        <f t="shared" si="111"/>
        <v>0</v>
      </c>
      <c r="K63" s="175">
        <f t="shared" si="111"/>
        <v>2</v>
      </c>
      <c r="L63" s="176">
        <f t="shared" si="111"/>
        <v>2</v>
      </c>
      <c r="M63" s="177">
        <f t="shared" si="111"/>
        <v>1</v>
      </c>
      <c r="N63" s="178">
        <f t="shared" si="111"/>
        <v>0</v>
      </c>
      <c r="O63" s="179"/>
      <c r="P63" s="175">
        <f t="shared" si="111"/>
        <v>0</v>
      </c>
      <c r="Q63" s="176">
        <f t="shared" si="111"/>
        <v>0</v>
      </c>
      <c r="R63" s="177">
        <f t="shared" si="111"/>
        <v>0</v>
      </c>
      <c r="S63" s="178">
        <f t="shared" si="111"/>
        <v>0</v>
      </c>
      <c r="T63" s="175">
        <f t="shared" si="111"/>
        <v>2</v>
      </c>
      <c r="U63" s="176">
        <f t="shared" si="111"/>
        <v>3</v>
      </c>
      <c r="V63" s="177">
        <f t="shared" si="111"/>
        <v>1</v>
      </c>
      <c r="W63" s="178">
        <f t="shared" si="111"/>
        <v>0</v>
      </c>
      <c r="X63" s="175">
        <f t="shared" si="111"/>
        <v>0</v>
      </c>
      <c r="Y63" s="176">
        <f t="shared" si="111"/>
        <v>0</v>
      </c>
      <c r="Z63" s="177">
        <f t="shared" si="111"/>
        <v>0</v>
      </c>
      <c r="AA63" s="178">
        <f t="shared" si="111"/>
        <v>0</v>
      </c>
      <c r="AB63" s="233"/>
      <c r="AC63" s="233"/>
      <c r="AD63" s="234"/>
      <c r="AE63" s="475">
        <f t="shared" si="105"/>
        <v>12</v>
      </c>
      <c r="AF63" s="475">
        <f t="shared" si="106"/>
        <v>9</v>
      </c>
      <c r="AG63" s="475">
        <f t="shared" si="107"/>
        <v>7</v>
      </c>
      <c r="AH63" s="475">
        <f t="shared" si="108"/>
        <v>4</v>
      </c>
      <c r="AI63" s="236"/>
      <c r="AJ63" s="236"/>
      <c r="AK63" s="236"/>
    </row>
    <row r="64" ht="54.950000000000003" customHeight="1">
      <c r="A64" s="188" t="s">
        <v>44</v>
      </c>
      <c r="B64" s="189"/>
      <c r="C64" s="190">
        <f t="shared" ref="C64:AA64" si="112">SUM(C38:C41)</f>
        <v>1</v>
      </c>
      <c r="D64" s="191">
        <f t="shared" si="112"/>
        <v>0</v>
      </c>
      <c r="E64" s="192">
        <f t="shared" si="112"/>
        <v>1</v>
      </c>
      <c r="F64" s="193">
        <f t="shared" si="112"/>
        <v>0</v>
      </c>
      <c r="G64" s="190">
        <f t="shared" si="112"/>
        <v>0</v>
      </c>
      <c r="H64" s="191">
        <f t="shared" si="112"/>
        <v>0</v>
      </c>
      <c r="I64" s="192">
        <f t="shared" si="112"/>
        <v>0</v>
      </c>
      <c r="J64" s="193">
        <f t="shared" si="112"/>
        <v>0</v>
      </c>
      <c r="K64" s="190">
        <f t="shared" si="112"/>
        <v>2</v>
      </c>
      <c r="L64" s="191">
        <f t="shared" si="112"/>
        <v>0</v>
      </c>
      <c r="M64" s="192">
        <f t="shared" si="112"/>
        <v>1</v>
      </c>
      <c r="N64" s="193">
        <f t="shared" si="112"/>
        <v>0</v>
      </c>
      <c r="O64" s="194"/>
      <c r="P64" s="190">
        <f t="shared" si="112"/>
        <v>0</v>
      </c>
      <c r="Q64" s="191">
        <f t="shared" si="112"/>
        <v>0</v>
      </c>
      <c r="R64" s="192">
        <f t="shared" si="112"/>
        <v>0</v>
      </c>
      <c r="S64" s="193">
        <f t="shared" si="112"/>
        <v>0</v>
      </c>
      <c r="T64" s="190">
        <f t="shared" si="112"/>
        <v>0</v>
      </c>
      <c r="U64" s="191">
        <f t="shared" si="112"/>
        <v>1</v>
      </c>
      <c r="V64" s="192">
        <f t="shared" si="112"/>
        <v>0</v>
      </c>
      <c r="W64" s="193">
        <f t="shared" si="112"/>
        <v>0</v>
      </c>
      <c r="X64" s="190">
        <f t="shared" si="112"/>
        <v>0</v>
      </c>
      <c r="Y64" s="191">
        <f t="shared" si="112"/>
        <v>0</v>
      </c>
      <c r="Z64" s="192">
        <f t="shared" si="112"/>
        <v>0</v>
      </c>
      <c r="AA64" s="193">
        <f t="shared" si="112"/>
        <v>0</v>
      </c>
      <c r="AB64" s="233"/>
      <c r="AC64" s="233"/>
      <c r="AD64" s="234"/>
      <c r="AE64" s="476">
        <f t="shared" si="105"/>
        <v>7</v>
      </c>
      <c r="AF64" s="476">
        <f t="shared" si="106"/>
        <v>6</v>
      </c>
      <c r="AG64" s="476">
        <f t="shared" si="107"/>
        <v>4</v>
      </c>
      <c r="AH64" s="476">
        <f t="shared" si="108"/>
        <v>2</v>
      </c>
      <c r="AI64" s="236"/>
      <c r="AJ64" s="236"/>
      <c r="AK64" s="236"/>
    </row>
    <row r="65" ht="54.950000000000003" customHeight="1">
      <c r="A65" s="203" t="s">
        <v>31</v>
      </c>
      <c r="B65" s="204"/>
      <c r="C65" s="205">
        <f t="shared" ref="C65:AA65" si="113">SUM(C30:C41)</f>
        <v>2</v>
      </c>
      <c r="D65" s="206">
        <f t="shared" si="113"/>
        <v>7</v>
      </c>
      <c r="E65" s="207">
        <f t="shared" si="113"/>
        <v>4</v>
      </c>
      <c r="F65" s="208">
        <f t="shared" si="113"/>
        <v>0</v>
      </c>
      <c r="G65" s="205">
        <f t="shared" si="113"/>
        <v>0</v>
      </c>
      <c r="H65" s="206">
        <f t="shared" si="113"/>
        <v>4</v>
      </c>
      <c r="I65" s="207">
        <f t="shared" si="113"/>
        <v>0</v>
      </c>
      <c r="J65" s="208">
        <f t="shared" si="113"/>
        <v>2</v>
      </c>
      <c r="K65" s="205">
        <f t="shared" si="113"/>
        <v>2</v>
      </c>
      <c r="L65" s="206">
        <f t="shared" si="113"/>
        <v>3</v>
      </c>
      <c r="M65" s="207">
        <f t="shared" si="113"/>
        <v>2</v>
      </c>
      <c r="N65" s="208">
        <f t="shared" si="113"/>
        <v>0</v>
      </c>
      <c r="O65" s="209"/>
      <c r="P65" s="205">
        <f t="shared" si="113"/>
        <v>0</v>
      </c>
      <c r="Q65" s="206">
        <f t="shared" si="113"/>
        <v>0</v>
      </c>
      <c r="R65" s="207">
        <f t="shared" si="113"/>
        <v>0</v>
      </c>
      <c r="S65" s="208">
        <f t="shared" si="113"/>
        <v>0</v>
      </c>
      <c r="T65" s="205">
        <f t="shared" si="113"/>
        <v>2</v>
      </c>
      <c r="U65" s="206">
        <f t="shared" si="113"/>
        <v>3</v>
      </c>
      <c r="V65" s="207">
        <f t="shared" si="113"/>
        <v>1</v>
      </c>
      <c r="W65" s="208">
        <f t="shared" si="113"/>
        <v>0</v>
      </c>
      <c r="X65" s="205">
        <f t="shared" si="113"/>
        <v>0</v>
      </c>
      <c r="Y65" s="206">
        <f t="shared" si="113"/>
        <v>1</v>
      </c>
      <c r="Z65" s="207">
        <f t="shared" si="113"/>
        <v>0</v>
      </c>
      <c r="AA65" s="208">
        <f t="shared" si="113"/>
        <v>0</v>
      </c>
      <c r="AB65" s="237"/>
      <c r="AC65" s="237"/>
      <c r="AD65" s="237"/>
      <c r="AE65" s="477">
        <f t="shared" si="105"/>
        <v>17</v>
      </c>
      <c r="AF65" s="477">
        <f t="shared" si="106"/>
        <v>17</v>
      </c>
      <c r="AG65" s="477">
        <f t="shared" si="107"/>
        <v>10</v>
      </c>
      <c r="AH65" s="477">
        <f t="shared" si="108"/>
        <v>15</v>
      </c>
      <c r="AI65" s="237"/>
      <c r="AJ65" s="237"/>
      <c r="AK65" s="237"/>
    </row>
    <row r="66" ht="54.950000000000003" customHeight="1">
      <c r="A66" s="218" t="str">
        <f>IF($AD$48=MAX($AD$48:$AD$52),A60,IF($AD$49=MAX($AD$48:$AD$52),A61,IF($AD$50=MAX($AD$48:$AD$52),A62,IF($AD$51=MAX($AD$48:$AD$52),A63,A64))))</f>
        <v xml:space="preserve">de 7:30 à 8:30</v>
      </c>
      <c r="B66" s="219"/>
      <c r="C66" s="220">
        <f>IF($AD$48=MAX($AD$48:$AD$52),C60,IF($AD$49=MAX($AD$48:$AD$52),C61,IF($AD$50=MAX($AD$48:$AD$52),C62,IF($AD$51=MAX($AD$48:$AD$52),C63,C64))))</f>
        <v>0</v>
      </c>
      <c r="D66" s="221">
        <f t="shared" ref="D66:N66" si="114">IF($AD$48=MAX($AD$48:$AD$52),D60,IF($AD$49=MAX($AD$48:$AD$52),D61,IF($AD$50=MAX($AD$48:$AD$52),D62,IF($AD$51=MAX($AD$48:$AD$52),D63,D64))))</f>
        <v>5</v>
      </c>
      <c r="E66" s="222">
        <f t="shared" si="114"/>
        <v>3</v>
      </c>
      <c r="F66" s="223">
        <f t="shared" si="114"/>
        <v>0</v>
      </c>
      <c r="G66" s="220">
        <f t="shared" si="114"/>
        <v>0</v>
      </c>
      <c r="H66" s="221">
        <f t="shared" si="114"/>
        <v>3</v>
      </c>
      <c r="I66" s="222">
        <f t="shared" si="114"/>
        <v>0</v>
      </c>
      <c r="J66" s="223">
        <f t="shared" si="114"/>
        <v>2</v>
      </c>
      <c r="K66" s="220">
        <f t="shared" si="114"/>
        <v>0</v>
      </c>
      <c r="L66" s="221">
        <f t="shared" si="114"/>
        <v>2</v>
      </c>
      <c r="M66" s="222">
        <f t="shared" si="114"/>
        <v>1</v>
      </c>
      <c r="N66" s="223">
        <f t="shared" si="114"/>
        <v>0</v>
      </c>
      <c r="O66" s="224"/>
      <c r="P66" s="220">
        <f t="shared" ref="P66:AA66" si="115">IF($AD$48=MAX($AD$48:$AD$52),P60,IF($AD$49=MAX($AD$48:$AD$52),P61,IF($AD$50=MAX($AD$48:$AD$52),P62,IF($AD$51=MAX($AD$48:$AD$52),P63,P64))))</f>
        <v>0</v>
      </c>
      <c r="Q66" s="221">
        <f t="shared" si="115"/>
        <v>0</v>
      </c>
      <c r="R66" s="222">
        <f t="shared" si="115"/>
        <v>0</v>
      </c>
      <c r="S66" s="223">
        <f t="shared" si="115"/>
        <v>0</v>
      </c>
      <c r="T66" s="220">
        <f t="shared" si="115"/>
        <v>2</v>
      </c>
      <c r="U66" s="221">
        <f t="shared" si="115"/>
        <v>2</v>
      </c>
      <c r="V66" s="222">
        <f t="shared" si="115"/>
        <v>1</v>
      </c>
      <c r="W66" s="223">
        <f t="shared" si="115"/>
        <v>0</v>
      </c>
      <c r="X66" s="220">
        <f t="shared" si="115"/>
        <v>0</v>
      </c>
      <c r="Y66" s="221">
        <f t="shared" si="115"/>
        <v>0</v>
      </c>
      <c r="Z66" s="222">
        <f t="shared" si="115"/>
        <v>0</v>
      </c>
      <c r="AA66" s="223">
        <f t="shared" si="115"/>
        <v>0</v>
      </c>
      <c r="AB66" s="237"/>
      <c r="AC66" s="237"/>
      <c r="AD66" s="237"/>
      <c r="AE66" s="478">
        <f t="shared" si="105"/>
        <v>9</v>
      </c>
      <c r="AF66" s="478">
        <f t="shared" si="106"/>
        <v>11</v>
      </c>
      <c r="AG66" s="478">
        <f t="shared" si="107"/>
        <v>6</v>
      </c>
      <c r="AH66" s="478">
        <f t="shared" si="108"/>
        <v>9</v>
      </c>
      <c r="AI66" s="237"/>
      <c r="AJ66" s="237"/>
      <c r="AK66" s="237"/>
    </row>
    <row r="67" ht="9" customHeight="1">
      <c r="A67" s="248"/>
      <c r="B67" s="249"/>
      <c r="C67" s="249"/>
      <c r="D67" s="249"/>
      <c r="E67" s="249"/>
      <c r="F67" s="249"/>
      <c r="G67" s="249"/>
      <c r="H67" s="249"/>
      <c r="I67" s="249"/>
      <c r="J67" s="249"/>
      <c r="K67" s="249"/>
      <c r="L67" s="249"/>
      <c r="M67" s="249"/>
      <c r="N67" s="249"/>
      <c r="O67" s="249"/>
      <c r="P67" s="249"/>
      <c r="Q67" s="249"/>
      <c r="R67" s="249"/>
      <c r="S67" s="249"/>
      <c r="T67" s="249"/>
      <c r="U67" s="249"/>
      <c r="V67" s="249"/>
      <c r="W67" s="249"/>
      <c r="X67" s="249"/>
      <c r="Y67" s="249"/>
      <c r="Z67" s="249"/>
      <c r="AA67" s="249"/>
      <c r="AB67" s="248"/>
      <c r="AC67" s="249"/>
      <c r="AD67" s="249"/>
      <c r="AE67" s="249"/>
      <c r="AF67" s="249"/>
      <c r="AG67" s="249"/>
      <c r="AH67" s="249"/>
      <c r="AI67" s="249"/>
      <c r="AJ67" s="249"/>
      <c r="AK67" s="249"/>
      <c r="AL67" s="250"/>
      <c r="AM67" s="479"/>
      <c r="AN67" s="250"/>
      <c r="AO67" s="250"/>
      <c r="AP67" s="250"/>
      <c r="AQ67" s="250"/>
      <c r="AR67" s="250"/>
    </row>
  </sheetData>
  <mergeCells count="132">
    <mergeCell ref="C3:W3"/>
    <mergeCell ref="R46:S46"/>
    <mergeCell ref="T46:U46"/>
    <mergeCell ref="A52:B52"/>
    <mergeCell ref="AB52:AC52"/>
    <mergeCell ref="A53:B53"/>
    <mergeCell ref="AB53:AC53"/>
    <mergeCell ref="G28:H28"/>
    <mergeCell ref="A49:B49"/>
    <mergeCell ref="AB49:AC49"/>
    <mergeCell ref="A50:B50"/>
    <mergeCell ref="AB50:AC50"/>
    <mergeCell ref="A51:B51"/>
    <mergeCell ref="AB51:AC51"/>
    <mergeCell ref="V46:W46"/>
    <mergeCell ref="X46:Y46"/>
    <mergeCell ref="Z46:AA46"/>
    <mergeCell ref="A47:B47"/>
    <mergeCell ref="AB47:AC47"/>
    <mergeCell ref="A48:B48"/>
    <mergeCell ref="AB48:AC48"/>
    <mergeCell ref="I28:J28"/>
    <mergeCell ref="AC32:AC35"/>
    <mergeCell ref="AC36:AC39"/>
    <mergeCell ref="A54:B54"/>
    <mergeCell ref="AB54:AC54"/>
    <mergeCell ref="G57:J57"/>
    <mergeCell ref="P57:S57"/>
    <mergeCell ref="T57:W57"/>
    <mergeCell ref="A64:B64"/>
    <mergeCell ref="AB64:AC64"/>
    <mergeCell ref="A65:B65"/>
    <mergeCell ref="V58:W58"/>
    <mergeCell ref="AB55:AC55"/>
    <mergeCell ref="C56:N56"/>
    <mergeCell ref="P56:AA56"/>
    <mergeCell ref="AB56:AC56"/>
    <mergeCell ref="K57:N57"/>
    <mergeCell ref="X57:AA57"/>
    <mergeCell ref="AB57:AC57"/>
    <mergeCell ref="C57:F57"/>
    <mergeCell ref="E58:F58"/>
    <mergeCell ref="G58:H58"/>
    <mergeCell ref="I58:J58"/>
    <mergeCell ref="R58:S58"/>
    <mergeCell ref="T58:U58"/>
    <mergeCell ref="A66:B66"/>
    <mergeCell ref="E9:F9"/>
    <mergeCell ref="G9:H9"/>
    <mergeCell ref="I9:J9"/>
    <mergeCell ref="R9:S9"/>
    <mergeCell ref="T9:U9"/>
    <mergeCell ref="C27:F27"/>
    <mergeCell ref="A61:B61"/>
    <mergeCell ref="AB61:AC61"/>
    <mergeCell ref="A62:B62"/>
    <mergeCell ref="AB62:AC62"/>
    <mergeCell ref="A63:B63"/>
    <mergeCell ref="AB63:AC63"/>
    <mergeCell ref="X58:Y58"/>
    <mergeCell ref="Z58:AA58"/>
    <mergeCell ref="AB58:AC58"/>
    <mergeCell ref="A59:B59"/>
    <mergeCell ref="AB59:AC59"/>
    <mergeCell ref="A60:B60"/>
    <mergeCell ref="AB60:AC60"/>
    <mergeCell ref="C58:D58"/>
    <mergeCell ref="K58:L58"/>
    <mergeCell ref="M58:N58"/>
    <mergeCell ref="P58:Q58"/>
    <mergeCell ref="AG44:AG47"/>
    <mergeCell ref="AH44:AH47"/>
    <mergeCell ref="K45:N45"/>
    <mergeCell ref="X45:AA45"/>
    <mergeCell ref="C46:D46"/>
    <mergeCell ref="X28:Y28"/>
    <mergeCell ref="Z28:AA28"/>
    <mergeCell ref="C44:N44"/>
    <mergeCell ref="P44:AA44"/>
    <mergeCell ref="AD44:AD47"/>
    <mergeCell ref="AE44:AE47"/>
    <mergeCell ref="K46:L46"/>
    <mergeCell ref="M46:N46"/>
    <mergeCell ref="P46:Q46"/>
    <mergeCell ref="C28:D28"/>
    <mergeCell ref="K28:L28"/>
    <mergeCell ref="M28:N28"/>
    <mergeCell ref="P28:Q28"/>
    <mergeCell ref="V28:W28"/>
    <mergeCell ref="E28:F28"/>
    <mergeCell ref="R28:S28"/>
    <mergeCell ref="T28:U28"/>
    <mergeCell ref="C45:F45"/>
    <mergeCell ref="G45:J45"/>
    <mergeCell ref="AG56:AG59"/>
    <mergeCell ref="AH56:AH59"/>
    <mergeCell ref="AI44:AK47"/>
    <mergeCell ref="C7:N7"/>
    <mergeCell ref="P7:AA7"/>
    <mergeCell ref="K8:N8"/>
    <mergeCell ref="X8:AA8"/>
    <mergeCell ref="C8:F8"/>
    <mergeCell ref="G8:J8"/>
    <mergeCell ref="P8:S8"/>
    <mergeCell ref="T8:W8"/>
    <mergeCell ref="X9:Y9"/>
    <mergeCell ref="Z9:AA9"/>
    <mergeCell ref="C26:N26"/>
    <mergeCell ref="P26:AA26"/>
    <mergeCell ref="K27:N27"/>
    <mergeCell ref="X27:AA27"/>
    <mergeCell ref="G27:J27"/>
    <mergeCell ref="P27:S27"/>
    <mergeCell ref="C9:D9"/>
    <mergeCell ref="K9:L9"/>
    <mergeCell ref="M9:N9"/>
    <mergeCell ref="P9:Q9"/>
    <mergeCell ref="V9:W9"/>
    <mergeCell ref="AC13:AC16"/>
    <mergeCell ref="AC17:AC20"/>
    <mergeCell ref="C5:N5"/>
    <mergeCell ref="R5:AA5"/>
    <mergeCell ref="C24:N24"/>
    <mergeCell ref="AE56:AE59"/>
    <mergeCell ref="AF56:AF59"/>
    <mergeCell ref="T27:W27"/>
    <mergeCell ref="AF44:AF47"/>
    <mergeCell ref="P45:S45"/>
    <mergeCell ref="T45:W45"/>
    <mergeCell ref="E46:F46"/>
    <mergeCell ref="G46:H46"/>
    <mergeCell ref="I46:J46"/>
  </mergeCells>
  <printOptions headings="0" gridLines="0"/>
  <pageMargins left="0.39370078740157477" right="0.39370078740157477" top="0.39370078740157477" bottom="0.39370078740157477" header="0.59055118110236238" footer="0.59055118110236238"/>
  <pageSetup paperSize="9" scale="38" fitToWidth="1" fitToHeight="0" pageOrder="overThenDown" orientation="landscape" usePrinterDefaults="1" blackAndWhite="0" draft="0" cellComments="none" useFirstPageNumber="1" errors="displayed" horizontalDpi="600" verticalDpi="600" copies="1"/>
  <headerFooter/>
  <rowBreaks count="2" manualBreakCount="2">
    <brk id="39" man="1" max="25"/>
    <brk id="67" man="1" max="27"/>
  </rowBreaks>
  <legacyDrawing r:id="rId3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tabColor rgb="FF00B050"/>
    <outlinePr applyStyles="0" summaryBelow="1" summaryRight="1" showOutlineSymbols="1"/>
    <pageSetUpPr autoPageBreaks="1" fitToPage="1"/>
  </sheetPr>
  <sheetViews>
    <sheetView view="pageBreakPreview" zoomScale="40" workbookViewId="0">
      <pane xSplit="2" ySplit="10" topLeftCell="C11" activePane="bottomRight" state="frozen"/>
      <selection activeCell="AE20" activeCellId="0" sqref="AE20"/>
    </sheetView>
  </sheetViews>
  <sheetFormatPr baseColWidth="10" defaultRowHeight="14.25" outlineLevelRow="1"/>
  <cols>
    <col customWidth="1" min="1" max="1" style="1" width="9.125"/>
    <col customWidth="1" min="2" max="2" style="1" width="13.75"/>
    <col customWidth="1" min="3" max="10" style="1" width="12.875"/>
    <col customWidth="1" min="11" max="11" style="1" width="2.625"/>
    <col customWidth="1" min="12" max="19" style="1" width="12.875"/>
    <col customWidth="1" min="20" max="20" style="1" width="2.625"/>
    <col customWidth="1" min="21" max="28" style="1" width="12.875"/>
    <col customWidth="1" min="29" max="29" style="1" width="9.125"/>
    <col customWidth="1" min="30" max="30" style="1" width="13.75"/>
    <col customWidth="1" min="31" max="38" style="1" width="21.125"/>
    <col customWidth="1" min="39" max="39" style="1" width="82.625"/>
    <col customWidth="1" min="40" max="40" style="1" width="21.125"/>
    <col customWidth="1" min="41" max="45" style="1" width="10.625"/>
    <col min="46" max="16384" style="1" width="11"/>
  </cols>
  <sheetData>
    <row r="1" ht="52.5" customHeight="1">
      <c r="A1" s="2" t="s">
        <v>0</v>
      </c>
      <c r="B1" s="3" t="s">
        <v>81</v>
      </c>
      <c r="C1" s="4"/>
      <c r="D1" s="4"/>
      <c r="E1" s="4"/>
      <c r="F1" s="5"/>
      <c r="G1" s="5"/>
      <c r="H1" s="4"/>
      <c r="I1" s="4"/>
      <c r="J1" s="5"/>
      <c r="K1" s="5"/>
      <c r="L1" s="5"/>
      <c r="M1" s="6"/>
      <c r="N1" s="7" t="s">
        <v>2</v>
      </c>
      <c r="O1" s="8" t="s">
        <v>3</v>
      </c>
      <c r="P1" s="4"/>
      <c r="Q1" s="4"/>
      <c r="R1" s="4"/>
      <c r="S1" s="4"/>
      <c r="T1" s="4"/>
      <c r="U1" s="4"/>
      <c r="V1" s="4"/>
      <c r="W1" s="4"/>
      <c r="X1" s="10"/>
      <c r="Y1" s="11"/>
      <c r="Z1" s="11"/>
      <c r="AA1" s="11"/>
      <c r="AB1" s="12"/>
    </row>
    <row r="2" ht="52.5" customHeight="1">
      <c r="A2" s="13" t="s">
        <v>4</v>
      </c>
      <c r="B2" s="14"/>
      <c r="C2" s="14"/>
      <c r="D2" s="14"/>
      <c r="E2" s="14"/>
      <c r="F2" s="14"/>
      <c r="G2" s="3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10"/>
      <c r="Y2" s="14"/>
      <c r="Z2" s="14"/>
      <c r="AA2" s="14"/>
      <c r="AB2" s="14"/>
    </row>
    <row r="3" ht="52.5" customHeight="1">
      <c r="A3" s="13" t="s">
        <v>6</v>
      </c>
      <c r="B3" s="14"/>
      <c r="C3" s="3" t="s">
        <v>7</v>
      </c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10"/>
      <c r="Y3" s="14"/>
      <c r="Z3" s="14"/>
      <c r="AA3" s="14"/>
      <c r="AB3" s="15"/>
    </row>
    <row r="4" ht="24.949999999999999" customHeight="1">
      <c r="A4" s="13"/>
      <c r="B4" s="14"/>
      <c r="C4" s="14"/>
      <c r="D4" s="14"/>
      <c r="E4" s="14"/>
      <c r="F4" s="14"/>
      <c r="G4" s="14"/>
      <c r="H4" s="14"/>
      <c r="I4" s="14"/>
      <c r="J4" s="14"/>
      <c r="K4" s="14"/>
      <c r="L4" s="14"/>
      <c r="M4" s="14"/>
      <c r="N4" s="14"/>
      <c r="O4" s="14"/>
      <c r="P4" s="14"/>
      <c r="Q4" s="14"/>
      <c r="R4" s="14"/>
      <c r="S4" s="14"/>
      <c r="T4" s="14"/>
      <c r="U4" s="14"/>
      <c r="V4" s="14"/>
      <c r="W4" s="14"/>
      <c r="X4" s="14"/>
      <c r="Y4" s="14"/>
      <c r="Z4" s="14"/>
      <c r="AA4" s="14"/>
      <c r="AB4" s="15"/>
    </row>
    <row r="5" s="16" customFormat="1" ht="75" customHeight="1">
      <c r="A5" s="17" t="s">
        <v>8</v>
      </c>
      <c r="B5" s="18"/>
      <c r="C5" s="19" t="s">
        <v>82</v>
      </c>
      <c r="D5" s="20"/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2" t="s">
        <v>10</v>
      </c>
      <c r="Q5" s="22"/>
      <c r="R5" s="21" t="s">
        <v>11</v>
      </c>
      <c r="S5" s="21"/>
      <c r="T5" s="21"/>
      <c r="U5" s="21"/>
      <c r="V5" s="21"/>
      <c r="W5" s="21"/>
      <c r="X5" s="21"/>
      <c r="Y5" s="21"/>
      <c r="Z5" s="21"/>
      <c r="AA5" s="21"/>
      <c r="AB5" s="21"/>
      <c r="AC5" s="21"/>
    </row>
    <row r="6" ht="8.0999999999999996" customHeight="1">
      <c r="A6" s="23"/>
      <c r="B6" s="14"/>
      <c r="C6" s="14"/>
      <c r="D6" s="14"/>
      <c r="E6" s="14"/>
      <c r="F6" s="14"/>
      <c r="G6" s="14"/>
      <c r="H6" s="14"/>
      <c r="I6" s="14"/>
      <c r="J6" s="14"/>
      <c r="K6" s="14"/>
      <c r="L6" s="14"/>
      <c r="M6" s="14"/>
      <c r="N6" s="14"/>
      <c r="O6" s="14"/>
      <c r="P6" s="14"/>
      <c r="Q6" s="14"/>
      <c r="R6" s="14"/>
      <c r="S6" s="15"/>
      <c r="T6" s="15"/>
      <c r="U6" s="14"/>
      <c r="V6" s="14"/>
      <c r="W6" s="14"/>
      <c r="X6" s="14"/>
      <c r="Y6" s="14"/>
      <c r="Z6" s="14"/>
      <c r="AA6" s="14"/>
      <c r="AB6" s="15"/>
    </row>
    <row r="7" ht="32.25" customHeight="1">
      <c r="A7" s="13"/>
      <c r="B7" s="14"/>
      <c r="C7" s="24" t="s">
        <v>83</v>
      </c>
      <c r="D7" s="25"/>
      <c r="E7" s="25"/>
      <c r="F7" s="25"/>
      <c r="G7" s="25"/>
      <c r="H7" s="25"/>
      <c r="I7" s="25"/>
      <c r="J7" s="25"/>
      <c r="K7" s="253"/>
      <c r="L7" s="25" t="s">
        <v>84</v>
      </c>
      <c r="M7" s="25"/>
      <c r="N7" s="25"/>
      <c r="O7" s="25"/>
      <c r="P7" s="25"/>
      <c r="Q7" s="25"/>
      <c r="R7" s="25"/>
      <c r="S7" s="27"/>
      <c r="T7" s="254"/>
      <c r="U7" s="25" t="s">
        <v>29</v>
      </c>
      <c r="V7" s="25"/>
      <c r="W7" s="25"/>
      <c r="X7" s="25"/>
      <c r="Y7" s="25"/>
      <c r="Z7" s="25"/>
      <c r="AA7" s="25"/>
      <c r="AB7" s="27"/>
      <c r="AC7" s="448"/>
      <c r="AD7" s="448"/>
      <c r="AF7" s="28"/>
      <c r="AG7" s="28"/>
      <c r="AH7" s="28"/>
      <c r="AI7" s="28"/>
      <c r="AJ7" s="28"/>
      <c r="AK7" s="28"/>
      <c r="AL7" s="28"/>
    </row>
    <row r="8" ht="22.699999999999999" customHeight="1">
      <c r="A8" s="13"/>
      <c r="B8" s="14"/>
      <c r="C8" s="29" t="s">
        <v>14</v>
      </c>
      <c r="D8" s="30"/>
      <c r="E8" s="30"/>
      <c r="F8" s="30"/>
      <c r="G8" s="31" t="s">
        <v>85</v>
      </c>
      <c r="H8" s="31"/>
      <c r="I8" s="31"/>
      <c r="J8" s="31"/>
      <c r="K8" s="31"/>
      <c r="L8" s="30" t="s">
        <v>14</v>
      </c>
      <c r="M8" s="30"/>
      <c r="N8" s="30"/>
      <c r="O8" s="30"/>
      <c r="P8" s="31" t="s">
        <v>86</v>
      </c>
      <c r="Q8" s="31"/>
      <c r="R8" s="31"/>
      <c r="S8" s="257"/>
      <c r="T8" s="258"/>
      <c r="U8" s="30" t="s">
        <v>86</v>
      </c>
      <c r="V8" s="30"/>
      <c r="W8" s="30"/>
      <c r="X8" s="30"/>
      <c r="Y8" s="31" t="s">
        <v>85</v>
      </c>
      <c r="Z8" s="31"/>
      <c r="AA8" s="31"/>
      <c r="AB8" s="257"/>
      <c r="AC8" s="448"/>
      <c r="AD8" s="448"/>
    </row>
    <row r="9" ht="18.600000000000001" customHeight="1">
      <c r="A9" s="13"/>
      <c r="B9" s="14"/>
      <c r="C9" s="259" t="s">
        <v>18</v>
      </c>
      <c r="D9" s="260"/>
      <c r="E9" s="39" t="s">
        <v>19</v>
      </c>
      <c r="F9" s="40"/>
      <c r="G9" s="261" t="s">
        <v>18</v>
      </c>
      <c r="H9" s="260"/>
      <c r="I9" s="39" t="s">
        <v>19</v>
      </c>
      <c r="J9" s="40"/>
      <c r="K9" s="41"/>
      <c r="L9" s="261" t="s">
        <v>18</v>
      </c>
      <c r="M9" s="260"/>
      <c r="N9" s="39" t="s">
        <v>19</v>
      </c>
      <c r="O9" s="40"/>
      <c r="P9" s="261" t="s">
        <v>18</v>
      </c>
      <c r="Q9" s="260"/>
      <c r="R9" s="39" t="s">
        <v>19</v>
      </c>
      <c r="S9" s="42"/>
      <c r="T9" s="41"/>
      <c r="U9" s="261" t="s">
        <v>18</v>
      </c>
      <c r="V9" s="260"/>
      <c r="W9" s="39" t="s">
        <v>19</v>
      </c>
      <c r="X9" s="40"/>
      <c r="Y9" s="261" t="s">
        <v>18</v>
      </c>
      <c r="Z9" s="260"/>
      <c r="AA9" s="39" t="s">
        <v>19</v>
      </c>
      <c r="AB9" s="42"/>
      <c r="AC9" s="448"/>
      <c r="AD9" s="448"/>
    </row>
    <row r="10" ht="19.5">
      <c r="A10" s="43" t="s">
        <v>20</v>
      </c>
      <c r="B10" s="44" t="s">
        <v>21</v>
      </c>
      <c r="C10" s="262" t="s">
        <v>22</v>
      </c>
      <c r="D10" s="52" t="s">
        <v>23</v>
      </c>
      <c r="E10" s="53" t="s">
        <v>22</v>
      </c>
      <c r="F10" s="54" t="s">
        <v>23</v>
      </c>
      <c r="G10" s="51" t="s">
        <v>22</v>
      </c>
      <c r="H10" s="52" t="s">
        <v>23</v>
      </c>
      <c r="I10" s="53" t="s">
        <v>22</v>
      </c>
      <c r="J10" s="54" t="s">
        <v>23</v>
      </c>
      <c r="K10" s="55"/>
      <c r="L10" s="51" t="s">
        <v>22</v>
      </c>
      <c r="M10" s="52" t="s">
        <v>23</v>
      </c>
      <c r="N10" s="53" t="s">
        <v>22</v>
      </c>
      <c r="O10" s="54" t="s">
        <v>23</v>
      </c>
      <c r="P10" s="51" t="s">
        <v>22</v>
      </c>
      <c r="Q10" s="52" t="s">
        <v>23</v>
      </c>
      <c r="R10" s="53" t="s">
        <v>22</v>
      </c>
      <c r="S10" s="56" t="s">
        <v>23</v>
      </c>
      <c r="T10" s="55"/>
      <c r="U10" s="51" t="s">
        <v>22</v>
      </c>
      <c r="V10" s="52" t="s">
        <v>23</v>
      </c>
      <c r="W10" s="53" t="s">
        <v>22</v>
      </c>
      <c r="X10" s="54" t="s">
        <v>23</v>
      </c>
      <c r="Y10" s="51" t="s">
        <v>22</v>
      </c>
      <c r="Z10" s="52" t="s">
        <v>23</v>
      </c>
      <c r="AA10" s="53" t="s">
        <v>22</v>
      </c>
      <c r="AB10" s="56" t="s">
        <v>23</v>
      </c>
      <c r="AC10" s="448"/>
      <c r="AD10" s="448"/>
      <c r="AE10" s="57"/>
    </row>
    <row r="11" ht="54.950000000000003" hidden="1" customHeight="1" outlineLevel="1">
      <c r="A11" s="58">
        <v>6</v>
      </c>
      <c r="B11" s="59" t="s">
        <v>24</v>
      </c>
      <c r="C11" s="264"/>
      <c r="D11" s="265"/>
      <c r="E11" s="266"/>
      <c r="F11" s="267"/>
      <c r="G11" s="268"/>
      <c r="H11" s="265"/>
      <c r="I11" s="266"/>
      <c r="J11" s="267"/>
      <c r="K11" s="70"/>
      <c r="L11" s="268"/>
      <c r="M11" s="265"/>
      <c r="N11" s="266"/>
      <c r="O11" s="267"/>
      <c r="P11" s="268"/>
      <c r="Q11" s="265"/>
      <c r="R11" s="266"/>
      <c r="S11" s="269"/>
      <c r="T11" s="70"/>
      <c r="U11" s="268"/>
      <c r="V11" s="265"/>
      <c r="W11" s="266"/>
      <c r="X11" s="267"/>
      <c r="Y11" s="268"/>
      <c r="Z11" s="265"/>
      <c r="AA11" s="266"/>
      <c r="AB11" s="269"/>
      <c r="AC11" s="448"/>
      <c r="AD11" s="448"/>
      <c r="AE11" s="72"/>
      <c r="AF11" s="72"/>
      <c r="AG11" s="72"/>
      <c r="AH11" s="72"/>
      <c r="AI11" s="72"/>
      <c r="AJ11" s="72"/>
      <c r="AK11" s="72"/>
      <c r="AL11" s="72"/>
    </row>
    <row r="12" ht="54.950000000000003" hidden="1" customHeight="1" outlineLevel="1">
      <c r="A12" s="58"/>
      <c r="B12" s="59" t="s">
        <v>25</v>
      </c>
      <c r="C12" s="264"/>
      <c r="D12" s="265"/>
      <c r="E12" s="266"/>
      <c r="F12" s="267"/>
      <c r="G12" s="268"/>
      <c r="H12" s="265"/>
      <c r="I12" s="266"/>
      <c r="J12" s="267"/>
      <c r="K12" s="70"/>
      <c r="L12" s="268"/>
      <c r="M12" s="265"/>
      <c r="N12" s="266"/>
      <c r="O12" s="267"/>
      <c r="P12" s="268"/>
      <c r="Q12" s="265"/>
      <c r="R12" s="266"/>
      <c r="S12" s="269"/>
      <c r="T12" s="70"/>
      <c r="U12" s="268"/>
      <c r="V12" s="265"/>
      <c r="W12" s="266"/>
      <c r="X12" s="267"/>
      <c r="Y12" s="268"/>
      <c r="Z12" s="265"/>
      <c r="AA12" s="266"/>
      <c r="AB12" s="269"/>
      <c r="AC12" s="448"/>
      <c r="AD12" s="448"/>
      <c r="AE12" s="72"/>
      <c r="AF12" s="72"/>
      <c r="AG12" s="72"/>
      <c r="AH12" s="72"/>
      <c r="AI12" s="72"/>
      <c r="AJ12" s="72"/>
      <c r="AK12" s="72"/>
      <c r="AL12" s="72"/>
    </row>
    <row r="13" ht="54.950000000000003" customHeight="1" collapsed="1">
      <c r="A13" s="480">
        <v>7</v>
      </c>
      <c r="B13" s="481" t="s">
        <v>26</v>
      </c>
      <c r="C13" s="73"/>
      <c r="D13" s="74"/>
      <c r="E13" s="75"/>
      <c r="F13" s="76"/>
      <c r="G13" s="77"/>
      <c r="H13" s="74"/>
      <c r="I13" s="75"/>
      <c r="J13" s="76"/>
      <c r="K13" s="70"/>
      <c r="L13" s="73"/>
      <c r="M13" s="74"/>
      <c r="N13" s="75">
        <v>1</v>
      </c>
      <c r="O13" s="76"/>
      <c r="P13" s="77"/>
      <c r="Q13" s="74"/>
      <c r="R13" s="75"/>
      <c r="S13" s="76"/>
      <c r="T13" s="70"/>
      <c r="U13" s="73"/>
      <c r="V13" s="74">
        <v>2</v>
      </c>
      <c r="W13" s="75"/>
      <c r="X13" s="76"/>
      <c r="Y13" s="77"/>
      <c r="Z13" s="74"/>
      <c r="AA13" s="75"/>
      <c r="AB13" s="76"/>
      <c r="AC13" s="448"/>
      <c r="AD13" s="448"/>
      <c r="AE13" s="72"/>
      <c r="AF13" s="72"/>
      <c r="AG13" s="72"/>
      <c r="AH13" s="72"/>
      <c r="AI13" s="72"/>
      <c r="AJ13" s="72"/>
      <c r="AK13" s="72"/>
      <c r="AL13" s="72"/>
    </row>
    <row r="14" ht="54.950000000000003" customHeight="1">
      <c r="A14" s="482"/>
      <c r="B14" s="483" t="s">
        <v>27</v>
      </c>
      <c r="C14" s="78">
        <v>1</v>
      </c>
      <c r="D14" s="79"/>
      <c r="E14" s="80">
        <v>1</v>
      </c>
      <c r="F14" s="81"/>
      <c r="G14" s="82"/>
      <c r="H14" s="79"/>
      <c r="I14" s="80"/>
      <c r="J14" s="81"/>
      <c r="K14" s="70"/>
      <c r="L14" s="78"/>
      <c r="M14" s="79"/>
      <c r="N14" s="80"/>
      <c r="O14" s="81"/>
      <c r="P14" s="82"/>
      <c r="Q14" s="79"/>
      <c r="R14" s="80"/>
      <c r="S14" s="81"/>
      <c r="T14" s="70"/>
      <c r="U14" s="78"/>
      <c r="V14" s="79"/>
      <c r="W14" s="80">
        <v>1</v>
      </c>
      <c r="X14" s="81"/>
      <c r="Y14" s="82">
        <v>1</v>
      </c>
      <c r="Z14" s="79">
        <v>3</v>
      </c>
      <c r="AA14" s="80">
        <v>1</v>
      </c>
      <c r="AB14" s="81"/>
      <c r="AC14" s="448"/>
      <c r="AD14" s="448"/>
      <c r="AE14" s="72"/>
      <c r="AF14" s="72"/>
      <c r="AG14" s="72"/>
      <c r="AH14" s="72"/>
      <c r="AI14" s="72"/>
      <c r="AJ14" s="72"/>
      <c r="AK14" s="72"/>
      <c r="AL14" s="72"/>
    </row>
    <row r="15" ht="54.950000000000003" customHeight="1">
      <c r="A15" s="482"/>
      <c r="B15" s="483" t="s">
        <v>24</v>
      </c>
      <c r="C15" s="83"/>
      <c r="D15" s="84"/>
      <c r="E15" s="85"/>
      <c r="F15" s="86"/>
      <c r="G15" s="87"/>
      <c r="H15" s="84"/>
      <c r="I15" s="85"/>
      <c r="J15" s="86"/>
      <c r="K15" s="70"/>
      <c r="L15" s="83"/>
      <c r="M15" s="84"/>
      <c r="N15" s="85"/>
      <c r="O15" s="86"/>
      <c r="P15" s="87"/>
      <c r="Q15" s="84"/>
      <c r="R15" s="85"/>
      <c r="S15" s="86"/>
      <c r="T15" s="70"/>
      <c r="U15" s="83"/>
      <c r="V15" s="84"/>
      <c r="W15" s="85"/>
      <c r="X15" s="86"/>
      <c r="Y15" s="87"/>
      <c r="Z15" s="84"/>
      <c r="AA15" s="85"/>
      <c r="AB15" s="86"/>
      <c r="AC15" s="448"/>
      <c r="AD15" s="448"/>
      <c r="AE15" s="72"/>
      <c r="AF15" s="72"/>
      <c r="AG15" s="72"/>
      <c r="AH15" s="72"/>
      <c r="AI15" s="72"/>
      <c r="AJ15" s="72"/>
      <c r="AK15" s="72"/>
      <c r="AL15" s="72"/>
    </row>
    <row r="16" ht="54.950000000000003" customHeight="1">
      <c r="A16" s="484"/>
      <c r="B16" s="485" t="s">
        <v>25</v>
      </c>
      <c r="C16" s="88"/>
      <c r="D16" s="89"/>
      <c r="E16" s="90"/>
      <c r="F16" s="91"/>
      <c r="G16" s="92"/>
      <c r="H16" s="89"/>
      <c r="I16" s="90"/>
      <c r="J16" s="91"/>
      <c r="K16" s="70"/>
      <c r="L16" s="88"/>
      <c r="M16" s="89"/>
      <c r="N16" s="90"/>
      <c r="O16" s="91"/>
      <c r="P16" s="92"/>
      <c r="Q16" s="89"/>
      <c r="R16" s="90"/>
      <c r="S16" s="91"/>
      <c r="T16" s="70"/>
      <c r="U16" s="88"/>
      <c r="V16" s="89">
        <v>1</v>
      </c>
      <c r="W16" s="90"/>
      <c r="X16" s="91"/>
      <c r="Y16" s="92">
        <v>1</v>
      </c>
      <c r="Z16" s="89"/>
      <c r="AA16" s="90"/>
      <c r="AB16" s="91"/>
      <c r="AC16" s="448"/>
      <c r="AD16" s="448"/>
      <c r="AE16" s="72"/>
      <c r="AF16" s="72"/>
      <c r="AG16" s="72"/>
      <c r="AH16" s="72"/>
      <c r="AI16" s="72"/>
      <c r="AJ16" s="72"/>
      <c r="AK16" s="72"/>
      <c r="AL16" s="72"/>
    </row>
    <row r="17" ht="54.950000000000003" customHeight="1">
      <c r="A17" s="480">
        <v>8</v>
      </c>
      <c r="B17" s="481" t="s">
        <v>26</v>
      </c>
      <c r="C17" s="73"/>
      <c r="D17" s="74"/>
      <c r="E17" s="75"/>
      <c r="F17" s="76"/>
      <c r="G17" s="77"/>
      <c r="H17" s="74"/>
      <c r="I17" s="75"/>
      <c r="J17" s="76"/>
      <c r="K17" s="70"/>
      <c r="L17" s="73"/>
      <c r="M17" s="74"/>
      <c r="N17" s="75"/>
      <c r="O17" s="76"/>
      <c r="P17" s="77"/>
      <c r="Q17" s="74"/>
      <c r="R17" s="75"/>
      <c r="S17" s="76"/>
      <c r="T17" s="70"/>
      <c r="U17" s="73">
        <v>1</v>
      </c>
      <c r="V17" s="74">
        <v>1</v>
      </c>
      <c r="W17" s="75"/>
      <c r="X17" s="76"/>
      <c r="Y17" s="77">
        <v>1</v>
      </c>
      <c r="Z17" s="74"/>
      <c r="AA17" s="75"/>
      <c r="AB17" s="76"/>
      <c r="AC17" s="448"/>
      <c r="AD17" s="448"/>
      <c r="AE17" s="72"/>
      <c r="AF17" s="72"/>
      <c r="AG17" s="72"/>
      <c r="AH17" s="72"/>
      <c r="AI17" s="72"/>
      <c r="AJ17" s="72"/>
      <c r="AK17" s="72"/>
      <c r="AL17" s="72"/>
    </row>
    <row r="18" ht="54.950000000000003" customHeight="1">
      <c r="A18" s="482"/>
      <c r="B18" s="483" t="s">
        <v>27</v>
      </c>
      <c r="C18" s="78"/>
      <c r="D18" s="79"/>
      <c r="E18" s="80"/>
      <c r="F18" s="81"/>
      <c r="G18" s="82"/>
      <c r="H18" s="79"/>
      <c r="I18" s="80"/>
      <c r="J18" s="81"/>
      <c r="K18" s="70"/>
      <c r="L18" s="78"/>
      <c r="M18" s="79"/>
      <c r="N18" s="80"/>
      <c r="O18" s="81"/>
      <c r="P18" s="82"/>
      <c r="Q18" s="79"/>
      <c r="R18" s="80"/>
      <c r="S18" s="81"/>
      <c r="T18" s="70"/>
      <c r="U18" s="78">
        <v>1</v>
      </c>
      <c r="V18" s="79"/>
      <c r="W18" s="80"/>
      <c r="X18" s="81"/>
      <c r="Y18" s="82"/>
      <c r="Z18" s="79">
        <v>1</v>
      </c>
      <c r="AA18" s="80"/>
      <c r="AB18" s="81"/>
      <c r="AC18" s="448"/>
      <c r="AD18" s="448"/>
      <c r="AE18" s="72"/>
      <c r="AF18" s="72"/>
      <c r="AG18" s="72"/>
      <c r="AH18" s="72"/>
      <c r="AI18" s="72"/>
      <c r="AJ18" s="72"/>
      <c r="AK18" s="72"/>
      <c r="AL18" s="72"/>
    </row>
    <row r="19" ht="54.950000000000003" customHeight="1">
      <c r="A19" s="482"/>
      <c r="B19" s="483" t="s">
        <v>24</v>
      </c>
      <c r="C19" s="83"/>
      <c r="D19" s="84"/>
      <c r="E19" s="85"/>
      <c r="F19" s="86"/>
      <c r="G19" s="87"/>
      <c r="H19" s="84"/>
      <c r="I19" s="85"/>
      <c r="J19" s="86"/>
      <c r="K19" s="70"/>
      <c r="L19" s="83"/>
      <c r="M19" s="84"/>
      <c r="N19" s="85"/>
      <c r="O19" s="86"/>
      <c r="P19" s="87"/>
      <c r="Q19" s="84"/>
      <c r="R19" s="85"/>
      <c r="S19" s="86"/>
      <c r="T19" s="70"/>
      <c r="U19" s="83"/>
      <c r="V19" s="84"/>
      <c r="W19" s="85"/>
      <c r="X19" s="86"/>
      <c r="Y19" s="87"/>
      <c r="Z19" s="84"/>
      <c r="AA19" s="85"/>
      <c r="AB19" s="86"/>
      <c r="AC19" s="448"/>
      <c r="AD19" s="448"/>
      <c r="AE19" s="72"/>
      <c r="AF19" s="72"/>
      <c r="AG19" s="72"/>
      <c r="AH19" s="72"/>
      <c r="AI19" s="72"/>
      <c r="AJ19" s="72"/>
      <c r="AK19" s="72"/>
      <c r="AL19" s="72"/>
    </row>
    <row r="20" ht="54.950000000000003" customHeight="1">
      <c r="A20" s="484"/>
      <c r="B20" s="485" t="s">
        <v>25</v>
      </c>
      <c r="C20" s="88"/>
      <c r="D20" s="89"/>
      <c r="E20" s="90"/>
      <c r="F20" s="91"/>
      <c r="G20" s="92">
        <v>6</v>
      </c>
      <c r="H20" s="89">
        <v>1</v>
      </c>
      <c r="I20" s="90"/>
      <c r="J20" s="91"/>
      <c r="K20" s="70"/>
      <c r="L20" s="88"/>
      <c r="M20" s="89"/>
      <c r="N20" s="90"/>
      <c r="O20" s="91"/>
      <c r="P20" s="92"/>
      <c r="Q20" s="89"/>
      <c r="R20" s="90"/>
      <c r="S20" s="91"/>
      <c r="T20" s="70"/>
      <c r="U20" s="88"/>
      <c r="V20" s="89">
        <v>1</v>
      </c>
      <c r="W20" s="90"/>
      <c r="X20" s="91"/>
      <c r="Y20" s="92"/>
      <c r="Z20" s="89"/>
      <c r="AA20" s="90"/>
      <c r="AB20" s="91"/>
      <c r="AC20" s="448"/>
      <c r="AD20" s="448"/>
      <c r="AE20" s="72"/>
      <c r="AF20" s="72"/>
      <c r="AG20" s="72"/>
      <c r="AH20" s="72"/>
      <c r="AI20" s="72"/>
      <c r="AJ20" s="72"/>
      <c r="AK20" s="72"/>
      <c r="AL20" s="72"/>
    </row>
    <row r="21" ht="54.950000000000003" hidden="1" customHeight="1" outlineLevel="1">
      <c r="A21" s="58">
        <v>9</v>
      </c>
      <c r="B21" s="59" t="s">
        <v>26</v>
      </c>
      <c r="C21" s="264"/>
      <c r="D21" s="265"/>
      <c r="E21" s="266"/>
      <c r="F21" s="267"/>
      <c r="G21" s="268"/>
      <c r="H21" s="265"/>
      <c r="I21" s="266"/>
      <c r="J21" s="267"/>
      <c r="K21" s="70"/>
      <c r="L21" s="268"/>
      <c r="M21" s="265"/>
      <c r="N21" s="266"/>
      <c r="O21" s="267"/>
      <c r="P21" s="268"/>
      <c r="Q21" s="265"/>
      <c r="R21" s="266"/>
      <c r="S21" s="269"/>
      <c r="T21" s="70"/>
      <c r="U21" s="268"/>
      <c r="V21" s="265"/>
      <c r="W21" s="266"/>
      <c r="X21" s="267"/>
      <c r="Y21" s="268"/>
      <c r="Z21" s="265"/>
      <c r="AA21" s="266"/>
      <c r="AB21" s="269"/>
      <c r="AC21" s="448"/>
      <c r="AD21" s="448"/>
      <c r="AE21" s="72"/>
      <c r="AF21" s="72"/>
      <c r="AG21" s="72"/>
      <c r="AH21" s="72"/>
      <c r="AI21" s="72"/>
      <c r="AJ21" s="72"/>
      <c r="AK21" s="72"/>
      <c r="AL21" s="72"/>
    </row>
    <row r="22" ht="54.950000000000003" hidden="1" customHeight="1" outlineLevel="1">
      <c r="A22" s="93"/>
      <c r="B22" s="94" t="s">
        <v>27</v>
      </c>
      <c r="C22" s="271"/>
      <c r="D22" s="272"/>
      <c r="E22" s="273"/>
      <c r="F22" s="274"/>
      <c r="G22" s="275"/>
      <c r="H22" s="272"/>
      <c r="I22" s="273"/>
      <c r="J22" s="274"/>
      <c r="K22" s="70"/>
      <c r="L22" s="275"/>
      <c r="M22" s="272"/>
      <c r="N22" s="273"/>
      <c r="O22" s="274"/>
      <c r="P22" s="275"/>
      <c r="Q22" s="272"/>
      <c r="R22" s="273"/>
      <c r="S22" s="276"/>
      <c r="T22" s="70"/>
      <c r="U22" s="275"/>
      <c r="V22" s="272"/>
      <c r="W22" s="273"/>
      <c r="X22" s="274"/>
      <c r="Y22" s="275"/>
      <c r="Z22" s="272"/>
      <c r="AA22" s="273"/>
      <c r="AB22" s="276"/>
      <c r="AC22" s="448"/>
      <c r="AD22" s="448"/>
      <c r="AE22" s="72"/>
      <c r="AF22" s="72"/>
      <c r="AG22" s="72"/>
      <c r="AH22" s="72"/>
      <c r="AI22" s="72"/>
      <c r="AJ22" s="72"/>
      <c r="AK22" s="72"/>
      <c r="AL22" s="72"/>
    </row>
    <row r="23" ht="24.949999999999999" customHeight="1" collapsed="1">
      <c r="A23" s="106"/>
      <c r="B23" s="106"/>
      <c r="C23" s="107"/>
      <c r="D23" s="107"/>
      <c r="E23" s="107"/>
      <c r="F23" s="107"/>
      <c r="G23" s="107"/>
      <c r="H23" s="107"/>
      <c r="I23" s="107"/>
      <c r="J23" s="107"/>
      <c r="K23" s="70"/>
      <c r="L23" s="107"/>
      <c r="M23" s="107"/>
      <c r="N23" s="107"/>
      <c r="O23" s="107"/>
      <c r="P23" s="107"/>
      <c r="Q23" s="107"/>
      <c r="R23" s="107"/>
      <c r="S23" s="107"/>
      <c r="T23" s="70"/>
      <c r="U23" s="107"/>
      <c r="V23" s="107"/>
      <c r="W23" s="107"/>
      <c r="X23" s="107"/>
      <c r="Y23" s="107"/>
      <c r="Z23" s="107"/>
      <c r="AA23" s="107"/>
      <c r="AB23" s="107"/>
      <c r="AC23" s="72"/>
      <c r="AD23" s="72"/>
      <c r="AE23" s="72"/>
      <c r="AF23" s="72"/>
      <c r="AG23" s="72"/>
      <c r="AH23" s="72"/>
    </row>
    <row r="24" ht="75" customHeight="1" outlineLevel="1">
      <c r="A24" s="17"/>
      <c r="B24" s="18"/>
      <c r="C24" s="19"/>
      <c r="D24" s="20"/>
      <c r="E24" s="20"/>
      <c r="F24" s="20"/>
      <c r="G24" s="20"/>
      <c r="H24" s="20"/>
      <c r="I24" s="20"/>
      <c r="J24" s="20"/>
      <c r="K24" s="20"/>
      <c r="L24" s="20"/>
      <c r="M24" s="20"/>
      <c r="N24" s="20"/>
      <c r="O24" s="20"/>
      <c r="P24" s="108"/>
      <c r="Q24" s="108"/>
      <c r="R24" s="108"/>
      <c r="S24" s="108"/>
      <c r="T24" s="108"/>
      <c r="U24" s="108"/>
      <c r="V24" s="108"/>
      <c r="W24" s="108"/>
      <c r="X24" s="108"/>
      <c r="Y24" s="108"/>
      <c r="Z24" s="108"/>
      <c r="AA24" s="108"/>
      <c r="AB24" s="109"/>
    </row>
    <row r="25" ht="32.25" customHeight="1">
      <c r="A25" s="118"/>
      <c r="B25" s="115"/>
      <c r="C25" s="119" t="str">
        <f t="shared" ref="C25:C26" si="116">C7</f>
        <v xml:space="preserve">Depuis 'Arthaz'</v>
      </c>
      <c r="D25" s="120"/>
      <c r="E25" s="120"/>
      <c r="F25" s="120"/>
      <c r="G25" s="120"/>
      <c r="H25" s="120"/>
      <c r="I25" s="120"/>
      <c r="J25" s="120"/>
      <c r="K25" s="120"/>
      <c r="L25" s="120" t="str">
        <f t="shared" ref="L25:L26" si="117">L7</f>
        <v xml:space="preserve">Depuis 'Annemasse'</v>
      </c>
      <c r="M25" s="120"/>
      <c r="N25" s="120"/>
      <c r="O25" s="120"/>
      <c r="P25" s="120"/>
      <c r="Q25" s="120"/>
      <c r="R25" s="120"/>
      <c r="S25" s="122"/>
      <c r="T25" s="486"/>
      <c r="U25" s="120" t="str">
        <f t="shared" ref="U25:U26" si="118">U7</f>
        <v xml:space="preserve">Depuis 'Reignier'</v>
      </c>
      <c r="V25" s="120"/>
      <c r="W25" s="120"/>
      <c r="X25" s="120"/>
      <c r="Y25" s="120"/>
      <c r="Z25" s="120"/>
      <c r="AA25" s="120"/>
      <c r="AB25" s="122"/>
      <c r="AC25" s="118"/>
      <c r="AD25" s="115"/>
      <c r="AE25" s="123" t="s">
        <v>31</v>
      </c>
      <c r="AF25" s="124" t="s">
        <v>32</v>
      </c>
      <c r="AG25" s="487" t="s">
        <v>33</v>
      </c>
      <c r="AH25" s="488" t="s">
        <v>34</v>
      </c>
      <c r="AI25" s="124" t="s">
        <v>58</v>
      </c>
      <c r="AJ25" s="487" t="s">
        <v>60</v>
      </c>
      <c r="AK25" s="489" t="s">
        <v>87</v>
      </c>
      <c r="AL25" s="490" t="s">
        <v>88</v>
      </c>
      <c r="AM25" s="451"/>
      <c r="AN25" s="452"/>
    </row>
    <row r="26" ht="22.699999999999999" customHeight="1">
      <c r="A26" s="118"/>
      <c r="B26" s="115"/>
      <c r="C26" s="129" t="str">
        <f t="shared" si="116"/>
        <v xml:space="preserve">vers 'Reignier'</v>
      </c>
      <c r="D26" s="130"/>
      <c r="E26" s="130"/>
      <c r="F26" s="130"/>
      <c r="G26" s="129" t="str">
        <f>G8</f>
        <v xml:space="preserve">vers 'Annemasse'</v>
      </c>
      <c r="H26" s="130"/>
      <c r="I26" s="130"/>
      <c r="J26" s="130"/>
      <c r="K26" s="131"/>
      <c r="L26" s="129" t="str">
        <f t="shared" si="117"/>
        <v xml:space="preserve">vers 'Reignier'</v>
      </c>
      <c r="M26" s="130"/>
      <c r="N26" s="130"/>
      <c r="O26" s="130"/>
      <c r="P26" s="129" t="str">
        <f>P8</f>
        <v xml:space="preserve">vers 'Arthaz'</v>
      </c>
      <c r="Q26" s="130"/>
      <c r="R26" s="130"/>
      <c r="S26" s="130"/>
      <c r="T26" s="131"/>
      <c r="U26" s="129" t="str">
        <f t="shared" si="118"/>
        <v xml:space="preserve">vers 'Arthaz'</v>
      </c>
      <c r="V26" s="130"/>
      <c r="W26" s="130"/>
      <c r="X26" s="130"/>
      <c r="Y26" s="129" t="str">
        <f>Y8</f>
        <v xml:space="preserve">vers 'Annemasse'</v>
      </c>
      <c r="Z26" s="130"/>
      <c r="AA26" s="130"/>
      <c r="AB26" s="132"/>
      <c r="AC26" s="118"/>
      <c r="AD26" s="115"/>
      <c r="AE26" s="133"/>
      <c r="AF26" s="134"/>
      <c r="AG26" s="491"/>
      <c r="AH26" s="492"/>
      <c r="AI26" s="134"/>
      <c r="AJ26" s="491"/>
      <c r="AK26" s="493"/>
      <c r="AL26" s="494"/>
      <c r="AM26" s="454"/>
      <c r="AN26" s="455"/>
    </row>
    <row r="27" ht="18.600000000000001" customHeight="1">
      <c r="A27" s="118"/>
      <c r="B27" s="115"/>
      <c r="C27" s="495" t="s">
        <v>18</v>
      </c>
      <c r="D27" s="496"/>
      <c r="E27" s="497" t="s">
        <v>19</v>
      </c>
      <c r="F27" s="498"/>
      <c r="G27" s="499" t="s">
        <v>18</v>
      </c>
      <c r="H27" s="496"/>
      <c r="I27" s="497" t="s">
        <v>19</v>
      </c>
      <c r="J27" s="498"/>
      <c r="K27" s="500"/>
      <c r="L27" s="499" t="s">
        <v>18</v>
      </c>
      <c r="M27" s="496"/>
      <c r="N27" s="497" t="s">
        <v>19</v>
      </c>
      <c r="O27" s="498"/>
      <c r="P27" s="499" t="s">
        <v>18</v>
      </c>
      <c r="Q27" s="496"/>
      <c r="R27" s="497" t="s">
        <v>19</v>
      </c>
      <c r="S27" s="501"/>
      <c r="T27" s="500"/>
      <c r="U27" s="499" t="s">
        <v>18</v>
      </c>
      <c r="V27" s="496"/>
      <c r="W27" s="497" t="s">
        <v>19</v>
      </c>
      <c r="X27" s="498"/>
      <c r="Y27" s="499" t="s">
        <v>18</v>
      </c>
      <c r="Z27" s="496"/>
      <c r="AA27" s="502" t="s">
        <v>19</v>
      </c>
      <c r="AB27" s="503"/>
      <c r="AC27" s="118"/>
      <c r="AD27" s="115"/>
      <c r="AE27" s="133"/>
      <c r="AF27" s="134"/>
      <c r="AG27" s="491"/>
      <c r="AH27" s="492"/>
      <c r="AI27" s="134"/>
      <c r="AJ27" s="491"/>
      <c r="AK27" s="493"/>
      <c r="AL27" s="494"/>
      <c r="AM27" s="454"/>
      <c r="AN27" s="455"/>
    </row>
    <row r="28" ht="19.5">
      <c r="A28" s="144" t="s">
        <v>39</v>
      </c>
      <c r="B28" s="145"/>
      <c r="C28" s="504" t="s">
        <v>22</v>
      </c>
      <c r="D28" s="505" t="s">
        <v>23</v>
      </c>
      <c r="E28" s="506" t="s">
        <v>22</v>
      </c>
      <c r="F28" s="507" t="s">
        <v>23</v>
      </c>
      <c r="G28" s="508" t="s">
        <v>22</v>
      </c>
      <c r="H28" s="505" t="s">
        <v>23</v>
      </c>
      <c r="I28" s="506" t="s">
        <v>22</v>
      </c>
      <c r="J28" s="507" t="s">
        <v>23</v>
      </c>
      <c r="K28" s="150"/>
      <c r="L28" s="508" t="s">
        <v>22</v>
      </c>
      <c r="M28" s="505" t="s">
        <v>23</v>
      </c>
      <c r="N28" s="506" t="s">
        <v>22</v>
      </c>
      <c r="O28" s="507" t="s">
        <v>23</v>
      </c>
      <c r="P28" s="508" t="s">
        <v>22</v>
      </c>
      <c r="Q28" s="505" t="s">
        <v>23</v>
      </c>
      <c r="R28" s="506" t="s">
        <v>22</v>
      </c>
      <c r="S28" s="509" t="s">
        <v>23</v>
      </c>
      <c r="T28" s="150"/>
      <c r="U28" s="508" t="s">
        <v>22</v>
      </c>
      <c r="V28" s="505" t="s">
        <v>23</v>
      </c>
      <c r="W28" s="506" t="s">
        <v>22</v>
      </c>
      <c r="X28" s="507" t="s">
        <v>23</v>
      </c>
      <c r="Y28" s="508" t="s">
        <v>22</v>
      </c>
      <c r="Z28" s="505" t="s">
        <v>23</v>
      </c>
      <c r="AA28" s="506" t="s">
        <v>22</v>
      </c>
      <c r="AB28" s="509" t="s">
        <v>23</v>
      </c>
      <c r="AC28" s="151" t="s">
        <v>39</v>
      </c>
      <c r="AD28" s="152"/>
      <c r="AE28" s="133"/>
      <c r="AF28" s="153"/>
      <c r="AG28" s="510"/>
      <c r="AH28" s="511"/>
      <c r="AI28" s="153"/>
      <c r="AJ28" s="510"/>
      <c r="AK28" s="512"/>
      <c r="AL28" s="513"/>
      <c r="AM28" s="457"/>
      <c r="AN28" s="458"/>
    </row>
    <row r="29" ht="54.950000000000003" customHeight="1">
      <c r="A29" s="158" t="s">
        <v>40</v>
      </c>
      <c r="B29" s="159"/>
      <c r="C29" s="514">
        <f t="shared" ref="C29:AB29" si="119">SUM(C11:C14)</f>
        <v>1</v>
      </c>
      <c r="D29" s="515">
        <f t="shared" si="119"/>
        <v>0</v>
      </c>
      <c r="E29" s="516">
        <f t="shared" si="119"/>
        <v>1</v>
      </c>
      <c r="F29" s="517">
        <f t="shared" si="119"/>
        <v>0</v>
      </c>
      <c r="G29" s="518">
        <f t="shared" si="119"/>
        <v>0</v>
      </c>
      <c r="H29" s="515">
        <f t="shared" si="119"/>
        <v>0</v>
      </c>
      <c r="I29" s="516">
        <f t="shared" si="119"/>
        <v>0</v>
      </c>
      <c r="J29" s="517">
        <f t="shared" si="119"/>
        <v>0</v>
      </c>
      <c r="K29" s="519"/>
      <c r="L29" s="518">
        <f t="shared" si="119"/>
        <v>0</v>
      </c>
      <c r="M29" s="515">
        <f t="shared" si="119"/>
        <v>0</v>
      </c>
      <c r="N29" s="516">
        <f t="shared" si="119"/>
        <v>1</v>
      </c>
      <c r="O29" s="517">
        <f t="shared" si="119"/>
        <v>0</v>
      </c>
      <c r="P29" s="518">
        <f t="shared" si="119"/>
        <v>0</v>
      </c>
      <c r="Q29" s="515">
        <f t="shared" si="119"/>
        <v>0</v>
      </c>
      <c r="R29" s="516">
        <f t="shared" si="119"/>
        <v>0</v>
      </c>
      <c r="S29" s="520">
        <f t="shared" si="119"/>
        <v>0</v>
      </c>
      <c r="T29" s="519"/>
      <c r="U29" s="518">
        <f t="shared" si="119"/>
        <v>0</v>
      </c>
      <c r="V29" s="515">
        <f t="shared" si="119"/>
        <v>2</v>
      </c>
      <c r="W29" s="516">
        <f t="shared" si="119"/>
        <v>1</v>
      </c>
      <c r="X29" s="517">
        <f t="shared" si="119"/>
        <v>0</v>
      </c>
      <c r="Y29" s="518">
        <f t="shared" si="119"/>
        <v>1</v>
      </c>
      <c r="Z29" s="515">
        <f t="shared" si="119"/>
        <v>3</v>
      </c>
      <c r="AA29" s="516">
        <f t="shared" si="119"/>
        <v>1</v>
      </c>
      <c r="AB29" s="520">
        <f t="shared" si="119"/>
        <v>0</v>
      </c>
      <c r="AC29" s="521" t="s">
        <v>40</v>
      </c>
      <c r="AD29" s="522"/>
      <c r="AE29" s="523">
        <f t="shared" ref="AE29:AE35" si="120">SUM(C29:AB29)</f>
        <v>11</v>
      </c>
      <c r="AF29" s="168">
        <f t="shared" ref="AF29:AF35" si="121">IF(AE29=0,0,AF41/AE29)</f>
        <v>0.54545454545454541</v>
      </c>
      <c r="AG29" s="168">
        <f t="shared" ref="AG29:AG35" si="122">IF(AE29=0,0,AG41/AE29)</f>
        <v>0.36363636363636365</v>
      </c>
      <c r="AH29" s="168">
        <f t="shared" ref="AH29:AH35" si="123">IF(AG41=0,0,AH41/AG41)</f>
        <v>1</v>
      </c>
      <c r="AI29" s="168">
        <f t="shared" ref="AI29:AI35" si="124">IF(AE29=0,0,AI41/AE29)</f>
        <v>0.45454545454545453</v>
      </c>
      <c r="AJ29" s="524">
        <f t="shared" ref="AJ29:AJ35" si="125">SUM(U29:AB29)</f>
        <v>8</v>
      </c>
      <c r="AK29" s="525">
        <f>RE_Eglise!AH60</f>
        <v>4</v>
      </c>
      <c r="AL29" s="526">
        <f t="shared" ref="AL29:AL35" si="126">AK29-AJ29</f>
        <v>-4</v>
      </c>
      <c r="AM29" s="527"/>
      <c r="AN29" s="528"/>
    </row>
    <row r="30" ht="54.950000000000003" hidden="1" customHeight="1">
      <c r="A30" s="173" t="s">
        <v>41</v>
      </c>
      <c r="B30" s="174"/>
      <c r="C30" s="529">
        <f t="shared" ref="C30:AB30" si="127">SUM(C13:C16)</f>
        <v>1</v>
      </c>
      <c r="D30" s="530">
        <f t="shared" si="127"/>
        <v>0</v>
      </c>
      <c r="E30" s="531">
        <f t="shared" si="127"/>
        <v>1</v>
      </c>
      <c r="F30" s="532">
        <f t="shared" si="127"/>
        <v>0</v>
      </c>
      <c r="G30" s="533">
        <f t="shared" si="127"/>
        <v>0</v>
      </c>
      <c r="H30" s="530">
        <f t="shared" si="127"/>
        <v>0</v>
      </c>
      <c r="I30" s="531">
        <f t="shared" si="127"/>
        <v>0</v>
      </c>
      <c r="J30" s="532">
        <f t="shared" si="127"/>
        <v>0</v>
      </c>
      <c r="K30" s="534"/>
      <c r="L30" s="533">
        <f t="shared" si="127"/>
        <v>0</v>
      </c>
      <c r="M30" s="530">
        <f t="shared" si="127"/>
        <v>0</v>
      </c>
      <c r="N30" s="531">
        <f t="shared" si="127"/>
        <v>1</v>
      </c>
      <c r="O30" s="532">
        <f t="shared" si="127"/>
        <v>0</v>
      </c>
      <c r="P30" s="533">
        <f t="shared" si="127"/>
        <v>0</v>
      </c>
      <c r="Q30" s="530">
        <f t="shared" si="127"/>
        <v>0</v>
      </c>
      <c r="R30" s="531">
        <f t="shared" si="127"/>
        <v>0</v>
      </c>
      <c r="S30" s="535">
        <f t="shared" si="127"/>
        <v>0</v>
      </c>
      <c r="T30" s="534"/>
      <c r="U30" s="533">
        <f t="shared" si="127"/>
        <v>0</v>
      </c>
      <c r="V30" s="530">
        <f t="shared" si="127"/>
        <v>3</v>
      </c>
      <c r="W30" s="531">
        <f t="shared" si="127"/>
        <v>1</v>
      </c>
      <c r="X30" s="532">
        <f t="shared" si="127"/>
        <v>0</v>
      </c>
      <c r="Y30" s="533">
        <f t="shared" si="127"/>
        <v>2</v>
      </c>
      <c r="Z30" s="530">
        <f t="shared" si="127"/>
        <v>3</v>
      </c>
      <c r="AA30" s="531">
        <f t="shared" si="127"/>
        <v>1</v>
      </c>
      <c r="AB30" s="535">
        <f t="shared" si="127"/>
        <v>0</v>
      </c>
      <c r="AC30" s="536" t="s">
        <v>41</v>
      </c>
      <c r="AD30" s="537"/>
      <c r="AE30" s="538">
        <f t="shared" si="120"/>
        <v>13</v>
      </c>
      <c r="AF30" s="183">
        <f t="shared" si="121"/>
        <v>0.53846153846153844</v>
      </c>
      <c r="AG30" s="183">
        <f t="shared" si="122"/>
        <v>0.30769230769230771</v>
      </c>
      <c r="AH30" s="183">
        <f t="shared" si="123"/>
        <v>1</v>
      </c>
      <c r="AI30" s="183">
        <f t="shared" si="124"/>
        <v>0.46153846153846156</v>
      </c>
      <c r="AJ30" s="539">
        <f t="shared" si="125"/>
        <v>10</v>
      </c>
      <c r="AK30" s="540">
        <f>RE_Eglise!AH61</f>
        <v>11</v>
      </c>
      <c r="AL30" s="541">
        <f t="shared" si="126"/>
        <v>1</v>
      </c>
      <c r="AM30" s="542"/>
      <c r="AN30" s="543"/>
    </row>
    <row r="31" ht="54.950000000000003" customHeight="1">
      <c r="A31" s="173" t="s">
        <v>42</v>
      </c>
      <c r="B31" s="174"/>
      <c r="C31" s="529">
        <f t="shared" ref="C31:AB31" si="128">SUM(C15:C18)</f>
        <v>0</v>
      </c>
      <c r="D31" s="530">
        <f t="shared" si="128"/>
        <v>0</v>
      </c>
      <c r="E31" s="531">
        <f t="shared" si="128"/>
        <v>0</v>
      </c>
      <c r="F31" s="532">
        <f t="shared" si="128"/>
        <v>0</v>
      </c>
      <c r="G31" s="533">
        <f t="shared" si="128"/>
        <v>0</v>
      </c>
      <c r="H31" s="530">
        <f t="shared" si="128"/>
        <v>0</v>
      </c>
      <c r="I31" s="531">
        <f t="shared" si="128"/>
        <v>0</v>
      </c>
      <c r="J31" s="532">
        <f t="shared" si="128"/>
        <v>0</v>
      </c>
      <c r="K31" s="534"/>
      <c r="L31" s="533">
        <f t="shared" si="128"/>
        <v>0</v>
      </c>
      <c r="M31" s="530">
        <f t="shared" si="128"/>
        <v>0</v>
      </c>
      <c r="N31" s="531">
        <f t="shared" si="128"/>
        <v>0</v>
      </c>
      <c r="O31" s="532">
        <f t="shared" si="128"/>
        <v>0</v>
      </c>
      <c r="P31" s="533">
        <f t="shared" si="128"/>
        <v>0</v>
      </c>
      <c r="Q31" s="530">
        <f t="shared" si="128"/>
        <v>0</v>
      </c>
      <c r="R31" s="531">
        <f t="shared" si="128"/>
        <v>0</v>
      </c>
      <c r="S31" s="535">
        <f t="shared" si="128"/>
        <v>0</v>
      </c>
      <c r="T31" s="534"/>
      <c r="U31" s="533">
        <f t="shared" si="128"/>
        <v>2</v>
      </c>
      <c r="V31" s="530">
        <f t="shared" si="128"/>
        <v>2</v>
      </c>
      <c r="W31" s="531">
        <f t="shared" si="128"/>
        <v>0</v>
      </c>
      <c r="X31" s="532">
        <f t="shared" si="128"/>
        <v>0</v>
      </c>
      <c r="Y31" s="533">
        <f t="shared" si="128"/>
        <v>2</v>
      </c>
      <c r="Z31" s="530">
        <f t="shared" si="128"/>
        <v>1</v>
      </c>
      <c r="AA31" s="531">
        <f t="shared" si="128"/>
        <v>0</v>
      </c>
      <c r="AB31" s="535">
        <f t="shared" si="128"/>
        <v>0</v>
      </c>
      <c r="AC31" s="536" t="s">
        <v>42</v>
      </c>
      <c r="AD31" s="537"/>
      <c r="AE31" s="538">
        <f t="shared" si="120"/>
        <v>7</v>
      </c>
      <c r="AF31" s="183">
        <f t="shared" si="121"/>
        <v>0.5714285714285714</v>
      </c>
      <c r="AG31" s="183">
        <f t="shared" si="122"/>
        <v>0</v>
      </c>
      <c r="AH31" s="183">
        <f t="shared" si="123"/>
        <v>0</v>
      </c>
      <c r="AI31" s="183">
        <f t="shared" si="124"/>
        <v>0.42857142857142855</v>
      </c>
      <c r="AJ31" s="539">
        <f t="shared" si="125"/>
        <v>7</v>
      </c>
      <c r="AK31" s="540">
        <f>RE_Eglise!AH62</f>
        <v>9</v>
      </c>
      <c r="AL31" s="541">
        <f t="shared" si="126"/>
        <v>2</v>
      </c>
      <c r="AM31" s="542"/>
      <c r="AN31" s="543"/>
    </row>
    <row r="32" ht="54.950000000000003" customHeight="1">
      <c r="A32" s="173" t="s">
        <v>43</v>
      </c>
      <c r="B32" s="174"/>
      <c r="C32" s="529">
        <f t="shared" ref="C32:AB32" si="129">SUM(C17:C20)</f>
        <v>0</v>
      </c>
      <c r="D32" s="530">
        <f t="shared" si="129"/>
        <v>0</v>
      </c>
      <c r="E32" s="531">
        <f t="shared" si="129"/>
        <v>0</v>
      </c>
      <c r="F32" s="532">
        <f t="shared" si="129"/>
        <v>0</v>
      </c>
      <c r="G32" s="533">
        <f t="shared" si="129"/>
        <v>6</v>
      </c>
      <c r="H32" s="530">
        <f t="shared" si="129"/>
        <v>1</v>
      </c>
      <c r="I32" s="531">
        <f t="shared" si="129"/>
        <v>0</v>
      </c>
      <c r="J32" s="532">
        <f t="shared" si="129"/>
        <v>0</v>
      </c>
      <c r="K32" s="534"/>
      <c r="L32" s="533">
        <f t="shared" si="129"/>
        <v>0</v>
      </c>
      <c r="M32" s="530">
        <f t="shared" si="129"/>
        <v>0</v>
      </c>
      <c r="N32" s="531">
        <f t="shared" si="129"/>
        <v>0</v>
      </c>
      <c r="O32" s="532">
        <f t="shared" si="129"/>
        <v>0</v>
      </c>
      <c r="P32" s="533">
        <f t="shared" si="129"/>
        <v>0</v>
      </c>
      <c r="Q32" s="530">
        <f t="shared" si="129"/>
        <v>0</v>
      </c>
      <c r="R32" s="531">
        <f t="shared" si="129"/>
        <v>0</v>
      </c>
      <c r="S32" s="535">
        <f t="shared" si="129"/>
        <v>0</v>
      </c>
      <c r="T32" s="534"/>
      <c r="U32" s="533">
        <f t="shared" si="129"/>
        <v>2</v>
      </c>
      <c r="V32" s="530">
        <f t="shared" si="129"/>
        <v>2</v>
      </c>
      <c r="W32" s="531">
        <f t="shared" si="129"/>
        <v>0</v>
      </c>
      <c r="X32" s="532">
        <f t="shared" si="129"/>
        <v>0</v>
      </c>
      <c r="Y32" s="533">
        <f t="shared" si="129"/>
        <v>1</v>
      </c>
      <c r="Z32" s="530">
        <f t="shared" si="129"/>
        <v>1</v>
      </c>
      <c r="AA32" s="531">
        <f t="shared" si="129"/>
        <v>0</v>
      </c>
      <c r="AB32" s="535">
        <f t="shared" si="129"/>
        <v>0</v>
      </c>
      <c r="AC32" s="536" t="s">
        <v>43</v>
      </c>
      <c r="AD32" s="537"/>
      <c r="AE32" s="538">
        <f t="shared" si="120"/>
        <v>13</v>
      </c>
      <c r="AF32" s="183">
        <f t="shared" si="121"/>
        <v>0.69230769230769229</v>
      </c>
      <c r="AG32" s="183">
        <f t="shared" si="122"/>
        <v>0</v>
      </c>
      <c r="AH32" s="183">
        <f t="shared" si="123"/>
        <v>0</v>
      </c>
      <c r="AI32" s="183">
        <f t="shared" si="124"/>
        <v>0.69230769230769229</v>
      </c>
      <c r="AJ32" s="539">
        <f t="shared" si="125"/>
        <v>6</v>
      </c>
      <c r="AK32" s="540">
        <f>RE_Eglise!AH63</f>
        <v>4</v>
      </c>
      <c r="AL32" s="541">
        <f t="shared" si="126"/>
        <v>-2</v>
      </c>
      <c r="AM32" s="542"/>
      <c r="AN32" s="543"/>
    </row>
    <row r="33" ht="54.950000000000003" customHeight="1">
      <c r="A33" s="188" t="s">
        <v>44</v>
      </c>
      <c r="B33" s="189"/>
      <c r="C33" s="544">
        <f t="shared" ref="C33:AB33" si="130">SUM(C19:C22)</f>
        <v>0</v>
      </c>
      <c r="D33" s="545">
        <f t="shared" si="130"/>
        <v>0</v>
      </c>
      <c r="E33" s="546">
        <f t="shared" si="130"/>
        <v>0</v>
      </c>
      <c r="F33" s="547">
        <f t="shared" si="130"/>
        <v>0</v>
      </c>
      <c r="G33" s="548">
        <f t="shared" si="130"/>
        <v>6</v>
      </c>
      <c r="H33" s="545">
        <f t="shared" si="130"/>
        <v>1</v>
      </c>
      <c r="I33" s="546">
        <f t="shared" si="130"/>
        <v>0</v>
      </c>
      <c r="J33" s="547">
        <f t="shared" si="130"/>
        <v>0</v>
      </c>
      <c r="K33" s="549"/>
      <c r="L33" s="548">
        <f t="shared" si="130"/>
        <v>0</v>
      </c>
      <c r="M33" s="545">
        <f t="shared" si="130"/>
        <v>0</v>
      </c>
      <c r="N33" s="546">
        <f t="shared" si="130"/>
        <v>0</v>
      </c>
      <c r="O33" s="547">
        <f t="shared" si="130"/>
        <v>0</v>
      </c>
      <c r="P33" s="548">
        <f t="shared" si="130"/>
        <v>0</v>
      </c>
      <c r="Q33" s="545">
        <f t="shared" si="130"/>
        <v>0</v>
      </c>
      <c r="R33" s="546">
        <f t="shared" si="130"/>
        <v>0</v>
      </c>
      <c r="S33" s="550">
        <f t="shared" si="130"/>
        <v>0</v>
      </c>
      <c r="T33" s="549"/>
      <c r="U33" s="548">
        <f t="shared" si="130"/>
        <v>0</v>
      </c>
      <c r="V33" s="545">
        <f t="shared" si="130"/>
        <v>1</v>
      </c>
      <c r="W33" s="546">
        <f t="shared" si="130"/>
        <v>0</v>
      </c>
      <c r="X33" s="547">
        <f t="shared" si="130"/>
        <v>0</v>
      </c>
      <c r="Y33" s="548">
        <f t="shared" si="130"/>
        <v>0</v>
      </c>
      <c r="Z33" s="545">
        <f t="shared" si="130"/>
        <v>0</v>
      </c>
      <c r="AA33" s="546">
        <f t="shared" si="130"/>
        <v>0</v>
      </c>
      <c r="AB33" s="550">
        <f t="shared" si="130"/>
        <v>0</v>
      </c>
      <c r="AC33" s="551" t="s">
        <v>44</v>
      </c>
      <c r="AD33" s="552"/>
      <c r="AE33" s="553">
        <f t="shared" si="120"/>
        <v>8</v>
      </c>
      <c r="AF33" s="198">
        <f t="shared" si="121"/>
        <v>0.75</v>
      </c>
      <c r="AG33" s="198">
        <f t="shared" si="122"/>
        <v>0</v>
      </c>
      <c r="AH33" s="198">
        <f t="shared" si="123"/>
        <v>0</v>
      </c>
      <c r="AI33" s="198">
        <f t="shared" si="124"/>
        <v>0.875</v>
      </c>
      <c r="AJ33" s="554">
        <f t="shared" si="125"/>
        <v>1</v>
      </c>
      <c r="AK33" s="555">
        <f>RE_Eglise!AH64</f>
        <v>2</v>
      </c>
      <c r="AL33" s="556">
        <f t="shared" si="126"/>
        <v>1</v>
      </c>
      <c r="AM33" s="557"/>
      <c r="AN33" s="558"/>
    </row>
    <row r="34" ht="54.950000000000003" customHeight="1">
      <c r="A34" s="203" t="s">
        <v>31</v>
      </c>
      <c r="B34" s="204"/>
      <c r="C34" s="559">
        <f t="shared" ref="C34:AB34" si="131">SUM(C11:C22)</f>
        <v>1</v>
      </c>
      <c r="D34" s="560">
        <f t="shared" si="131"/>
        <v>0</v>
      </c>
      <c r="E34" s="561">
        <f t="shared" si="131"/>
        <v>1</v>
      </c>
      <c r="F34" s="562">
        <f t="shared" si="131"/>
        <v>0</v>
      </c>
      <c r="G34" s="563">
        <f t="shared" si="131"/>
        <v>6</v>
      </c>
      <c r="H34" s="560">
        <f t="shared" si="131"/>
        <v>1</v>
      </c>
      <c r="I34" s="561">
        <f t="shared" si="131"/>
        <v>0</v>
      </c>
      <c r="J34" s="562">
        <f t="shared" si="131"/>
        <v>0</v>
      </c>
      <c r="K34" s="564"/>
      <c r="L34" s="563">
        <f t="shared" si="131"/>
        <v>0</v>
      </c>
      <c r="M34" s="560">
        <f t="shared" si="131"/>
        <v>0</v>
      </c>
      <c r="N34" s="561">
        <f t="shared" si="131"/>
        <v>1</v>
      </c>
      <c r="O34" s="562">
        <f t="shared" si="131"/>
        <v>0</v>
      </c>
      <c r="P34" s="563">
        <f t="shared" si="131"/>
        <v>0</v>
      </c>
      <c r="Q34" s="560">
        <f t="shared" si="131"/>
        <v>0</v>
      </c>
      <c r="R34" s="561">
        <f t="shared" si="131"/>
        <v>0</v>
      </c>
      <c r="S34" s="565">
        <f t="shared" si="131"/>
        <v>0</v>
      </c>
      <c r="T34" s="564"/>
      <c r="U34" s="563">
        <f t="shared" si="131"/>
        <v>2</v>
      </c>
      <c r="V34" s="560">
        <f t="shared" si="131"/>
        <v>5</v>
      </c>
      <c r="W34" s="561">
        <f t="shared" si="131"/>
        <v>1</v>
      </c>
      <c r="X34" s="562">
        <f t="shared" si="131"/>
        <v>0</v>
      </c>
      <c r="Y34" s="563">
        <f t="shared" si="131"/>
        <v>3</v>
      </c>
      <c r="Z34" s="560">
        <f t="shared" si="131"/>
        <v>4</v>
      </c>
      <c r="AA34" s="561">
        <f t="shared" si="131"/>
        <v>1</v>
      </c>
      <c r="AB34" s="565">
        <f t="shared" si="131"/>
        <v>0</v>
      </c>
      <c r="AC34" s="566" t="s">
        <v>31</v>
      </c>
      <c r="AD34" s="567"/>
      <c r="AE34" s="568">
        <f t="shared" si="120"/>
        <v>26</v>
      </c>
      <c r="AF34" s="213">
        <f t="shared" si="121"/>
        <v>0.61538461538461542</v>
      </c>
      <c r="AG34" s="213">
        <f t="shared" si="122"/>
        <v>0.15384615384615385</v>
      </c>
      <c r="AH34" s="213">
        <f t="shared" si="123"/>
        <v>1</v>
      </c>
      <c r="AI34" s="213">
        <f t="shared" si="124"/>
        <v>0.57692307692307687</v>
      </c>
      <c r="AJ34" s="569">
        <f t="shared" si="125"/>
        <v>16</v>
      </c>
      <c r="AK34" s="570">
        <f>RE_Eglise!AH65</f>
        <v>15</v>
      </c>
      <c r="AL34" s="571">
        <f t="shared" si="126"/>
        <v>-1</v>
      </c>
      <c r="AM34" s="572"/>
      <c r="AN34" s="573"/>
    </row>
    <row r="35" ht="54.950000000000003" customHeight="1">
      <c r="A35" s="218" t="str">
        <f>IF($AE$29=MAX($AE$29:$AE$33),A29,IF($AE$30=MAX($AE$29:$AE$33),A30,IF($AE$31=MAX($AE$29:$AE$33),A31,IF($AE$32=MAX($AE$29:$AE$33),A32,A33))))</f>
        <v xml:space="preserve">de 7:00 à 8:00</v>
      </c>
      <c r="B35" s="219"/>
      <c r="C35" s="574">
        <f t="shared" ref="C35:J35" si="132">IF($AE$29=MAX($AE$29:$AE$33),C29,IF($AE$30=MAX($AE$29:$AE$33),C30,IF($AE$31=MAX($AE$29:$AE$33),C31,IF($AE$32=MAX($AE$29:$AE$33),C32,C33))))</f>
        <v>1</v>
      </c>
      <c r="D35" s="575">
        <f t="shared" si="132"/>
        <v>0</v>
      </c>
      <c r="E35" s="576">
        <f t="shared" si="132"/>
        <v>1</v>
      </c>
      <c r="F35" s="577">
        <f t="shared" si="132"/>
        <v>0</v>
      </c>
      <c r="G35" s="578">
        <f t="shared" si="132"/>
        <v>0</v>
      </c>
      <c r="H35" s="575">
        <f t="shared" si="132"/>
        <v>0</v>
      </c>
      <c r="I35" s="576">
        <f t="shared" si="132"/>
        <v>0</v>
      </c>
      <c r="J35" s="577">
        <f t="shared" si="132"/>
        <v>0</v>
      </c>
      <c r="K35" s="579"/>
      <c r="L35" s="578">
        <f t="shared" ref="L35:S35" si="133">IF($AE$29=MAX($AE$29:$AE$33),L29,IF($AE$30=MAX($AE$29:$AE$33),L30,IF($AE$31=MAX($AE$29:$AE$33),L31,IF($AE$32=MAX($AE$29:$AE$33),L32,L33))))</f>
        <v>0</v>
      </c>
      <c r="M35" s="575">
        <f t="shared" si="133"/>
        <v>0</v>
      </c>
      <c r="N35" s="576">
        <f t="shared" si="133"/>
        <v>1</v>
      </c>
      <c r="O35" s="577">
        <f t="shared" si="133"/>
        <v>0</v>
      </c>
      <c r="P35" s="578">
        <f t="shared" si="133"/>
        <v>0</v>
      </c>
      <c r="Q35" s="575">
        <f t="shared" si="133"/>
        <v>0</v>
      </c>
      <c r="R35" s="576">
        <f t="shared" si="133"/>
        <v>0</v>
      </c>
      <c r="S35" s="580">
        <f t="shared" si="133"/>
        <v>0</v>
      </c>
      <c r="T35" s="579"/>
      <c r="U35" s="578">
        <f t="shared" ref="U35:AB35" si="134">IF($AE$29=MAX($AE$29:$AE$33),U29,IF($AE$30=MAX($AE$29:$AE$33),U30,IF($AE$31=MAX($AE$29:$AE$33),U31,IF($AE$32=MAX($AE$29:$AE$33),U32,U33))))</f>
        <v>0</v>
      </c>
      <c r="V35" s="575">
        <f t="shared" si="134"/>
        <v>3</v>
      </c>
      <c r="W35" s="576">
        <f t="shared" si="134"/>
        <v>1</v>
      </c>
      <c r="X35" s="577">
        <f t="shared" si="134"/>
        <v>0</v>
      </c>
      <c r="Y35" s="578">
        <f t="shared" si="134"/>
        <v>2</v>
      </c>
      <c r="Z35" s="575">
        <f t="shared" si="134"/>
        <v>3</v>
      </c>
      <c r="AA35" s="576">
        <f t="shared" si="134"/>
        <v>1</v>
      </c>
      <c r="AB35" s="580">
        <f t="shared" si="134"/>
        <v>0</v>
      </c>
      <c r="AC35" s="581" t="str">
        <f>A35</f>
        <v xml:space="preserve">de 7:00 à 8:00</v>
      </c>
      <c r="AD35" s="582"/>
      <c r="AE35" s="583">
        <f t="shared" si="120"/>
        <v>13</v>
      </c>
      <c r="AF35" s="228">
        <f t="shared" si="121"/>
        <v>0.53846153846153844</v>
      </c>
      <c r="AG35" s="228">
        <f t="shared" si="122"/>
        <v>0.30769230769230771</v>
      </c>
      <c r="AH35" s="228">
        <f t="shared" si="123"/>
        <v>1</v>
      </c>
      <c r="AI35" s="228">
        <f t="shared" si="124"/>
        <v>0.46153846153846156</v>
      </c>
      <c r="AJ35" s="584">
        <f t="shared" si="125"/>
        <v>10</v>
      </c>
      <c r="AK35" s="585">
        <f>RE_Eglise!AH66</f>
        <v>9</v>
      </c>
      <c r="AL35" s="586">
        <f t="shared" si="126"/>
        <v>-1</v>
      </c>
      <c r="AM35" s="587"/>
      <c r="AN35" s="588"/>
    </row>
    <row r="36" ht="12.75" customHeight="1">
      <c r="A36" s="589"/>
      <c r="B36" s="590"/>
      <c r="C36" s="590"/>
      <c r="D36" s="590"/>
      <c r="E36" s="590"/>
      <c r="F36" s="590"/>
      <c r="G36" s="590"/>
      <c r="H36" s="590"/>
      <c r="I36" s="590"/>
      <c r="J36" s="590"/>
      <c r="K36" s="590"/>
      <c r="L36" s="590"/>
      <c r="M36" s="590"/>
      <c r="N36" s="590"/>
      <c r="O36" s="590"/>
      <c r="P36" s="590"/>
      <c r="Q36" s="590"/>
      <c r="R36" s="590"/>
      <c r="S36" s="590"/>
      <c r="T36" s="590"/>
      <c r="U36" s="589"/>
      <c r="V36" s="590"/>
      <c r="W36" s="590"/>
      <c r="X36" s="590"/>
      <c r="Y36" s="590"/>
      <c r="Z36" s="590"/>
      <c r="AA36" s="590"/>
      <c r="AB36" s="590"/>
      <c r="AC36" s="249"/>
      <c r="AD36" s="249"/>
      <c r="AE36" s="590"/>
      <c r="AF36" s="590"/>
      <c r="AG36" s="589"/>
      <c r="AH36" s="590"/>
      <c r="AI36" s="590"/>
      <c r="AJ36" s="590"/>
      <c r="AK36" s="590"/>
      <c r="AL36" s="590"/>
      <c r="AM36" s="249"/>
      <c r="AN36" s="237"/>
    </row>
    <row r="37" ht="32.25" customHeight="1">
      <c r="A37" s="248"/>
      <c r="B37" s="249"/>
      <c r="C37" s="591"/>
      <c r="D37" s="591"/>
      <c r="E37" s="591"/>
      <c r="F37" s="591"/>
      <c r="G37" s="591"/>
      <c r="H37" s="591"/>
      <c r="I37" s="591"/>
      <c r="J37" s="591"/>
      <c r="K37" s="591"/>
      <c r="L37" s="591"/>
      <c r="M37" s="591"/>
      <c r="N37" s="591"/>
      <c r="O37" s="591"/>
      <c r="P37" s="591"/>
      <c r="Q37" s="591"/>
      <c r="R37" s="591"/>
      <c r="S37" s="591"/>
      <c r="T37" s="591"/>
      <c r="U37" s="591"/>
      <c r="V37" s="591"/>
      <c r="W37" s="591"/>
      <c r="X37" s="591"/>
      <c r="Y37" s="591"/>
      <c r="Z37" s="591"/>
      <c r="AA37" s="591"/>
      <c r="AB37" s="591"/>
      <c r="AC37" s="248"/>
      <c r="AD37" s="249"/>
      <c r="AE37" s="592"/>
      <c r="AF37" s="593" t="s">
        <v>45</v>
      </c>
      <c r="AG37" s="593" t="s">
        <v>46</v>
      </c>
      <c r="AH37" s="593" t="s">
        <v>47</v>
      </c>
      <c r="AI37" s="594" t="s">
        <v>59</v>
      </c>
      <c r="AJ37" s="595"/>
      <c r="AK37" s="596"/>
      <c r="AL37" s="596"/>
      <c r="AM37" s="596"/>
      <c r="AN37" s="596"/>
    </row>
    <row r="38" ht="22.699999999999999" customHeight="1">
      <c r="A38" s="248"/>
      <c r="B38" s="249"/>
      <c r="C38" s="597"/>
      <c r="D38" s="597"/>
      <c r="E38" s="597"/>
      <c r="F38" s="597"/>
      <c r="G38" s="597"/>
      <c r="H38" s="597"/>
      <c r="I38" s="597"/>
      <c r="J38" s="597"/>
      <c r="K38" s="597"/>
      <c r="L38" s="597"/>
      <c r="M38" s="597"/>
      <c r="N38" s="597"/>
      <c r="O38" s="597"/>
      <c r="P38" s="597"/>
      <c r="Q38" s="597"/>
      <c r="R38" s="597"/>
      <c r="S38" s="597"/>
      <c r="T38" s="597"/>
      <c r="U38" s="597"/>
      <c r="V38" s="597"/>
      <c r="W38" s="597"/>
      <c r="X38" s="597"/>
      <c r="Y38" s="597"/>
      <c r="Z38" s="597"/>
      <c r="AA38" s="597"/>
      <c r="AB38" s="597"/>
      <c r="AC38" s="248"/>
      <c r="AD38" s="249"/>
      <c r="AE38" s="592"/>
      <c r="AF38" s="598"/>
      <c r="AG38" s="598"/>
      <c r="AH38" s="598"/>
      <c r="AI38" s="599"/>
      <c r="AJ38" s="595"/>
      <c r="AK38" s="596"/>
      <c r="AL38" s="596"/>
      <c r="AM38" s="596"/>
      <c r="AN38" s="596"/>
    </row>
    <row r="39" ht="18.600000000000001" hidden="1" customHeight="1">
      <c r="A39" s="248"/>
      <c r="B39" s="249"/>
      <c r="C39" s="600"/>
      <c r="D39" s="600"/>
      <c r="E39" s="600"/>
      <c r="F39" s="600"/>
      <c r="G39" s="600"/>
      <c r="H39" s="600"/>
      <c r="I39" s="600"/>
      <c r="J39" s="600"/>
      <c r="K39" s="600"/>
      <c r="L39" s="600"/>
      <c r="M39" s="600"/>
      <c r="N39" s="600"/>
      <c r="O39" s="600"/>
      <c r="P39" s="600"/>
      <c r="Q39" s="600"/>
      <c r="R39" s="600"/>
      <c r="S39" s="600"/>
      <c r="T39" s="600"/>
      <c r="U39" s="600"/>
      <c r="V39" s="600"/>
      <c r="W39" s="600"/>
      <c r="X39" s="600"/>
      <c r="Y39" s="600"/>
      <c r="Z39" s="600"/>
      <c r="AA39" s="600"/>
      <c r="AB39" s="600"/>
      <c r="AC39" s="248"/>
      <c r="AD39" s="249"/>
      <c r="AE39" s="592"/>
      <c r="AF39" s="598"/>
      <c r="AG39" s="598"/>
      <c r="AH39" s="598"/>
      <c r="AI39" s="599"/>
      <c r="AJ39" s="595"/>
      <c r="AK39" s="596"/>
      <c r="AL39" s="596"/>
      <c r="AM39" s="596"/>
      <c r="AN39" s="596"/>
    </row>
    <row r="40" ht="20.25" hidden="1">
      <c r="A40" s="601"/>
      <c r="B40" s="601"/>
      <c r="C40" s="233"/>
      <c r="D40" s="233"/>
      <c r="E40" s="233"/>
      <c r="F40" s="233"/>
      <c r="G40" s="233"/>
      <c r="H40" s="233"/>
      <c r="I40" s="233"/>
      <c r="J40" s="233"/>
      <c r="K40" s="233"/>
      <c r="L40" s="233"/>
      <c r="M40" s="233"/>
      <c r="N40" s="233"/>
      <c r="O40" s="233"/>
      <c r="P40" s="233"/>
      <c r="Q40" s="233"/>
      <c r="R40" s="233"/>
      <c r="S40" s="233"/>
      <c r="T40" s="233"/>
      <c r="U40" s="233"/>
      <c r="V40" s="233"/>
      <c r="W40" s="233"/>
      <c r="X40" s="233"/>
      <c r="Y40" s="233"/>
      <c r="Z40" s="233"/>
      <c r="AA40" s="233"/>
      <c r="AB40" s="233"/>
      <c r="AC40" s="601"/>
      <c r="AD40" s="601"/>
      <c r="AE40" s="592"/>
      <c r="AF40" s="602"/>
      <c r="AG40" s="602"/>
      <c r="AH40" s="602"/>
      <c r="AI40" s="603"/>
      <c r="AJ40" s="595"/>
      <c r="AK40" s="596"/>
      <c r="AL40" s="596"/>
      <c r="AM40" s="596"/>
      <c r="AN40" s="596"/>
    </row>
    <row r="41" ht="54.950000000000003" customHeight="1">
      <c r="A41" s="601"/>
      <c r="B41" s="601"/>
      <c r="C41" s="604"/>
      <c r="D41" s="604"/>
      <c r="E41" s="604"/>
      <c r="F41" s="604"/>
      <c r="G41" s="604"/>
      <c r="H41" s="604"/>
      <c r="I41" s="604"/>
      <c r="J41" s="604"/>
      <c r="K41" s="604"/>
      <c r="L41" s="604"/>
      <c r="M41" s="604"/>
      <c r="N41" s="604"/>
      <c r="O41" s="604"/>
      <c r="P41" s="604"/>
      <c r="Q41" s="604"/>
      <c r="R41" s="604"/>
      <c r="S41" s="604"/>
      <c r="T41" s="604"/>
      <c r="U41" s="604"/>
      <c r="V41" s="604"/>
      <c r="W41" s="604"/>
      <c r="X41" s="604"/>
      <c r="Y41" s="604"/>
      <c r="Z41" s="604"/>
      <c r="AA41" s="604"/>
      <c r="AB41" s="604"/>
      <c r="AC41" s="601"/>
      <c r="AD41" s="601"/>
      <c r="AE41" s="605"/>
      <c r="AF41" s="606">
        <f t="shared" ref="AF41:AF47" si="135">(C29+E29+G29+I29+L29+N29+P29+R29+U29+W29+Y29+AA29)</f>
        <v>6</v>
      </c>
      <c r="AG41" s="606">
        <f t="shared" ref="AG41:AG47" si="136">(E29+F29+I29+J29+N29+O29+R29+S29+W29+X29+AA29+AB29)</f>
        <v>4</v>
      </c>
      <c r="AH41" s="606">
        <f t="shared" ref="AH41:AH47" si="137">(E29+I29+N29+R29+W29+AA29)</f>
        <v>4</v>
      </c>
      <c r="AI41" s="606">
        <f t="shared" ref="AI41:AI47" si="138">SUM(G29:J29,Y29:AB29)</f>
        <v>5</v>
      </c>
      <c r="AJ41" s="607"/>
      <c r="AK41" s="236"/>
      <c r="AL41" s="236"/>
      <c r="AM41" s="608"/>
      <c r="AN41" s="608"/>
    </row>
    <row r="42" ht="54.950000000000003" customHeight="1">
      <c r="A42" s="601"/>
      <c r="B42" s="601"/>
      <c r="C42" s="604"/>
      <c r="D42" s="604"/>
      <c r="E42" s="604"/>
      <c r="F42" s="604"/>
      <c r="G42" s="604"/>
      <c r="H42" s="604"/>
      <c r="I42" s="604"/>
      <c r="J42" s="604"/>
      <c r="K42" s="604"/>
      <c r="L42" s="604"/>
      <c r="M42" s="604"/>
      <c r="N42" s="604"/>
      <c r="O42" s="604"/>
      <c r="P42" s="604"/>
      <c r="Q42" s="604"/>
      <c r="R42" s="604"/>
      <c r="S42" s="604"/>
      <c r="T42" s="604"/>
      <c r="U42" s="604"/>
      <c r="V42" s="604"/>
      <c r="W42" s="604"/>
      <c r="X42" s="604"/>
      <c r="Y42" s="604"/>
      <c r="Z42" s="604"/>
      <c r="AA42" s="604"/>
      <c r="AB42" s="604"/>
      <c r="AC42" s="601"/>
      <c r="AD42" s="601"/>
      <c r="AE42" s="605"/>
      <c r="AF42" s="609">
        <f t="shared" si="135"/>
        <v>7</v>
      </c>
      <c r="AG42" s="609">
        <f t="shared" si="136"/>
        <v>4</v>
      </c>
      <c r="AH42" s="609">
        <f t="shared" si="137"/>
        <v>4</v>
      </c>
      <c r="AI42" s="609">
        <f t="shared" si="138"/>
        <v>6</v>
      </c>
      <c r="AJ42" s="607"/>
      <c r="AK42" s="236"/>
      <c r="AL42" s="236"/>
      <c r="AM42" s="608"/>
      <c r="AN42" s="608"/>
    </row>
    <row r="43" ht="54.950000000000003" customHeight="1">
      <c r="A43" s="601"/>
      <c r="B43" s="601"/>
      <c r="C43" s="604"/>
      <c r="D43" s="604"/>
      <c r="E43" s="604"/>
      <c r="F43" s="604"/>
      <c r="G43" s="604"/>
      <c r="H43" s="604"/>
      <c r="I43" s="604"/>
      <c r="J43" s="604"/>
      <c r="K43" s="604"/>
      <c r="L43" s="604"/>
      <c r="M43" s="604"/>
      <c r="N43" s="604"/>
      <c r="O43" s="604"/>
      <c r="P43" s="604"/>
      <c r="Q43" s="604"/>
      <c r="R43" s="604"/>
      <c r="S43" s="604"/>
      <c r="T43" s="604"/>
      <c r="U43" s="604"/>
      <c r="V43" s="604"/>
      <c r="W43" s="604"/>
      <c r="X43" s="604"/>
      <c r="Y43" s="604"/>
      <c r="Z43" s="604"/>
      <c r="AA43" s="604"/>
      <c r="AB43" s="604"/>
      <c r="AC43" s="601"/>
      <c r="AD43" s="601"/>
      <c r="AE43" s="605"/>
      <c r="AF43" s="609">
        <f t="shared" si="135"/>
        <v>4</v>
      </c>
      <c r="AG43" s="609">
        <f t="shared" si="136"/>
        <v>0</v>
      </c>
      <c r="AH43" s="609">
        <f t="shared" si="137"/>
        <v>0</v>
      </c>
      <c r="AI43" s="609">
        <f t="shared" si="138"/>
        <v>3</v>
      </c>
      <c r="AJ43" s="607"/>
      <c r="AK43" s="236"/>
      <c r="AL43" s="236"/>
      <c r="AM43" s="608"/>
      <c r="AN43" s="608"/>
    </row>
    <row r="44" ht="54.950000000000003" customHeight="1">
      <c r="A44" s="601"/>
      <c r="B44" s="601"/>
      <c r="C44" s="604"/>
      <c r="D44" s="604"/>
      <c r="E44" s="604"/>
      <c r="F44" s="604"/>
      <c r="G44" s="604"/>
      <c r="H44" s="604"/>
      <c r="I44" s="604"/>
      <c r="J44" s="604"/>
      <c r="K44" s="604"/>
      <c r="L44" s="604"/>
      <c r="M44" s="604"/>
      <c r="N44" s="604"/>
      <c r="O44" s="604"/>
      <c r="P44" s="604"/>
      <c r="Q44" s="604"/>
      <c r="R44" s="604"/>
      <c r="S44" s="604"/>
      <c r="T44" s="604"/>
      <c r="U44" s="604"/>
      <c r="V44" s="604"/>
      <c r="W44" s="604"/>
      <c r="X44" s="604"/>
      <c r="Y44" s="604"/>
      <c r="Z44" s="604"/>
      <c r="AA44" s="604"/>
      <c r="AB44" s="604"/>
      <c r="AC44" s="601"/>
      <c r="AD44" s="601"/>
      <c r="AE44" s="605"/>
      <c r="AF44" s="609">
        <f t="shared" si="135"/>
        <v>9</v>
      </c>
      <c r="AG44" s="609">
        <f t="shared" si="136"/>
        <v>0</v>
      </c>
      <c r="AH44" s="609">
        <f t="shared" si="137"/>
        <v>0</v>
      </c>
      <c r="AI44" s="609">
        <f t="shared" si="138"/>
        <v>9</v>
      </c>
      <c r="AJ44" s="607"/>
      <c r="AK44" s="236"/>
      <c r="AL44" s="236"/>
      <c r="AM44" s="608"/>
      <c r="AN44" s="608"/>
    </row>
    <row r="45" ht="54.950000000000003" customHeight="1">
      <c r="A45" s="601"/>
      <c r="B45" s="601"/>
      <c r="C45" s="604"/>
      <c r="D45" s="604"/>
      <c r="E45" s="604"/>
      <c r="F45" s="604"/>
      <c r="G45" s="604"/>
      <c r="H45" s="604"/>
      <c r="I45" s="604"/>
      <c r="J45" s="604"/>
      <c r="K45" s="604"/>
      <c r="L45" s="604"/>
      <c r="M45" s="604"/>
      <c r="N45" s="604"/>
      <c r="O45" s="604"/>
      <c r="P45" s="604"/>
      <c r="Q45" s="604"/>
      <c r="R45" s="604"/>
      <c r="S45" s="604"/>
      <c r="T45" s="604"/>
      <c r="U45" s="604"/>
      <c r="V45" s="604"/>
      <c r="W45" s="604"/>
      <c r="X45" s="604"/>
      <c r="Y45" s="604"/>
      <c r="Z45" s="604"/>
      <c r="AA45" s="604"/>
      <c r="AB45" s="604"/>
      <c r="AC45" s="601"/>
      <c r="AD45" s="601"/>
      <c r="AE45" s="605"/>
      <c r="AF45" s="610">
        <f t="shared" si="135"/>
        <v>6</v>
      </c>
      <c r="AG45" s="610">
        <f t="shared" si="136"/>
        <v>0</v>
      </c>
      <c r="AH45" s="610">
        <f t="shared" si="137"/>
        <v>0</v>
      </c>
      <c r="AI45" s="610">
        <f t="shared" si="138"/>
        <v>7</v>
      </c>
      <c r="AJ45" s="607"/>
      <c r="AK45" s="236"/>
      <c r="AL45" s="236"/>
      <c r="AM45" s="608"/>
      <c r="AN45" s="608"/>
    </row>
    <row r="46" ht="54.950000000000003" customHeight="1">
      <c r="A46" s="601"/>
      <c r="B46" s="601"/>
      <c r="C46" s="604"/>
      <c r="D46" s="604"/>
      <c r="E46" s="604"/>
      <c r="F46" s="604"/>
      <c r="G46" s="604"/>
      <c r="H46" s="604"/>
      <c r="I46" s="604"/>
      <c r="J46" s="604"/>
      <c r="K46" s="604"/>
      <c r="L46" s="604"/>
      <c r="M46" s="604"/>
      <c r="N46" s="604"/>
      <c r="O46" s="604"/>
      <c r="P46" s="604"/>
      <c r="Q46" s="604"/>
      <c r="R46" s="604"/>
      <c r="S46" s="604"/>
      <c r="T46" s="604"/>
      <c r="U46" s="604"/>
      <c r="V46" s="604"/>
      <c r="W46" s="604"/>
      <c r="X46" s="604"/>
      <c r="Y46" s="604"/>
      <c r="Z46" s="604"/>
      <c r="AA46" s="604"/>
      <c r="AB46" s="604"/>
      <c r="AC46" s="601"/>
      <c r="AD46" s="601"/>
      <c r="AE46" s="605"/>
      <c r="AF46" s="611">
        <f t="shared" si="135"/>
        <v>16</v>
      </c>
      <c r="AG46" s="611">
        <f t="shared" si="136"/>
        <v>4</v>
      </c>
      <c r="AH46" s="611">
        <f t="shared" si="137"/>
        <v>4</v>
      </c>
      <c r="AI46" s="611">
        <f t="shared" si="138"/>
        <v>15</v>
      </c>
      <c r="AJ46" s="607"/>
      <c r="AK46" s="236"/>
      <c r="AL46" s="236"/>
      <c r="AM46" s="608"/>
      <c r="AN46" s="608"/>
    </row>
    <row r="47" ht="54.950000000000003" customHeight="1">
      <c r="A47" s="601"/>
      <c r="B47" s="601"/>
      <c r="C47" s="604"/>
      <c r="D47" s="604"/>
      <c r="E47" s="604"/>
      <c r="F47" s="604"/>
      <c r="G47" s="604"/>
      <c r="H47" s="604"/>
      <c r="I47" s="604"/>
      <c r="J47" s="604"/>
      <c r="K47" s="604"/>
      <c r="L47" s="604"/>
      <c r="M47" s="604"/>
      <c r="N47" s="604"/>
      <c r="O47" s="604"/>
      <c r="P47" s="604"/>
      <c r="Q47" s="604"/>
      <c r="R47" s="604"/>
      <c r="S47" s="604"/>
      <c r="T47" s="604"/>
      <c r="U47" s="604"/>
      <c r="V47" s="604"/>
      <c r="W47" s="604"/>
      <c r="X47" s="604"/>
      <c r="Y47" s="604"/>
      <c r="Z47" s="604"/>
      <c r="AA47" s="604"/>
      <c r="AB47" s="604"/>
      <c r="AC47" s="601"/>
      <c r="AD47" s="601"/>
      <c r="AE47" s="605"/>
      <c r="AF47" s="612">
        <f t="shared" si="135"/>
        <v>7</v>
      </c>
      <c r="AG47" s="612">
        <f t="shared" si="136"/>
        <v>4</v>
      </c>
      <c r="AH47" s="612">
        <f t="shared" si="137"/>
        <v>4</v>
      </c>
      <c r="AI47" s="612">
        <f t="shared" si="138"/>
        <v>6</v>
      </c>
      <c r="AJ47" s="607"/>
      <c r="AK47" s="236"/>
      <c r="AL47" s="236"/>
      <c r="AM47" s="608"/>
      <c r="AN47" s="608"/>
    </row>
    <row r="48" ht="21.75">
      <c r="A48" s="613"/>
      <c r="B48" s="613"/>
      <c r="C48" s="448"/>
      <c r="D48" s="448"/>
      <c r="E48" s="448"/>
      <c r="F48" s="448"/>
      <c r="G48" s="448"/>
      <c r="H48" s="448"/>
      <c r="I48" s="448"/>
      <c r="J48" s="448"/>
      <c r="K48" s="448"/>
      <c r="L48" s="448"/>
      <c r="M48" s="448"/>
      <c r="N48" s="448"/>
      <c r="O48" s="448"/>
      <c r="P48" s="448"/>
      <c r="Q48" s="448"/>
      <c r="R48" s="448"/>
      <c r="S48" s="448"/>
      <c r="T48" s="448"/>
      <c r="U48" s="448"/>
      <c r="V48" s="448"/>
      <c r="W48" s="448"/>
      <c r="X48" s="448"/>
      <c r="Y48" s="448"/>
      <c r="Z48" s="448"/>
      <c r="AA48" s="448"/>
      <c r="AB48" s="448"/>
      <c r="AC48" s="613"/>
      <c r="AD48" s="613"/>
      <c r="AE48" s="614"/>
      <c r="AF48" s="615"/>
      <c r="AG48" s="616"/>
      <c r="AH48" s="615"/>
      <c r="AI48" s="615"/>
      <c r="AJ48" s="250"/>
      <c r="AK48" s="250"/>
      <c r="AL48" s="250"/>
      <c r="AM48" s="250"/>
    </row>
    <row r="49" ht="19.5">
      <c r="A49" s="479"/>
      <c r="B49" s="250"/>
      <c r="C49" s="250"/>
      <c r="D49" s="250"/>
      <c r="E49" s="250"/>
      <c r="F49" s="250"/>
      <c r="G49" s="250"/>
      <c r="H49" s="250"/>
      <c r="I49" s="250"/>
      <c r="J49" s="250"/>
      <c r="K49" s="250"/>
      <c r="L49" s="250"/>
      <c r="M49" s="250"/>
      <c r="N49" s="250"/>
      <c r="O49" s="250"/>
      <c r="P49" s="250"/>
      <c r="Q49" s="250"/>
      <c r="R49" s="250"/>
      <c r="S49" s="250"/>
      <c r="T49" s="250"/>
      <c r="U49" s="479"/>
      <c r="V49" s="250"/>
      <c r="W49" s="250"/>
      <c r="X49" s="250"/>
      <c r="Y49" s="250"/>
      <c r="Z49" s="250"/>
      <c r="AA49" s="250"/>
      <c r="AB49" s="250"/>
      <c r="AC49" s="250"/>
      <c r="AD49" s="250"/>
      <c r="AE49" s="250"/>
      <c r="AF49" s="250"/>
      <c r="AG49" s="479"/>
      <c r="AH49" s="250"/>
      <c r="AI49" s="250"/>
      <c r="AJ49" s="250"/>
      <c r="AK49" s="250"/>
      <c r="AL49" s="250"/>
      <c r="AM49" s="250"/>
    </row>
    <row r="50" ht="19.5">
      <c r="A50" s="479"/>
      <c r="B50" s="250"/>
      <c r="C50" s="250"/>
      <c r="D50" s="250"/>
      <c r="E50" s="250"/>
      <c r="F50" s="250"/>
      <c r="G50" s="250"/>
      <c r="H50" s="250"/>
      <c r="I50" s="250"/>
      <c r="J50" s="250"/>
      <c r="K50" s="250"/>
      <c r="L50" s="250"/>
      <c r="M50" s="250"/>
      <c r="N50" s="250"/>
      <c r="O50" s="250"/>
      <c r="P50" s="250"/>
      <c r="Q50" s="250"/>
      <c r="R50" s="250"/>
      <c r="S50" s="250"/>
      <c r="T50" s="250"/>
      <c r="U50" s="250"/>
      <c r="V50" s="250"/>
      <c r="W50" s="250"/>
      <c r="X50" s="250"/>
      <c r="Y50" s="250"/>
      <c r="Z50" s="250"/>
      <c r="AA50" s="250"/>
      <c r="AB50" s="250"/>
      <c r="AC50" s="250"/>
      <c r="AD50" s="250"/>
      <c r="AE50" s="479"/>
      <c r="AF50" s="250"/>
      <c r="AG50" s="250"/>
      <c r="AH50" s="250"/>
      <c r="AI50" s="250"/>
      <c r="AJ50" s="250"/>
      <c r="AK50" s="250"/>
      <c r="AL50" s="250"/>
      <c r="AM50" s="250"/>
      <c r="AN50" s="479"/>
      <c r="AO50" s="250"/>
      <c r="AP50" s="250"/>
      <c r="AQ50" s="250"/>
      <c r="AR50" s="250"/>
      <c r="AS50" s="250"/>
    </row>
    <row r="51" ht="19.5">
      <c r="A51" s="479"/>
      <c r="B51" s="250"/>
      <c r="C51" s="250"/>
      <c r="D51" s="250"/>
      <c r="E51" s="250"/>
      <c r="F51" s="250"/>
      <c r="G51" s="250"/>
      <c r="H51" s="250"/>
      <c r="I51" s="250"/>
      <c r="J51" s="250"/>
      <c r="K51" s="250"/>
      <c r="L51" s="250"/>
      <c r="M51" s="250"/>
      <c r="N51" s="250"/>
      <c r="O51" s="250"/>
      <c r="P51" s="250"/>
      <c r="Q51" s="250"/>
      <c r="R51" s="250"/>
      <c r="S51" s="250"/>
      <c r="T51" s="250"/>
      <c r="U51" s="250"/>
      <c r="V51" s="250"/>
      <c r="W51" s="250"/>
      <c r="X51" s="250"/>
      <c r="Y51" s="250"/>
      <c r="Z51" s="250"/>
      <c r="AA51" s="250"/>
      <c r="AB51" s="250"/>
      <c r="AC51" s="250"/>
      <c r="AD51" s="250"/>
      <c r="AE51" s="479"/>
      <c r="AF51" s="250"/>
      <c r="AG51" s="250"/>
      <c r="AH51" s="250"/>
      <c r="AI51" s="250"/>
      <c r="AJ51" s="250"/>
      <c r="AK51" s="250"/>
      <c r="AL51" s="250"/>
      <c r="AM51" s="250"/>
      <c r="AN51" s="479"/>
      <c r="AO51" s="250"/>
      <c r="AP51" s="250"/>
      <c r="AQ51" s="250"/>
      <c r="AR51" s="250"/>
      <c r="AS51" s="250"/>
    </row>
    <row r="52" ht="19.5">
      <c r="A52" s="479"/>
      <c r="B52" s="250"/>
      <c r="C52" s="250"/>
      <c r="D52" s="250"/>
      <c r="E52" s="250"/>
      <c r="F52" s="250"/>
      <c r="G52" s="250"/>
      <c r="H52" s="250"/>
      <c r="I52" s="250"/>
      <c r="J52" s="250"/>
      <c r="K52" s="250"/>
      <c r="L52" s="250"/>
      <c r="M52" s="250"/>
      <c r="N52" s="250"/>
      <c r="O52" s="250"/>
      <c r="P52" s="250"/>
      <c r="Q52" s="250"/>
      <c r="R52" s="250"/>
      <c r="S52" s="250"/>
      <c r="T52" s="250"/>
      <c r="U52" s="250"/>
      <c r="V52" s="250"/>
      <c r="W52" s="250"/>
      <c r="X52" s="250"/>
      <c r="Y52" s="250"/>
      <c r="Z52" s="250"/>
      <c r="AA52" s="250"/>
      <c r="AB52" s="250"/>
      <c r="AC52" s="250"/>
      <c r="AD52" s="250"/>
      <c r="AE52" s="479"/>
      <c r="AF52" s="250"/>
      <c r="AG52" s="250"/>
      <c r="AH52" s="250"/>
      <c r="AI52" s="250"/>
      <c r="AJ52" s="250"/>
      <c r="AK52" s="250"/>
      <c r="AL52" s="250"/>
      <c r="AM52" s="250"/>
      <c r="AN52" s="479"/>
      <c r="AO52" s="250"/>
      <c r="AP52" s="250"/>
      <c r="AQ52" s="250"/>
      <c r="AR52" s="250"/>
      <c r="AS52" s="250"/>
    </row>
    <row r="53" ht="19.5">
      <c r="A53" s="479"/>
      <c r="B53" s="250"/>
      <c r="C53" s="250"/>
      <c r="D53" s="250"/>
      <c r="E53" s="250"/>
      <c r="F53" s="250"/>
      <c r="G53" s="250"/>
      <c r="H53" s="250"/>
      <c r="I53" s="250"/>
      <c r="J53" s="250"/>
      <c r="K53" s="250"/>
      <c r="L53" s="250"/>
      <c r="M53" s="250"/>
      <c r="N53" s="250"/>
      <c r="O53" s="250"/>
      <c r="P53" s="250"/>
      <c r="Q53" s="250"/>
      <c r="R53" s="250"/>
      <c r="S53" s="250"/>
      <c r="T53" s="250"/>
      <c r="U53" s="250"/>
      <c r="V53" s="250"/>
      <c r="W53" s="250"/>
      <c r="X53" s="250"/>
      <c r="Y53" s="250"/>
      <c r="Z53" s="250"/>
      <c r="AA53" s="250"/>
      <c r="AB53" s="250"/>
      <c r="AC53" s="250"/>
      <c r="AD53" s="250"/>
      <c r="AE53" s="479"/>
      <c r="AF53" s="250"/>
      <c r="AG53" s="250"/>
      <c r="AH53" s="250"/>
      <c r="AI53" s="250"/>
      <c r="AJ53" s="250"/>
      <c r="AK53" s="250"/>
      <c r="AL53" s="250"/>
      <c r="AM53" s="250"/>
      <c r="AN53" s="479"/>
      <c r="AO53" s="250"/>
      <c r="AP53" s="250"/>
      <c r="AQ53" s="250"/>
      <c r="AR53" s="250"/>
      <c r="AS53" s="250"/>
    </row>
    <row r="54" ht="19.5">
      <c r="A54" s="479"/>
      <c r="B54" s="250"/>
      <c r="C54" s="250"/>
      <c r="D54" s="250"/>
      <c r="E54" s="250"/>
      <c r="F54" s="250"/>
      <c r="G54" s="250"/>
      <c r="H54" s="250"/>
      <c r="I54" s="250"/>
      <c r="J54" s="250"/>
      <c r="K54" s="250"/>
      <c r="L54" s="250"/>
      <c r="M54" s="250"/>
      <c r="N54" s="250"/>
      <c r="O54" s="250"/>
      <c r="P54" s="250"/>
      <c r="Q54" s="250"/>
      <c r="R54" s="250"/>
      <c r="S54" s="250"/>
      <c r="T54" s="250"/>
      <c r="U54" s="250"/>
      <c r="V54" s="250"/>
      <c r="W54" s="250"/>
      <c r="X54" s="250"/>
      <c r="Y54" s="250"/>
      <c r="Z54" s="250"/>
      <c r="AA54" s="250"/>
      <c r="AB54" s="250"/>
      <c r="AC54" s="250"/>
      <c r="AD54" s="250"/>
      <c r="AE54" s="479"/>
      <c r="AF54" s="250"/>
      <c r="AG54" s="250"/>
      <c r="AH54" s="250"/>
      <c r="AI54" s="250"/>
      <c r="AJ54" s="250"/>
      <c r="AK54" s="250"/>
      <c r="AL54" s="250"/>
      <c r="AM54" s="250"/>
      <c r="AN54" s="479"/>
      <c r="AO54" s="250"/>
      <c r="AP54" s="250"/>
      <c r="AQ54" s="250"/>
      <c r="AR54" s="250"/>
      <c r="AS54" s="250"/>
    </row>
    <row r="55" ht="19.5">
      <c r="A55" s="479"/>
      <c r="B55" s="250"/>
      <c r="C55" s="250"/>
      <c r="D55" s="250"/>
      <c r="E55" s="250"/>
      <c r="F55" s="250"/>
      <c r="G55" s="250"/>
      <c r="H55" s="250"/>
      <c r="I55" s="250"/>
      <c r="J55" s="250"/>
      <c r="K55" s="250"/>
      <c r="L55" s="250"/>
      <c r="M55" s="250"/>
      <c r="N55" s="250"/>
      <c r="O55" s="250"/>
      <c r="P55" s="250"/>
      <c r="Q55" s="250"/>
      <c r="R55" s="250"/>
      <c r="S55" s="250"/>
      <c r="T55" s="250"/>
      <c r="U55" s="250"/>
      <c r="V55" s="250"/>
      <c r="W55" s="250"/>
      <c r="X55" s="250"/>
      <c r="Y55" s="250"/>
      <c r="Z55" s="250"/>
      <c r="AA55" s="250"/>
      <c r="AB55" s="250"/>
      <c r="AC55" s="250"/>
      <c r="AD55" s="250"/>
      <c r="AE55" s="479"/>
      <c r="AF55" s="250"/>
      <c r="AG55" s="250"/>
      <c r="AH55" s="250"/>
      <c r="AI55" s="250"/>
      <c r="AJ55" s="250"/>
      <c r="AK55" s="250"/>
      <c r="AL55" s="250"/>
      <c r="AM55" s="250"/>
      <c r="AN55" s="479"/>
      <c r="AO55" s="250"/>
      <c r="AP55" s="250"/>
      <c r="AQ55" s="250"/>
      <c r="AR55" s="250"/>
      <c r="AS55" s="250"/>
    </row>
    <row r="56" ht="19.5">
      <c r="F56" s="250"/>
      <c r="G56" s="250"/>
      <c r="H56" s="250"/>
      <c r="I56" s="250"/>
      <c r="J56" s="250"/>
      <c r="K56" s="250"/>
      <c r="L56" s="250"/>
      <c r="M56" s="250"/>
      <c r="N56" s="250"/>
      <c r="U56" s="250"/>
      <c r="V56" s="250"/>
      <c r="W56" s="250"/>
    </row>
    <row r="57" ht="19.5">
      <c r="F57" s="250"/>
      <c r="G57" s="250"/>
      <c r="H57" s="250"/>
      <c r="I57" s="250"/>
      <c r="J57" s="250"/>
      <c r="K57" s="250"/>
      <c r="L57" s="250"/>
      <c r="M57" s="250"/>
      <c r="N57" s="250"/>
      <c r="U57" s="250"/>
      <c r="V57" s="250"/>
      <c r="W57" s="250"/>
    </row>
  </sheetData>
  <mergeCells count="81">
    <mergeCell ref="C3:X3"/>
    <mergeCell ref="C5:O5"/>
    <mergeCell ref="R5:AA5"/>
    <mergeCell ref="C7:J7"/>
    <mergeCell ref="L7:S7"/>
    <mergeCell ref="U7:AB7"/>
    <mergeCell ref="C8:F8"/>
    <mergeCell ref="G8:J8"/>
    <mergeCell ref="L8:O8"/>
    <mergeCell ref="P8:S8"/>
    <mergeCell ref="U8:X8"/>
    <mergeCell ref="Y8:AB8"/>
    <mergeCell ref="C9:D9"/>
    <mergeCell ref="E9:F9"/>
    <mergeCell ref="G9:H9"/>
    <mergeCell ref="I9:J9"/>
    <mergeCell ref="L9:M9"/>
    <mergeCell ref="N9:O9"/>
    <mergeCell ref="P9:Q9"/>
    <mergeCell ref="R9:S9"/>
    <mergeCell ref="U9:V9"/>
    <mergeCell ref="W9:X9"/>
    <mergeCell ref="Y9:Z9"/>
    <mergeCell ref="AA9:AB9"/>
    <mergeCell ref="C24:O24"/>
    <mergeCell ref="C25:J25"/>
    <mergeCell ref="L25:S25"/>
    <mergeCell ref="U25:AB25"/>
    <mergeCell ref="AE25:AE28"/>
    <mergeCell ref="AF25:AF28"/>
    <mergeCell ref="AG25:AG28"/>
    <mergeCell ref="AH25:AH28"/>
    <mergeCell ref="AI25:AI28"/>
    <mergeCell ref="AJ25:AJ28"/>
    <mergeCell ref="AK25:AK28"/>
    <mergeCell ref="AL25:AN28"/>
    <mergeCell ref="C26:F26"/>
    <mergeCell ref="G26:J26"/>
    <mergeCell ref="L26:O26"/>
    <mergeCell ref="P26:S26"/>
    <mergeCell ref="U26:X26"/>
    <mergeCell ref="Y26:AB26"/>
    <mergeCell ref="C27:D27"/>
    <mergeCell ref="E27:F27"/>
    <mergeCell ref="G27:H27"/>
    <mergeCell ref="I27:J27"/>
    <mergeCell ref="L27:M27"/>
    <mergeCell ref="N27:O27"/>
    <mergeCell ref="P27:Q27"/>
    <mergeCell ref="R27:S27"/>
    <mergeCell ref="U27:V27"/>
    <mergeCell ref="W27:X27"/>
    <mergeCell ref="Y27:Z27"/>
    <mergeCell ref="AA27:AB27"/>
    <mergeCell ref="A28:B28"/>
    <mergeCell ref="AC28:AD28"/>
    <mergeCell ref="A29:B29"/>
    <mergeCell ref="AC29:AD29"/>
    <mergeCell ref="AM29:AN29"/>
    <mergeCell ref="A30:B30"/>
    <mergeCell ref="AC30:AD30"/>
    <mergeCell ref="AM30:AN30"/>
    <mergeCell ref="A31:B31"/>
    <mergeCell ref="AC31:AD31"/>
    <mergeCell ref="AM31:AN31"/>
    <mergeCell ref="A32:B32"/>
    <mergeCell ref="AC32:AD32"/>
    <mergeCell ref="AM32:AN32"/>
    <mergeCell ref="A33:B33"/>
    <mergeCell ref="AC33:AD33"/>
    <mergeCell ref="AM33:AN33"/>
    <mergeCell ref="A34:B34"/>
    <mergeCell ref="AC34:AD34"/>
    <mergeCell ref="AM34:AN34"/>
    <mergeCell ref="A35:B35"/>
    <mergeCell ref="AC35:AD35"/>
    <mergeCell ref="AM35:AN35"/>
    <mergeCell ref="AF37:AF40"/>
    <mergeCell ref="AG37:AG40"/>
    <mergeCell ref="AH37:AH40"/>
    <mergeCell ref="AI37:AI40"/>
  </mergeCells>
  <printOptions headings="0" gridLines="0"/>
  <pageMargins left="0.39370078740157477" right="0.39370078740157477" top="0.39370078740157477" bottom="0.39370078740157477" header="0.59055118110236238" footer="0.59055118110236238"/>
  <pageSetup paperSize="9" scale="38" fitToWidth="1" fitToHeight="0" pageOrder="overThenDown" orientation="landscape" usePrinterDefaults="1" blackAndWhite="0" draft="0" cellComments="none" useFirstPageNumber="1" errors="displayed" horizontalDpi="600" verticalDpi="600" copies="1"/>
  <headerFooter/>
  <colBreaks count="1" manualBreakCount="1">
    <brk id="28" man="1" max="22"/>
  </colBreaks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tabColor rgb="FF00B050"/>
    <outlinePr applyStyles="0" summaryBelow="1" summaryRight="1" showOutlineSymbols="1"/>
    <pageSetUpPr autoPageBreaks="1" fitToPage="1"/>
  </sheetPr>
  <sheetViews>
    <sheetView view="pageBreakPreview" zoomScale="25" workbookViewId="0">
      <selection activeCell="Z78" activeCellId="0" sqref="Z78"/>
    </sheetView>
  </sheetViews>
  <sheetFormatPr baseColWidth="10" defaultRowHeight="14.25"/>
  <cols>
    <col customWidth="1" min="1" max="1" style="617" width="9.125"/>
    <col customWidth="1" min="2" max="2" style="617" width="13.75"/>
    <col customWidth="1" min="3" max="26" style="617" width="12.875"/>
    <col customWidth="1" min="27" max="27" style="617" width="9.125"/>
    <col customWidth="1" min="28" max="28" style="617" width="13.75"/>
    <col customWidth="1" min="29" max="36" style="617" width="21.125"/>
    <col customWidth="1" min="37" max="37" style="617" width="82.625"/>
    <col customWidth="1" min="38" max="38" style="617" width="21.125"/>
    <col customWidth="1" min="39" max="43" style="617" width="10.625"/>
    <col min="44" max="16384" style="617" width="11"/>
  </cols>
  <sheetData>
    <row r="1" ht="52.5" customHeight="1">
      <c r="A1" s="618" t="s">
        <v>0</v>
      </c>
      <c r="B1" s="619" t="s">
        <v>89</v>
      </c>
      <c r="C1" s="620"/>
      <c r="D1" s="620"/>
      <c r="E1" s="620"/>
      <c r="F1" s="621"/>
      <c r="G1" s="621"/>
      <c r="H1" s="620"/>
      <c r="I1" s="620"/>
      <c r="J1" s="621"/>
      <c r="K1" s="621"/>
      <c r="L1" s="622"/>
      <c r="M1" s="623" t="s">
        <v>2</v>
      </c>
      <c r="N1" s="624" t="s">
        <v>3</v>
      </c>
      <c r="O1" s="620"/>
      <c r="P1" s="620"/>
      <c r="Q1" s="620"/>
      <c r="R1" s="620"/>
      <c r="S1" s="620"/>
      <c r="T1" s="620"/>
      <c r="U1" s="620"/>
      <c r="V1" s="625"/>
      <c r="W1" s="626"/>
      <c r="X1" s="626"/>
      <c r="Y1" s="626"/>
      <c r="Z1" s="627"/>
    </row>
    <row r="2" ht="52.5" customHeight="1">
      <c r="A2" s="628" t="s">
        <v>4</v>
      </c>
      <c r="B2" s="629"/>
      <c r="C2" s="629"/>
      <c r="D2" s="629"/>
      <c r="E2" s="629"/>
      <c r="F2" s="629"/>
      <c r="G2" s="619"/>
      <c r="H2" s="620"/>
      <c r="I2" s="620"/>
      <c r="J2" s="620"/>
      <c r="K2" s="620"/>
      <c r="L2" s="620"/>
      <c r="M2" s="620"/>
      <c r="N2" s="620"/>
      <c r="O2" s="620"/>
      <c r="P2" s="620"/>
      <c r="Q2" s="620"/>
      <c r="R2" s="620"/>
      <c r="S2" s="620"/>
      <c r="T2" s="620"/>
      <c r="U2" s="620"/>
      <c r="V2" s="625"/>
      <c r="W2" s="629"/>
      <c r="X2" s="629"/>
      <c r="Y2" s="629"/>
      <c r="Z2" s="629"/>
    </row>
    <row r="3" ht="52.5" hidden="1" customHeight="1">
      <c r="A3" s="628" t="s">
        <v>6</v>
      </c>
      <c r="B3" s="629"/>
      <c r="C3" s="619"/>
      <c r="D3" s="620"/>
      <c r="E3" s="620"/>
      <c r="F3" s="620"/>
      <c r="G3" s="620"/>
      <c r="H3" s="620"/>
      <c r="I3" s="620"/>
      <c r="J3" s="620"/>
      <c r="K3" s="620"/>
      <c r="L3" s="620"/>
      <c r="M3" s="620"/>
      <c r="N3" s="620"/>
      <c r="O3" s="620"/>
      <c r="P3" s="620"/>
      <c r="Q3" s="620"/>
      <c r="R3" s="620"/>
      <c r="S3" s="620"/>
      <c r="T3" s="620"/>
      <c r="U3" s="620"/>
      <c r="V3" s="625"/>
      <c r="W3" s="629"/>
      <c r="X3" s="629"/>
      <c r="Y3" s="629"/>
      <c r="Z3" s="630"/>
    </row>
    <row r="4" ht="52.5" customHeight="1">
      <c r="A4" s="628" t="s">
        <v>8</v>
      </c>
      <c r="B4" s="629"/>
      <c r="C4" s="619"/>
      <c r="D4" s="620"/>
      <c r="E4" s="620"/>
      <c r="F4" s="620"/>
      <c r="G4" s="620"/>
      <c r="H4" s="620"/>
      <c r="I4" s="620"/>
      <c r="J4" s="620"/>
      <c r="K4" s="620"/>
      <c r="L4" s="620"/>
      <c r="M4" s="620"/>
      <c r="N4" s="620"/>
      <c r="O4" s="620"/>
      <c r="P4" s="620"/>
      <c r="Q4" s="620"/>
      <c r="R4" s="620"/>
      <c r="S4" s="620"/>
      <c r="T4" s="620"/>
      <c r="U4" s="620"/>
      <c r="V4" s="625"/>
      <c r="W4" s="629"/>
      <c r="X4" s="629"/>
      <c r="Y4" s="629"/>
      <c r="Z4" s="630"/>
    </row>
    <row r="5" ht="25.5" customHeight="1">
      <c r="A5" s="628" t="s">
        <v>90</v>
      </c>
      <c r="B5" s="629"/>
      <c r="C5" s="629" t="s">
        <v>91</v>
      </c>
      <c r="D5" s="629"/>
      <c r="E5" s="629"/>
      <c r="F5" s="629"/>
      <c r="G5" s="629"/>
      <c r="H5" s="629"/>
      <c r="I5" s="629"/>
      <c r="J5" s="629"/>
      <c r="K5" s="629"/>
      <c r="L5" s="629"/>
      <c r="M5" s="629"/>
      <c r="N5" s="629"/>
      <c r="O5" s="629"/>
      <c r="P5" s="629"/>
      <c r="Q5" s="629"/>
      <c r="R5" s="630"/>
      <c r="S5" s="629"/>
      <c r="T5" s="629"/>
      <c r="U5" s="629"/>
      <c r="V5" s="629"/>
      <c r="W5" s="629"/>
      <c r="X5" s="629"/>
      <c r="Y5" s="629"/>
      <c r="Z5" s="630"/>
    </row>
    <row r="6" ht="25.5" customHeight="1">
      <c r="A6" s="631"/>
      <c r="B6" s="629"/>
      <c r="C6" s="629" t="s">
        <v>92</v>
      </c>
      <c r="D6" s="629"/>
      <c r="E6" s="629"/>
      <c r="F6" s="629"/>
      <c r="G6" s="629"/>
      <c r="H6" s="629"/>
      <c r="I6" s="629"/>
      <c r="J6" s="629"/>
      <c r="K6" s="629"/>
      <c r="L6" s="629"/>
      <c r="M6" s="629"/>
      <c r="N6" s="629"/>
      <c r="O6" s="629"/>
      <c r="P6" s="629"/>
      <c r="Q6" s="629"/>
      <c r="R6" s="630"/>
      <c r="S6" s="629"/>
      <c r="T6" s="629"/>
      <c r="U6" s="629"/>
      <c r="V6" s="629"/>
      <c r="W6" s="629"/>
      <c r="X6" s="629"/>
      <c r="Y6" s="629"/>
      <c r="Z6" s="630"/>
    </row>
    <row r="7" ht="25.5" customHeight="1">
      <c r="A7" s="631"/>
      <c r="B7" s="629"/>
      <c r="C7" s="629"/>
      <c r="D7" s="629"/>
      <c r="E7" s="629"/>
      <c r="F7" s="629"/>
      <c r="G7" s="629"/>
      <c r="H7" s="629"/>
      <c r="I7" s="629"/>
      <c r="J7" s="629"/>
      <c r="K7" s="629"/>
      <c r="L7" s="629"/>
      <c r="M7" s="629"/>
      <c r="N7" s="629"/>
      <c r="O7" s="629"/>
      <c r="P7" s="629"/>
      <c r="Q7" s="629"/>
      <c r="R7" s="630"/>
      <c r="S7" s="629"/>
      <c r="T7" s="629"/>
      <c r="U7" s="629"/>
      <c r="V7" s="629"/>
      <c r="W7" s="629"/>
      <c r="X7" s="629"/>
      <c r="Y7" s="629"/>
      <c r="Z7" s="630"/>
    </row>
    <row r="8" ht="32.25" customHeight="1">
      <c r="A8" s="628"/>
      <c r="B8" s="629"/>
      <c r="C8" s="632" t="s">
        <v>93</v>
      </c>
      <c r="D8" s="633"/>
      <c r="E8" s="633"/>
      <c r="F8" s="633"/>
      <c r="G8" s="633"/>
      <c r="H8" s="633"/>
      <c r="I8" s="633"/>
      <c r="J8" s="633"/>
      <c r="K8" s="633" t="s">
        <v>29</v>
      </c>
      <c r="L8" s="633"/>
      <c r="M8" s="633"/>
      <c r="N8" s="633"/>
      <c r="O8" s="633"/>
      <c r="P8" s="633"/>
      <c r="Q8" s="633"/>
      <c r="R8" s="634"/>
      <c r="S8" s="633" t="s">
        <v>84</v>
      </c>
      <c r="T8" s="633"/>
      <c r="U8" s="633"/>
      <c r="V8" s="633"/>
      <c r="W8" s="633"/>
      <c r="X8" s="633"/>
      <c r="Y8" s="633"/>
      <c r="Z8" s="634"/>
      <c r="AA8" s="635"/>
      <c r="AB8" s="635"/>
      <c r="AD8" s="636"/>
      <c r="AE8" s="636"/>
      <c r="AF8" s="636"/>
      <c r="AG8" s="636"/>
      <c r="AH8" s="636"/>
      <c r="AI8" s="636"/>
      <c r="AJ8" s="636"/>
    </row>
    <row r="9" ht="22.699999999999999" customHeight="1">
      <c r="A9" s="628"/>
      <c r="B9" s="629"/>
      <c r="C9" s="637" t="s">
        <v>14</v>
      </c>
      <c r="D9" s="638"/>
      <c r="E9" s="638"/>
      <c r="F9" s="638"/>
      <c r="G9" s="639" t="s">
        <v>85</v>
      </c>
      <c r="H9" s="639"/>
      <c r="I9" s="639"/>
      <c r="J9" s="639"/>
      <c r="K9" s="638" t="s">
        <v>94</v>
      </c>
      <c r="L9" s="638"/>
      <c r="M9" s="638"/>
      <c r="N9" s="638"/>
      <c r="O9" s="639" t="s">
        <v>85</v>
      </c>
      <c r="P9" s="639"/>
      <c r="Q9" s="639"/>
      <c r="R9" s="640"/>
      <c r="S9" s="638" t="s">
        <v>14</v>
      </c>
      <c r="T9" s="638"/>
      <c r="U9" s="638"/>
      <c r="V9" s="638"/>
      <c r="W9" s="639" t="s">
        <v>94</v>
      </c>
      <c r="X9" s="639"/>
      <c r="Y9" s="639"/>
      <c r="Z9" s="640"/>
      <c r="AA9" s="635"/>
      <c r="AB9" s="635"/>
    </row>
    <row r="10" ht="18.600000000000001" customHeight="1">
      <c r="A10" s="628"/>
      <c r="B10" s="629"/>
      <c r="C10" s="641" t="s">
        <v>18</v>
      </c>
      <c r="D10" s="642"/>
      <c r="E10" s="643" t="s">
        <v>19</v>
      </c>
      <c r="F10" s="644"/>
      <c r="G10" s="645" t="s">
        <v>18</v>
      </c>
      <c r="H10" s="642"/>
      <c r="I10" s="643" t="s">
        <v>19</v>
      </c>
      <c r="J10" s="644"/>
      <c r="K10" s="645" t="s">
        <v>18</v>
      </c>
      <c r="L10" s="642"/>
      <c r="M10" s="643" t="s">
        <v>19</v>
      </c>
      <c r="N10" s="644"/>
      <c r="O10" s="645" t="s">
        <v>18</v>
      </c>
      <c r="P10" s="642"/>
      <c r="Q10" s="643" t="s">
        <v>19</v>
      </c>
      <c r="R10" s="646"/>
      <c r="S10" s="645" t="s">
        <v>18</v>
      </c>
      <c r="T10" s="642"/>
      <c r="U10" s="643" t="s">
        <v>19</v>
      </c>
      <c r="V10" s="644"/>
      <c r="W10" s="645" t="s">
        <v>18</v>
      </c>
      <c r="X10" s="642"/>
      <c r="Y10" s="643" t="s">
        <v>19</v>
      </c>
      <c r="Z10" s="646"/>
      <c r="AA10" s="635"/>
      <c r="AB10" s="635"/>
    </row>
    <row r="11" ht="21">
      <c r="A11" s="647" t="s">
        <v>20</v>
      </c>
      <c r="B11" s="648" t="s">
        <v>21</v>
      </c>
      <c r="C11" s="649" t="s">
        <v>22</v>
      </c>
      <c r="D11" s="650" t="s">
        <v>23</v>
      </c>
      <c r="E11" s="651" t="s">
        <v>22</v>
      </c>
      <c r="F11" s="652" t="s">
        <v>23</v>
      </c>
      <c r="G11" s="653" t="s">
        <v>22</v>
      </c>
      <c r="H11" s="650" t="s">
        <v>23</v>
      </c>
      <c r="I11" s="651" t="s">
        <v>22</v>
      </c>
      <c r="J11" s="652" t="s">
        <v>23</v>
      </c>
      <c r="K11" s="653" t="s">
        <v>22</v>
      </c>
      <c r="L11" s="650" t="s">
        <v>23</v>
      </c>
      <c r="M11" s="651" t="s">
        <v>22</v>
      </c>
      <c r="N11" s="652" t="s">
        <v>23</v>
      </c>
      <c r="O11" s="653" t="s">
        <v>22</v>
      </c>
      <c r="P11" s="650" t="s">
        <v>23</v>
      </c>
      <c r="Q11" s="651" t="s">
        <v>22</v>
      </c>
      <c r="R11" s="654" t="s">
        <v>23</v>
      </c>
      <c r="S11" s="653" t="s">
        <v>22</v>
      </c>
      <c r="T11" s="650" t="s">
        <v>23</v>
      </c>
      <c r="U11" s="651" t="s">
        <v>22</v>
      </c>
      <c r="V11" s="652" t="s">
        <v>23</v>
      </c>
      <c r="W11" s="653" t="s">
        <v>22</v>
      </c>
      <c r="X11" s="650" t="s">
        <v>23</v>
      </c>
      <c r="Y11" s="651" t="s">
        <v>22</v>
      </c>
      <c r="Z11" s="654" t="s">
        <v>23</v>
      </c>
      <c r="AA11" s="635"/>
      <c r="AB11" s="635"/>
      <c r="AC11" s="655"/>
    </row>
    <row r="12" ht="54.950000000000003" hidden="1" customHeight="1">
      <c r="A12" s="656">
        <v>6</v>
      </c>
      <c r="B12" s="657" t="s">
        <v>24</v>
      </c>
      <c r="C12" s="658"/>
      <c r="D12" s="659"/>
      <c r="E12" s="660"/>
      <c r="F12" s="661"/>
      <c r="G12" s="662"/>
      <c r="H12" s="659"/>
      <c r="I12" s="660"/>
      <c r="J12" s="661"/>
      <c r="K12" s="662"/>
      <c r="L12" s="659"/>
      <c r="M12" s="660"/>
      <c r="N12" s="661"/>
      <c r="O12" s="662"/>
      <c r="P12" s="659"/>
      <c r="Q12" s="660"/>
      <c r="R12" s="663"/>
      <c r="S12" s="662"/>
      <c r="T12" s="659"/>
      <c r="U12" s="660"/>
      <c r="V12" s="661"/>
      <c r="W12" s="662"/>
      <c r="X12" s="659"/>
      <c r="Y12" s="660"/>
      <c r="Z12" s="663"/>
      <c r="AA12" s="635"/>
      <c r="AB12" s="635"/>
      <c r="AC12" s="664"/>
      <c r="AD12" s="664"/>
      <c r="AE12" s="664"/>
      <c r="AF12" s="664"/>
      <c r="AG12" s="664"/>
      <c r="AH12" s="664"/>
      <c r="AI12" s="664"/>
      <c r="AJ12" s="664"/>
    </row>
    <row r="13" ht="54.950000000000003" hidden="1" customHeight="1">
      <c r="A13" s="656"/>
      <c r="B13" s="657" t="s">
        <v>25</v>
      </c>
      <c r="C13" s="658"/>
      <c r="D13" s="659"/>
      <c r="E13" s="660"/>
      <c r="F13" s="661"/>
      <c r="G13" s="662"/>
      <c r="H13" s="659"/>
      <c r="I13" s="660"/>
      <c r="J13" s="661"/>
      <c r="K13" s="662"/>
      <c r="L13" s="659"/>
      <c r="M13" s="660"/>
      <c r="N13" s="661"/>
      <c r="O13" s="662"/>
      <c r="P13" s="659"/>
      <c r="Q13" s="660"/>
      <c r="R13" s="663"/>
      <c r="S13" s="662"/>
      <c r="T13" s="659"/>
      <c r="U13" s="660"/>
      <c r="V13" s="661"/>
      <c r="W13" s="662"/>
      <c r="X13" s="659"/>
      <c r="Y13" s="660"/>
      <c r="Z13" s="663"/>
      <c r="AA13" s="635"/>
      <c r="AB13" s="635"/>
      <c r="AC13" s="664"/>
      <c r="AD13" s="664"/>
      <c r="AE13" s="664"/>
      <c r="AF13" s="664"/>
      <c r="AG13" s="664"/>
      <c r="AH13" s="664"/>
      <c r="AI13" s="664"/>
      <c r="AJ13" s="664"/>
    </row>
    <row r="14" ht="54.950000000000003" customHeight="1">
      <c r="A14" s="656">
        <v>7</v>
      </c>
      <c r="B14" s="657" t="s">
        <v>26</v>
      </c>
      <c r="C14" s="658"/>
      <c r="D14" s="659"/>
      <c r="E14" s="660"/>
      <c r="F14" s="661"/>
      <c r="G14" s="662"/>
      <c r="H14" s="659"/>
      <c r="I14" s="660"/>
      <c r="J14" s="661"/>
      <c r="K14" s="662"/>
      <c r="L14" s="659"/>
      <c r="M14" s="660"/>
      <c r="N14" s="661"/>
      <c r="O14" s="662"/>
      <c r="P14" s="659"/>
      <c r="Q14" s="660"/>
      <c r="R14" s="663"/>
      <c r="S14" s="662"/>
      <c r="T14" s="659"/>
      <c r="U14" s="660"/>
      <c r="V14" s="661"/>
      <c r="W14" s="662"/>
      <c r="X14" s="659"/>
      <c r="Y14" s="660"/>
      <c r="Z14" s="663"/>
      <c r="AA14" s="635"/>
      <c r="AB14" s="635"/>
      <c r="AC14" s="664"/>
      <c r="AD14" s="664"/>
      <c r="AE14" s="664"/>
      <c r="AF14" s="664"/>
      <c r="AG14" s="664"/>
      <c r="AH14" s="664"/>
      <c r="AI14" s="664"/>
      <c r="AJ14" s="664"/>
    </row>
    <row r="15" ht="54.950000000000003" customHeight="1">
      <c r="A15" s="656"/>
      <c r="B15" s="657" t="s">
        <v>27</v>
      </c>
      <c r="C15" s="658"/>
      <c r="D15" s="659"/>
      <c r="E15" s="660"/>
      <c r="F15" s="661"/>
      <c r="G15" s="662"/>
      <c r="H15" s="659"/>
      <c r="I15" s="660"/>
      <c r="J15" s="661"/>
      <c r="K15" s="662"/>
      <c r="L15" s="659"/>
      <c r="M15" s="660"/>
      <c r="N15" s="661"/>
      <c r="O15" s="662"/>
      <c r="P15" s="659"/>
      <c r="Q15" s="660"/>
      <c r="R15" s="663"/>
      <c r="S15" s="662"/>
      <c r="T15" s="659"/>
      <c r="U15" s="660"/>
      <c r="V15" s="661"/>
      <c r="W15" s="662"/>
      <c r="X15" s="659"/>
      <c r="Y15" s="660"/>
      <c r="Z15" s="663"/>
      <c r="AA15" s="635"/>
      <c r="AB15" s="635"/>
      <c r="AC15" s="664"/>
      <c r="AD15" s="664"/>
      <c r="AE15" s="664"/>
      <c r="AF15" s="664"/>
      <c r="AG15" s="664"/>
      <c r="AH15" s="664"/>
      <c r="AI15" s="664"/>
      <c r="AJ15" s="664"/>
    </row>
    <row r="16" ht="54.950000000000003" customHeight="1">
      <c r="A16" s="656"/>
      <c r="B16" s="657" t="s">
        <v>24</v>
      </c>
      <c r="C16" s="658"/>
      <c r="D16" s="659"/>
      <c r="E16" s="660"/>
      <c r="F16" s="661"/>
      <c r="G16" s="662"/>
      <c r="H16" s="659"/>
      <c r="I16" s="660"/>
      <c r="J16" s="661"/>
      <c r="K16" s="662"/>
      <c r="L16" s="659"/>
      <c r="M16" s="660"/>
      <c r="N16" s="661"/>
      <c r="O16" s="662"/>
      <c r="P16" s="659"/>
      <c r="Q16" s="660"/>
      <c r="R16" s="663"/>
      <c r="S16" s="662"/>
      <c r="T16" s="659"/>
      <c r="U16" s="660"/>
      <c r="V16" s="661"/>
      <c r="W16" s="662"/>
      <c r="X16" s="659"/>
      <c r="Y16" s="660"/>
      <c r="Z16" s="663"/>
      <c r="AA16" s="635"/>
      <c r="AB16" s="635"/>
      <c r="AC16" s="664"/>
      <c r="AD16" s="664"/>
      <c r="AE16" s="664"/>
      <c r="AF16" s="664"/>
      <c r="AG16" s="664"/>
      <c r="AH16" s="664"/>
      <c r="AI16" s="664"/>
      <c r="AJ16" s="664"/>
    </row>
    <row r="17" ht="54.950000000000003" customHeight="1">
      <c r="A17" s="656"/>
      <c r="B17" s="657" t="s">
        <v>25</v>
      </c>
      <c r="C17" s="658"/>
      <c r="D17" s="659"/>
      <c r="E17" s="660"/>
      <c r="F17" s="661"/>
      <c r="G17" s="662"/>
      <c r="H17" s="659"/>
      <c r="I17" s="660"/>
      <c r="J17" s="661"/>
      <c r="K17" s="662"/>
      <c r="L17" s="659"/>
      <c r="M17" s="660"/>
      <c r="N17" s="661"/>
      <c r="O17" s="662"/>
      <c r="P17" s="659"/>
      <c r="Q17" s="660"/>
      <c r="R17" s="663"/>
      <c r="S17" s="662"/>
      <c r="T17" s="659"/>
      <c r="U17" s="660"/>
      <c r="V17" s="661"/>
      <c r="W17" s="662"/>
      <c r="X17" s="659"/>
      <c r="Y17" s="660"/>
      <c r="Z17" s="663"/>
      <c r="AA17" s="635"/>
      <c r="AB17" s="635"/>
      <c r="AC17" s="664"/>
      <c r="AD17" s="664"/>
      <c r="AE17" s="664"/>
      <c r="AF17" s="664"/>
      <c r="AG17" s="664"/>
      <c r="AH17" s="664"/>
      <c r="AI17" s="664"/>
      <c r="AJ17" s="664"/>
    </row>
    <row r="18" ht="54.950000000000003" customHeight="1">
      <c r="A18" s="656">
        <v>8</v>
      </c>
      <c r="B18" s="657" t="s">
        <v>26</v>
      </c>
      <c r="C18" s="658"/>
      <c r="D18" s="659"/>
      <c r="E18" s="660"/>
      <c r="F18" s="661"/>
      <c r="G18" s="662"/>
      <c r="H18" s="659"/>
      <c r="I18" s="660"/>
      <c r="J18" s="661"/>
      <c r="K18" s="662"/>
      <c r="L18" s="659"/>
      <c r="M18" s="660"/>
      <c r="N18" s="661"/>
      <c r="O18" s="662"/>
      <c r="P18" s="659"/>
      <c r="Q18" s="660"/>
      <c r="R18" s="663"/>
      <c r="S18" s="662"/>
      <c r="T18" s="659"/>
      <c r="U18" s="660"/>
      <c r="V18" s="661"/>
      <c r="W18" s="662"/>
      <c r="X18" s="659"/>
      <c r="Y18" s="660"/>
      <c r="Z18" s="663"/>
      <c r="AA18" s="635"/>
      <c r="AB18" s="635"/>
      <c r="AC18" s="664"/>
      <c r="AD18" s="664"/>
      <c r="AE18" s="664"/>
      <c r="AF18" s="664"/>
      <c r="AG18" s="664"/>
      <c r="AH18" s="664"/>
      <c r="AI18" s="664"/>
      <c r="AJ18" s="664"/>
    </row>
    <row r="19" ht="54.950000000000003" customHeight="1">
      <c r="A19" s="656"/>
      <c r="B19" s="657" t="s">
        <v>27</v>
      </c>
      <c r="C19" s="658"/>
      <c r="D19" s="659"/>
      <c r="E19" s="660"/>
      <c r="F19" s="661"/>
      <c r="G19" s="662"/>
      <c r="H19" s="659"/>
      <c r="I19" s="660"/>
      <c r="J19" s="661"/>
      <c r="K19" s="662"/>
      <c r="L19" s="659"/>
      <c r="M19" s="660"/>
      <c r="N19" s="661"/>
      <c r="O19" s="662"/>
      <c r="P19" s="659"/>
      <c r="Q19" s="660"/>
      <c r="R19" s="663"/>
      <c r="S19" s="662"/>
      <c r="T19" s="659"/>
      <c r="U19" s="660"/>
      <c r="V19" s="661"/>
      <c r="W19" s="662"/>
      <c r="X19" s="659"/>
      <c r="Y19" s="660"/>
      <c r="Z19" s="663"/>
      <c r="AA19" s="635"/>
      <c r="AB19" s="635"/>
      <c r="AC19" s="664"/>
      <c r="AD19" s="664"/>
      <c r="AE19" s="664"/>
      <c r="AF19" s="664"/>
      <c r="AG19" s="664"/>
      <c r="AH19" s="664"/>
      <c r="AI19" s="664"/>
      <c r="AJ19" s="664"/>
    </row>
    <row r="20" ht="54.950000000000003" customHeight="1">
      <c r="A20" s="656"/>
      <c r="B20" s="657" t="s">
        <v>24</v>
      </c>
      <c r="C20" s="658"/>
      <c r="D20" s="659"/>
      <c r="E20" s="660"/>
      <c r="F20" s="661"/>
      <c r="G20" s="662"/>
      <c r="H20" s="659"/>
      <c r="I20" s="660"/>
      <c r="J20" s="661"/>
      <c r="K20" s="662"/>
      <c r="L20" s="659"/>
      <c r="M20" s="660"/>
      <c r="N20" s="661"/>
      <c r="O20" s="662"/>
      <c r="P20" s="659"/>
      <c r="Q20" s="660"/>
      <c r="R20" s="663"/>
      <c r="S20" s="662"/>
      <c r="T20" s="659"/>
      <c r="U20" s="660"/>
      <c r="V20" s="661"/>
      <c r="W20" s="662"/>
      <c r="X20" s="659"/>
      <c r="Y20" s="660"/>
      <c r="Z20" s="663"/>
      <c r="AA20" s="635"/>
      <c r="AB20" s="635"/>
      <c r="AC20" s="664"/>
      <c r="AD20" s="664"/>
      <c r="AE20" s="664"/>
      <c r="AF20" s="664"/>
      <c r="AG20" s="664"/>
      <c r="AH20" s="664"/>
      <c r="AI20" s="664"/>
      <c r="AJ20" s="664"/>
    </row>
    <row r="21" ht="54.950000000000003" customHeight="1">
      <c r="A21" s="656"/>
      <c r="B21" s="657" t="s">
        <v>25</v>
      </c>
      <c r="C21" s="658"/>
      <c r="D21" s="659"/>
      <c r="E21" s="660"/>
      <c r="F21" s="661"/>
      <c r="G21" s="662"/>
      <c r="H21" s="659"/>
      <c r="I21" s="660"/>
      <c r="J21" s="661"/>
      <c r="K21" s="662"/>
      <c r="L21" s="659"/>
      <c r="M21" s="660"/>
      <c r="N21" s="661"/>
      <c r="O21" s="662"/>
      <c r="P21" s="659"/>
      <c r="Q21" s="660"/>
      <c r="R21" s="663"/>
      <c r="S21" s="662"/>
      <c r="T21" s="659"/>
      <c r="U21" s="660"/>
      <c r="V21" s="661"/>
      <c r="W21" s="662"/>
      <c r="X21" s="659"/>
      <c r="Y21" s="660"/>
      <c r="Z21" s="663"/>
      <c r="AA21" s="635"/>
      <c r="AB21" s="635"/>
      <c r="AC21" s="664"/>
      <c r="AD21" s="664"/>
      <c r="AE21" s="664"/>
      <c r="AF21" s="664"/>
      <c r="AG21" s="664"/>
      <c r="AH21" s="664"/>
      <c r="AI21" s="664"/>
      <c r="AJ21" s="664"/>
    </row>
    <row r="22" ht="54.950000000000003" hidden="1" customHeight="1">
      <c r="A22" s="656">
        <v>9</v>
      </c>
      <c r="B22" s="657" t="s">
        <v>26</v>
      </c>
      <c r="C22" s="658"/>
      <c r="D22" s="659"/>
      <c r="E22" s="660"/>
      <c r="F22" s="661"/>
      <c r="G22" s="662"/>
      <c r="H22" s="659"/>
      <c r="I22" s="660"/>
      <c r="J22" s="661"/>
      <c r="K22" s="662"/>
      <c r="L22" s="659"/>
      <c r="M22" s="660"/>
      <c r="N22" s="661"/>
      <c r="O22" s="662"/>
      <c r="P22" s="659"/>
      <c r="Q22" s="660"/>
      <c r="R22" s="663"/>
      <c r="S22" s="662"/>
      <c r="T22" s="659"/>
      <c r="U22" s="660"/>
      <c r="V22" s="661"/>
      <c r="W22" s="662"/>
      <c r="X22" s="659"/>
      <c r="Y22" s="660"/>
      <c r="Z22" s="663"/>
      <c r="AA22" s="635"/>
      <c r="AB22" s="635"/>
      <c r="AC22" s="664"/>
      <c r="AD22" s="664"/>
      <c r="AE22" s="664"/>
      <c r="AF22" s="664"/>
      <c r="AG22" s="664"/>
      <c r="AH22" s="664"/>
      <c r="AI22" s="664"/>
      <c r="AJ22" s="664"/>
    </row>
    <row r="23" ht="54.950000000000003" hidden="1" customHeight="1">
      <c r="A23" s="665"/>
      <c r="B23" s="666" t="s">
        <v>27</v>
      </c>
      <c r="C23" s="667"/>
      <c r="D23" s="668"/>
      <c r="E23" s="669"/>
      <c r="F23" s="670"/>
      <c r="G23" s="671"/>
      <c r="H23" s="668"/>
      <c r="I23" s="669"/>
      <c r="J23" s="670"/>
      <c r="K23" s="671"/>
      <c r="L23" s="668"/>
      <c r="M23" s="669"/>
      <c r="N23" s="670"/>
      <c r="O23" s="671"/>
      <c r="P23" s="668"/>
      <c r="Q23" s="669"/>
      <c r="R23" s="672"/>
      <c r="S23" s="671"/>
      <c r="T23" s="668"/>
      <c r="U23" s="669"/>
      <c r="V23" s="670"/>
      <c r="W23" s="671"/>
      <c r="X23" s="668"/>
      <c r="Y23" s="669"/>
      <c r="Z23" s="672"/>
      <c r="AA23" s="635"/>
      <c r="AB23" s="635"/>
      <c r="AC23" s="664"/>
      <c r="AD23" s="664"/>
      <c r="AE23" s="664"/>
      <c r="AF23" s="664"/>
      <c r="AG23" s="664"/>
      <c r="AH23" s="664"/>
      <c r="AI23" s="664"/>
      <c r="AJ23" s="664"/>
    </row>
    <row r="24" ht="54.950000000000003" customHeight="1">
      <c r="A24" s="673"/>
      <c r="B24" s="673"/>
      <c r="C24" s="635"/>
      <c r="D24" s="635"/>
      <c r="E24" s="635"/>
      <c r="F24" s="635"/>
      <c r="G24" s="635"/>
      <c r="H24" s="635"/>
      <c r="I24" s="635"/>
      <c r="J24" s="635"/>
      <c r="K24" s="635"/>
      <c r="L24" s="635"/>
      <c r="M24" s="635"/>
      <c r="N24" s="635"/>
      <c r="O24" s="635"/>
      <c r="P24" s="635"/>
      <c r="Q24" s="635"/>
      <c r="R24" s="635"/>
      <c r="S24" s="635"/>
      <c r="T24" s="635"/>
      <c r="U24" s="635"/>
      <c r="V24" s="635"/>
      <c r="W24" s="635"/>
      <c r="X24" s="635"/>
      <c r="Y24" s="635"/>
      <c r="Z24" s="635"/>
      <c r="AA24" s="635"/>
      <c r="AB24" s="635"/>
      <c r="AC24" s="664"/>
      <c r="AD24" s="664"/>
      <c r="AE24" s="664"/>
      <c r="AF24" s="664"/>
      <c r="AG24" s="664"/>
      <c r="AH24" s="664"/>
      <c r="AI24" s="664"/>
      <c r="AJ24" s="664"/>
    </row>
    <row r="25" ht="52.5" customHeight="1">
      <c r="A25" s="618" t="s">
        <v>95</v>
      </c>
      <c r="B25" s="619" t="str">
        <f>B1</f>
        <v xml:space="preserve">REIGNIER_Giratoire de la Forge (en-dessous du Fil des Saisons)</v>
      </c>
      <c r="C25" s="620"/>
      <c r="D25" s="620"/>
      <c r="E25" s="620"/>
      <c r="F25" s="621"/>
      <c r="G25" s="621"/>
      <c r="H25" s="620"/>
      <c r="I25" s="620"/>
      <c r="J25" s="621"/>
      <c r="K25" s="621"/>
      <c r="L25" s="622"/>
      <c r="M25" s="623" t="s">
        <v>2</v>
      </c>
      <c r="N25" s="674" t="str">
        <f>N1</f>
        <v xml:space="preserve">mardi 6 juin 2023</v>
      </c>
      <c r="O25" s="620"/>
      <c r="P25" s="620"/>
      <c r="Q25" s="620"/>
      <c r="R25" s="620"/>
      <c r="S25" s="620"/>
      <c r="T25" s="620"/>
      <c r="U25" s="620"/>
      <c r="V25" s="625"/>
      <c r="W25" s="626"/>
      <c r="X25" s="626"/>
      <c r="Y25" s="626"/>
      <c r="Z25" s="627"/>
      <c r="AA25" s="675" t="s">
        <v>95</v>
      </c>
      <c r="AB25" s="619" t="str">
        <f>B25</f>
        <v xml:space="preserve">REIGNIER_Giratoire de la Forge (en-dessous du Fil des Saisons)</v>
      </c>
      <c r="AC25" s="620"/>
      <c r="AD25" s="620"/>
      <c r="AE25" s="620"/>
      <c r="AF25" s="621"/>
      <c r="AG25" s="676"/>
      <c r="AH25" s="677" t="s">
        <v>96</v>
      </c>
      <c r="AI25" s="674" t="str">
        <f>N25</f>
        <v xml:space="preserve">mardi 6 juin 2023</v>
      </c>
      <c r="AJ25" s="620"/>
      <c r="AK25" s="678"/>
      <c r="AL25" s="625"/>
      <c r="AM25" s="679"/>
    </row>
    <row r="26" ht="52.5" customHeight="1">
      <c r="A26" s="628" t="s">
        <v>4</v>
      </c>
      <c r="B26" s="629"/>
      <c r="C26" s="629"/>
      <c r="D26" s="629"/>
      <c r="E26" s="629"/>
      <c r="F26" s="629"/>
      <c r="G26" s="619">
        <f>G2</f>
        <v>0</v>
      </c>
      <c r="H26" s="620"/>
      <c r="I26" s="620"/>
      <c r="J26" s="620"/>
      <c r="K26" s="620"/>
      <c r="L26" s="620"/>
      <c r="M26" s="620"/>
      <c r="N26" s="620"/>
      <c r="O26" s="620"/>
      <c r="P26" s="620"/>
      <c r="Q26" s="620"/>
      <c r="R26" s="620"/>
      <c r="S26" s="620"/>
      <c r="T26" s="620"/>
      <c r="U26" s="620"/>
      <c r="V26" s="625"/>
      <c r="W26" s="629"/>
      <c r="X26" s="629"/>
      <c r="Y26" s="629"/>
      <c r="Z26" s="629"/>
      <c r="AA26" s="628" t="s">
        <v>4</v>
      </c>
      <c r="AB26" s="629"/>
      <c r="AC26" s="629"/>
      <c r="AD26" s="629"/>
      <c r="AE26" s="619">
        <f>G26</f>
        <v>0</v>
      </c>
      <c r="AF26" s="620"/>
      <c r="AG26" s="620"/>
      <c r="AH26" s="620"/>
      <c r="AI26" s="620"/>
      <c r="AJ26" s="620"/>
      <c r="AK26" s="620"/>
      <c r="AL26" s="625"/>
      <c r="AM26" s="629"/>
    </row>
    <row r="27" ht="52.5" hidden="1" customHeight="1">
      <c r="A27" s="628" t="s">
        <v>6</v>
      </c>
      <c r="B27" s="629"/>
      <c r="C27" s="619">
        <f t="shared" ref="C27:C33" si="139">C3</f>
        <v>0</v>
      </c>
      <c r="D27" s="620"/>
      <c r="E27" s="620"/>
      <c r="F27" s="620"/>
      <c r="G27" s="620"/>
      <c r="H27" s="620"/>
      <c r="I27" s="620"/>
      <c r="J27" s="620"/>
      <c r="K27" s="620"/>
      <c r="L27" s="620"/>
      <c r="M27" s="620"/>
      <c r="N27" s="620"/>
      <c r="O27" s="620"/>
      <c r="P27" s="620"/>
      <c r="Q27" s="620"/>
      <c r="R27" s="620"/>
      <c r="S27" s="620"/>
      <c r="T27" s="620"/>
      <c r="U27" s="620"/>
      <c r="V27" s="625"/>
      <c r="W27" s="629"/>
      <c r="X27" s="629"/>
      <c r="Y27" s="629"/>
      <c r="Z27" s="630"/>
      <c r="AA27" s="628" t="s">
        <v>6</v>
      </c>
      <c r="AB27" s="629"/>
      <c r="AC27" s="619">
        <f t="shared" ref="AC27:AC28" si="140">C27</f>
        <v>0</v>
      </c>
      <c r="AD27" s="620"/>
      <c r="AE27" s="620"/>
      <c r="AF27" s="620"/>
      <c r="AG27" s="620"/>
      <c r="AH27" s="620"/>
      <c r="AI27" s="620"/>
      <c r="AJ27" s="620"/>
      <c r="AK27" s="620"/>
      <c r="AL27" s="625"/>
      <c r="AM27" s="680"/>
    </row>
    <row r="28" ht="52.5" customHeight="1">
      <c r="A28" s="628" t="s">
        <v>8</v>
      </c>
      <c r="B28" s="629"/>
      <c r="C28" s="619">
        <f t="shared" si="139"/>
        <v>0</v>
      </c>
      <c r="D28" s="620"/>
      <c r="E28" s="620"/>
      <c r="F28" s="620"/>
      <c r="G28" s="620"/>
      <c r="H28" s="620"/>
      <c r="I28" s="620"/>
      <c r="J28" s="620"/>
      <c r="K28" s="620"/>
      <c r="L28" s="620"/>
      <c r="M28" s="620"/>
      <c r="N28" s="620"/>
      <c r="O28" s="620"/>
      <c r="P28" s="620"/>
      <c r="Q28" s="620"/>
      <c r="R28" s="620"/>
      <c r="S28" s="620"/>
      <c r="T28" s="620"/>
      <c r="U28" s="620"/>
      <c r="V28" s="625"/>
      <c r="W28" s="629"/>
      <c r="X28" s="629"/>
      <c r="Y28" s="629"/>
      <c r="Z28" s="630"/>
      <c r="AA28" s="628" t="s">
        <v>8</v>
      </c>
      <c r="AB28" s="629"/>
      <c r="AC28" s="619">
        <f t="shared" si="140"/>
        <v>0</v>
      </c>
      <c r="AD28" s="620"/>
      <c r="AE28" s="620"/>
      <c r="AF28" s="620"/>
      <c r="AG28" s="620"/>
      <c r="AH28" s="620"/>
      <c r="AI28" s="620"/>
      <c r="AJ28" s="620"/>
      <c r="AK28" s="620"/>
      <c r="AL28" s="625"/>
      <c r="AM28" s="680"/>
    </row>
    <row r="29" ht="25.5" customHeight="1">
      <c r="A29" s="631"/>
      <c r="B29" s="629"/>
      <c r="C29" s="629"/>
      <c r="D29" s="629"/>
      <c r="E29" s="629"/>
      <c r="F29" s="629"/>
      <c r="G29" s="629"/>
      <c r="H29" s="629"/>
      <c r="I29" s="629"/>
      <c r="J29" s="629"/>
      <c r="K29" s="629"/>
      <c r="L29" s="629"/>
      <c r="M29" s="629"/>
      <c r="N29" s="629"/>
      <c r="O29" s="629"/>
      <c r="P29" s="629"/>
      <c r="Q29" s="629"/>
      <c r="R29" s="630"/>
      <c r="S29" s="629"/>
      <c r="T29" s="629"/>
      <c r="U29" s="629"/>
      <c r="V29" s="629"/>
      <c r="W29" s="629"/>
      <c r="X29" s="629"/>
      <c r="Y29" s="629"/>
      <c r="Z29" s="630"/>
      <c r="AA29" s="631"/>
      <c r="AB29" s="629"/>
      <c r="AC29" s="629"/>
      <c r="AD29" s="629"/>
      <c r="AE29" s="629"/>
      <c r="AF29" s="629"/>
      <c r="AG29" s="629"/>
      <c r="AH29" s="629"/>
      <c r="AI29" s="629"/>
      <c r="AJ29" s="629"/>
      <c r="AK29" s="629"/>
      <c r="AL29" s="629"/>
      <c r="AM29" s="629"/>
    </row>
    <row r="30" ht="25.5" customHeight="1">
      <c r="A30" s="631"/>
      <c r="B30" s="629"/>
      <c r="C30" s="629"/>
      <c r="D30" s="629"/>
      <c r="E30" s="629"/>
      <c r="F30" s="629"/>
      <c r="G30" s="629"/>
      <c r="H30" s="629"/>
      <c r="I30" s="629"/>
      <c r="J30" s="629"/>
      <c r="K30" s="629"/>
      <c r="L30" s="629"/>
      <c r="M30" s="629"/>
      <c r="N30" s="629"/>
      <c r="O30" s="629"/>
      <c r="P30" s="629"/>
      <c r="Q30" s="629"/>
      <c r="R30" s="630"/>
      <c r="S30" s="629"/>
      <c r="T30" s="629"/>
      <c r="U30" s="629"/>
      <c r="V30" s="629"/>
      <c r="W30" s="629"/>
      <c r="X30" s="629"/>
      <c r="Y30" s="629"/>
      <c r="Z30" s="630"/>
      <c r="AA30" s="631"/>
      <c r="AB30" s="629"/>
      <c r="AC30" s="629"/>
      <c r="AD30" s="629"/>
      <c r="AE30" s="629"/>
      <c r="AF30" s="629"/>
      <c r="AG30" s="629"/>
      <c r="AH30" s="629"/>
      <c r="AI30" s="629"/>
      <c r="AJ30" s="629"/>
      <c r="AK30" s="629"/>
      <c r="AL30" s="630"/>
      <c r="AM30" s="630"/>
    </row>
    <row r="31" ht="25.5" customHeight="1">
      <c r="A31" s="631"/>
      <c r="B31" s="629"/>
      <c r="C31" s="629"/>
      <c r="D31" s="629"/>
      <c r="E31" s="629"/>
      <c r="F31" s="629"/>
      <c r="G31" s="629"/>
      <c r="H31" s="629"/>
      <c r="I31" s="629"/>
      <c r="J31" s="629"/>
      <c r="K31" s="629"/>
      <c r="L31" s="629"/>
      <c r="M31" s="629"/>
      <c r="N31" s="629"/>
      <c r="O31" s="629"/>
      <c r="P31" s="629"/>
      <c r="Q31" s="629"/>
      <c r="R31" s="630"/>
      <c r="S31" s="629"/>
      <c r="T31" s="629"/>
      <c r="U31" s="629"/>
      <c r="V31" s="629"/>
      <c r="W31" s="629"/>
      <c r="X31" s="629"/>
      <c r="Y31" s="629"/>
      <c r="Z31" s="630"/>
      <c r="AA31" s="630"/>
      <c r="AB31" s="630"/>
      <c r="AC31" s="630"/>
      <c r="AD31" s="630"/>
      <c r="AE31" s="630"/>
      <c r="AF31" s="630"/>
      <c r="AG31" s="630"/>
      <c r="AH31" s="630"/>
      <c r="AI31" s="630"/>
      <c r="AJ31" s="630"/>
      <c r="AK31" s="630"/>
      <c r="AL31" s="630"/>
      <c r="AM31" s="630"/>
    </row>
    <row r="32" ht="32.25" customHeight="1">
      <c r="A32" s="628"/>
      <c r="B32" s="629"/>
      <c r="C32" s="632" t="str">
        <f t="shared" si="139"/>
        <v xml:space="preserve">Depuis 'Esery'</v>
      </c>
      <c r="D32" s="633"/>
      <c r="E32" s="633"/>
      <c r="F32" s="633"/>
      <c r="G32" s="633"/>
      <c r="H32" s="633"/>
      <c r="I32" s="633"/>
      <c r="J32" s="633"/>
      <c r="K32" s="633" t="str">
        <f t="shared" ref="K32:K33" si="141">K8</f>
        <v xml:space="preserve">Depuis 'Reignier'</v>
      </c>
      <c r="L32" s="633"/>
      <c r="M32" s="633"/>
      <c r="N32" s="633"/>
      <c r="O32" s="633"/>
      <c r="P32" s="633"/>
      <c r="Q32" s="633"/>
      <c r="R32" s="634"/>
      <c r="S32" s="633" t="str">
        <f t="shared" ref="S32:S33" si="142">S8</f>
        <v xml:space="preserve">Depuis 'Annemasse'</v>
      </c>
      <c r="T32" s="633"/>
      <c r="U32" s="633"/>
      <c r="V32" s="633"/>
      <c r="W32" s="633"/>
      <c r="X32" s="633"/>
      <c r="Y32" s="633"/>
      <c r="Z32" s="634"/>
      <c r="AA32" s="628"/>
      <c r="AB32" s="629"/>
      <c r="AC32" s="681" t="s">
        <v>31</v>
      </c>
      <c r="AD32" s="682" t="s">
        <v>32</v>
      </c>
      <c r="AE32" s="683" t="s">
        <v>33</v>
      </c>
      <c r="AF32" s="684" t="s">
        <v>34</v>
      </c>
      <c r="AG32" s="682" t="s">
        <v>58</v>
      </c>
      <c r="AH32" s="682" t="s">
        <v>36</v>
      </c>
      <c r="AI32" s="682" t="s">
        <v>37</v>
      </c>
      <c r="AJ32" s="685" t="s">
        <v>38</v>
      </c>
      <c r="AK32" s="686"/>
      <c r="AL32" s="686"/>
      <c r="AM32" s="687"/>
    </row>
    <row r="33" ht="22.699999999999999" customHeight="1">
      <c r="A33" s="628"/>
      <c r="B33" s="629"/>
      <c r="C33" s="637" t="str">
        <f t="shared" si="139"/>
        <v xml:space="preserve">vers 'Reignier'</v>
      </c>
      <c r="D33" s="638"/>
      <c r="E33" s="638"/>
      <c r="F33" s="638"/>
      <c r="G33" s="637" t="str">
        <f>G9</f>
        <v xml:space="preserve">vers 'Annemasse'</v>
      </c>
      <c r="H33" s="638"/>
      <c r="I33" s="638"/>
      <c r="J33" s="638"/>
      <c r="K33" s="637" t="str">
        <f t="shared" si="141"/>
        <v xml:space="preserve">vers 'Esery'</v>
      </c>
      <c r="L33" s="638"/>
      <c r="M33" s="638"/>
      <c r="N33" s="638"/>
      <c r="O33" s="637" t="str">
        <f>O9</f>
        <v xml:space="preserve">vers 'Annemasse'</v>
      </c>
      <c r="P33" s="638"/>
      <c r="Q33" s="638"/>
      <c r="R33" s="638"/>
      <c r="S33" s="637" t="str">
        <f t="shared" si="142"/>
        <v xml:space="preserve">vers 'Reignier'</v>
      </c>
      <c r="T33" s="638"/>
      <c r="U33" s="638"/>
      <c r="V33" s="638"/>
      <c r="W33" s="637" t="str">
        <f>W9</f>
        <v xml:space="preserve">vers 'Esery'</v>
      </c>
      <c r="X33" s="638"/>
      <c r="Y33" s="638"/>
      <c r="Z33" s="688"/>
      <c r="AA33" s="628"/>
      <c r="AB33" s="629"/>
      <c r="AC33" s="689"/>
      <c r="AD33" s="690"/>
      <c r="AE33" s="691"/>
      <c r="AF33" s="692"/>
      <c r="AG33" s="690"/>
      <c r="AH33" s="690"/>
      <c r="AI33" s="690"/>
      <c r="AJ33" s="693"/>
      <c r="AK33" s="694"/>
      <c r="AL33" s="694"/>
      <c r="AM33" s="695"/>
    </row>
    <row r="34" ht="18.600000000000001" customHeight="1">
      <c r="A34" s="628"/>
      <c r="B34" s="629"/>
      <c r="C34" s="641" t="s">
        <v>18</v>
      </c>
      <c r="D34" s="642"/>
      <c r="E34" s="643" t="s">
        <v>19</v>
      </c>
      <c r="F34" s="644"/>
      <c r="G34" s="645" t="s">
        <v>18</v>
      </c>
      <c r="H34" s="642"/>
      <c r="I34" s="643" t="s">
        <v>19</v>
      </c>
      <c r="J34" s="644"/>
      <c r="K34" s="645" t="s">
        <v>18</v>
      </c>
      <c r="L34" s="642"/>
      <c r="M34" s="643" t="s">
        <v>19</v>
      </c>
      <c r="N34" s="644"/>
      <c r="O34" s="645" t="s">
        <v>18</v>
      </c>
      <c r="P34" s="642"/>
      <c r="Q34" s="643" t="s">
        <v>19</v>
      </c>
      <c r="R34" s="646"/>
      <c r="S34" s="645" t="s">
        <v>18</v>
      </c>
      <c r="T34" s="642"/>
      <c r="U34" s="643" t="s">
        <v>19</v>
      </c>
      <c r="V34" s="644"/>
      <c r="W34" s="645" t="s">
        <v>18</v>
      </c>
      <c r="X34" s="642"/>
      <c r="Y34" s="696" t="s">
        <v>19</v>
      </c>
      <c r="Z34" s="697"/>
      <c r="AA34" s="628"/>
      <c r="AB34" s="629"/>
      <c r="AC34" s="689"/>
      <c r="AD34" s="690"/>
      <c r="AE34" s="691"/>
      <c r="AF34" s="692"/>
      <c r="AG34" s="690"/>
      <c r="AH34" s="690"/>
      <c r="AI34" s="690"/>
      <c r="AJ34" s="693"/>
      <c r="AK34" s="694"/>
      <c r="AL34" s="694"/>
      <c r="AM34" s="695"/>
    </row>
    <row r="35" ht="21">
      <c r="A35" s="698" t="s">
        <v>39</v>
      </c>
      <c r="B35" s="699"/>
      <c r="C35" s="649" t="s">
        <v>22</v>
      </c>
      <c r="D35" s="650" t="s">
        <v>23</v>
      </c>
      <c r="E35" s="651" t="s">
        <v>22</v>
      </c>
      <c r="F35" s="652" t="s">
        <v>23</v>
      </c>
      <c r="G35" s="653" t="s">
        <v>22</v>
      </c>
      <c r="H35" s="650" t="s">
        <v>23</v>
      </c>
      <c r="I35" s="651" t="s">
        <v>22</v>
      </c>
      <c r="J35" s="652" t="s">
        <v>23</v>
      </c>
      <c r="K35" s="653" t="s">
        <v>22</v>
      </c>
      <c r="L35" s="650" t="s">
        <v>23</v>
      </c>
      <c r="M35" s="651" t="s">
        <v>22</v>
      </c>
      <c r="N35" s="652" t="s">
        <v>23</v>
      </c>
      <c r="O35" s="653" t="s">
        <v>22</v>
      </c>
      <c r="P35" s="650" t="s">
        <v>23</v>
      </c>
      <c r="Q35" s="651" t="s">
        <v>22</v>
      </c>
      <c r="R35" s="654" t="s">
        <v>23</v>
      </c>
      <c r="S35" s="653" t="s">
        <v>22</v>
      </c>
      <c r="T35" s="650" t="s">
        <v>23</v>
      </c>
      <c r="U35" s="651" t="s">
        <v>22</v>
      </c>
      <c r="V35" s="652" t="s">
        <v>23</v>
      </c>
      <c r="W35" s="653" t="s">
        <v>22</v>
      </c>
      <c r="X35" s="650" t="s">
        <v>23</v>
      </c>
      <c r="Y35" s="651" t="s">
        <v>22</v>
      </c>
      <c r="Z35" s="654" t="s">
        <v>23</v>
      </c>
      <c r="AA35" s="700" t="s">
        <v>39</v>
      </c>
      <c r="AB35" s="701"/>
      <c r="AC35" s="689"/>
      <c r="AD35" s="702"/>
      <c r="AE35" s="703"/>
      <c r="AF35" s="704"/>
      <c r="AG35" s="702"/>
      <c r="AH35" s="702"/>
      <c r="AI35" s="702"/>
      <c r="AJ35" s="705"/>
      <c r="AK35" s="706"/>
      <c r="AL35" s="706"/>
      <c r="AM35" s="707"/>
    </row>
    <row r="36" ht="54.950000000000003" customHeight="1">
      <c r="A36" s="708" t="s">
        <v>40</v>
      </c>
      <c r="B36" s="709"/>
      <c r="C36" s="710">
        <f>SUM(C12:C15)</f>
        <v>0</v>
      </c>
      <c r="D36" s="711">
        <f t="shared" ref="D36:Z36" si="143">SUM(D12:D15)</f>
        <v>0</v>
      </c>
      <c r="E36" s="712">
        <f t="shared" si="143"/>
        <v>0</v>
      </c>
      <c r="F36" s="713">
        <f t="shared" si="143"/>
        <v>0</v>
      </c>
      <c r="G36" s="714">
        <f t="shared" si="143"/>
        <v>0</v>
      </c>
      <c r="H36" s="711">
        <f t="shared" si="143"/>
        <v>0</v>
      </c>
      <c r="I36" s="712">
        <f t="shared" si="143"/>
        <v>0</v>
      </c>
      <c r="J36" s="713">
        <f t="shared" si="143"/>
        <v>0</v>
      </c>
      <c r="K36" s="714">
        <f t="shared" si="143"/>
        <v>0</v>
      </c>
      <c r="L36" s="711">
        <f t="shared" si="143"/>
        <v>0</v>
      </c>
      <c r="M36" s="712">
        <f t="shared" si="143"/>
        <v>0</v>
      </c>
      <c r="N36" s="713">
        <f t="shared" si="143"/>
        <v>0</v>
      </c>
      <c r="O36" s="714">
        <f t="shared" si="143"/>
        <v>0</v>
      </c>
      <c r="P36" s="711">
        <f t="shared" si="143"/>
        <v>0</v>
      </c>
      <c r="Q36" s="712">
        <f t="shared" si="143"/>
        <v>0</v>
      </c>
      <c r="R36" s="715">
        <f t="shared" si="143"/>
        <v>0</v>
      </c>
      <c r="S36" s="714">
        <f t="shared" si="143"/>
        <v>0</v>
      </c>
      <c r="T36" s="711">
        <f t="shared" si="143"/>
        <v>0</v>
      </c>
      <c r="U36" s="712">
        <f t="shared" si="143"/>
        <v>0</v>
      </c>
      <c r="V36" s="713">
        <f t="shared" si="143"/>
        <v>0</v>
      </c>
      <c r="W36" s="714">
        <f t="shared" si="143"/>
        <v>0</v>
      </c>
      <c r="X36" s="711">
        <f t="shared" si="143"/>
        <v>0</v>
      </c>
      <c r="Y36" s="712">
        <f t="shared" si="143"/>
        <v>0</v>
      </c>
      <c r="Z36" s="715">
        <f t="shared" si="143"/>
        <v>0</v>
      </c>
      <c r="AA36" s="716" t="s">
        <v>40</v>
      </c>
      <c r="AB36" s="717"/>
      <c r="AC36" s="718">
        <f t="shared" ref="AC36:AC42" si="144">SUM(C36:Z36)</f>
        <v>0</v>
      </c>
      <c r="AD36" s="719">
        <f t="shared" ref="AD36:AD42" si="145">IF(AC36=0,0,AD48/AC36)</f>
        <v>0</v>
      </c>
      <c r="AE36" s="719">
        <f t="shared" ref="AE36:AE42" si="146">IF(AC36=0,0,AE48/AC36)</f>
        <v>0</v>
      </c>
      <c r="AF36" s="719">
        <f t="shared" ref="AF36:AF42" si="147">IF(AE48=0,0,AF48/AE48)</f>
        <v>0</v>
      </c>
      <c r="AG36" s="719">
        <f t="shared" ref="AG36:AG42" si="148">IF(AC36=0,0,AG48/AC36)</f>
        <v>0</v>
      </c>
      <c r="AH36" s="719">
        <f t="shared" ref="AH36:AH42" si="149">IF(AC36=0,0,AH48/AC36)</f>
        <v>0</v>
      </c>
      <c r="AI36" s="719">
        <f t="shared" ref="AI36:AI42" si="150">IF(AC36=0,0,AI48/AC36)</f>
        <v>0</v>
      </c>
      <c r="AJ36" s="720"/>
      <c r="AK36" s="721"/>
      <c r="AL36" s="721"/>
      <c r="AM36" s="722"/>
    </row>
    <row r="37" ht="54.950000000000003" customHeight="1">
      <c r="A37" s="723" t="s">
        <v>41</v>
      </c>
      <c r="B37" s="724"/>
      <c r="C37" s="725">
        <f>SUM(C14:C17)</f>
        <v>0</v>
      </c>
      <c r="D37" s="726">
        <f t="shared" ref="D37:Z37" si="151">SUM(D14:D17)</f>
        <v>0</v>
      </c>
      <c r="E37" s="727">
        <f t="shared" si="151"/>
        <v>0</v>
      </c>
      <c r="F37" s="728">
        <f t="shared" si="151"/>
        <v>0</v>
      </c>
      <c r="G37" s="729">
        <f t="shared" si="151"/>
        <v>0</v>
      </c>
      <c r="H37" s="726">
        <f t="shared" si="151"/>
        <v>0</v>
      </c>
      <c r="I37" s="727">
        <f t="shared" si="151"/>
        <v>0</v>
      </c>
      <c r="J37" s="728">
        <f t="shared" si="151"/>
        <v>0</v>
      </c>
      <c r="K37" s="729">
        <f t="shared" si="151"/>
        <v>0</v>
      </c>
      <c r="L37" s="726">
        <f t="shared" si="151"/>
        <v>0</v>
      </c>
      <c r="M37" s="727">
        <f t="shared" si="151"/>
        <v>0</v>
      </c>
      <c r="N37" s="728">
        <f t="shared" si="151"/>
        <v>0</v>
      </c>
      <c r="O37" s="729">
        <f t="shared" si="151"/>
        <v>0</v>
      </c>
      <c r="P37" s="726">
        <f t="shared" si="151"/>
        <v>0</v>
      </c>
      <c r="Q37" s="727">
        <f t="shared" si="151"/>
        <v>0</v>
      </c>
      <c r="R37" s="730">
        <f t="shared" si="151"/>
        <v>0</v>
      </c>
      <c r="S37" s="729">
        <f t="shared" si="151"/>
        <v>0</v>
      </c>
      <c r="T37" s="726">
        <f t="shared" si="151"/>
        <v>0</v>
      </c>
      <c r="U37" s="727">
        <f t="shared" si="151"/>
        <v>0</v>
      </c>
      <c r="V37" s="728">
        <f t="shared" si="151"/>
        <v>0</v>
      </c>
      <c r="W37" s="729">
        <f t="shared" si="151"/>
        <v>0</v>
      </c>
      <c r="X37" s="726">
        <f t="shared" si="151"/>
        <v>0</v>
      </c>
      <c r="Y37" s="727">
        <f t="shared" si="151"/>
        <v>0</v>
      </c>
      <c r="Z37" s="730">
        <f t="shared" si="151"/>
        <v>0</v>
      </c>
      <c r="AA37" s="731" t="s">
        <v>41</v>
      </c>
      <c r="AB37" s="732"/>
      <c r="AC37" s="733">
        <f t="shared" si="144"/>
        <v>0</v>
      </c>
      <c r="AD37" s="734">
        <f t="shared" si="145"/>
        <v>0</v>
      </c>
      <c r="AE37" s="734">
        <f t="shared" si="146"/>
        <v>0</v>
      </c>
      <c r="AF37" s="734">
        <f t="shared" si="147"/>
        <v>0</v>
      </c>
      <c r="AG37" s="734">
        <f t="shared" si="148"/>
        <v>0</v>
      </c>
      <c r="AH37" s="734">
        <f t="shared" si="149"/>
        <v>0</v>
      </c>
      <c r="AI37" s="734">
        <f t="shared" si="150"/>
        <v>0</v>
      </c>
      <c r="AJ37" s="735"/>
      <c r="AK37" s="736"/>
      <c r="AL37" s="736"/>
      <c r="AM37" s="737"/>
    </row>
    <row r="38" ht="54.950000000000003" customHeight="1">
      <c r="A38" s="723" t="s">
        <v>42</v>
      </c>
      <c r="B38" s="724"/>
      <c r="C38" s="725">
        <f>SUM(C16:C19)</f>
        <v>0</v>
      </c>
      <c r="D38" s="726">
        <f t="shared" ref="D38:Z38" si="152">SUM(D16:D19)</f>
        <v>0</v>
      </c>
      <c r="E38" s="727">
        <f t="shared" si="152"/>
        <v>0</v>
      </c>
      <c r="F38" s="728">
        <f t="shared" si="152"/>
        <v>0</v>
      </c>
      <c r="G38" s="729">
        <f t="shared" si="152"/>
        <v>0</v>
      </c>
      <c r="H38" s="726">
        <f t="shared" si="152"/>
        <v>0</v>
      </c>
      <c r="I38" s="727">
        <f t="shared" si="152"/>
        <v>0</v>
      </c>
      <c r="J38" s="728">
        <f t="shared" si="152"/>
        <v>0</v>
      </c>
      <c r="K38" s="729">
        <f t="shared" si="152"/>
        <v>0</v>
      </c>
      <c r="L38" s="726">
        <f t="shared" si="152"/>
        <v>0</v>
      </c>
      <c r="M38" s="727">
        <f t="shared" si="152"/>
        <v>0</v>
      </c>
      <c r="N38" s="728">
        <f t="shared" si="152"/>
        <v>0</v>
      </c>
      <c r="O38" s="729">
        <f t="shared" si="152"/>
        <v>0</v>
      </c>
      <c r="P38" s="726">
        <f t="shared" si="152"/>
        <v>0</v>
      </c>
      <c r="Q38" s="727">
        <f t="shared" si="152"/>
        <v>0</v>
      </c>
      <c r="R38" s="730">
        <f t="shared" si="152"/>
        <v>0</v>
      </c>
      <c r="S38" s="729">
        <f t="shared" si="152"/>
        <v>0</v>
      </c>
      <c r="T38" s="726">
        <f t="shared" si="152"/>
        <v>0</v>
      </c>
      <c r="U38" s="727">
        <f t="shared" si="152"/>
        <v>0</v>
      </c>
      <c r="V38" s="728">
        <f t="shared" si="152"/>
        <v>0</v>
      </c>
      <c r="W38" s="729">
        <f t="shared" si="152"/>
        <v>0</v>
      </c>
      <c r="X38" s="726">
        <f t="shared" si="152"/>
        <v>0</v>
      </c>
      <c r="Y38" s="727">
        <f t="shared" si="152"/>
        <v>0</v>
      </c>
      <c r="Z38" s="730">
        <f t="shared" si="152"/>
        <v>0</v>
      </c>
      <c r="AA38" s="731" t="s">
        <v>42</v>
      </c>
      <c r="AB38" s="732"/>
      <c r="AC38" s="733">
        <f t="shared" si="144"/>
        <v>0</v>
      </c>
      <c r="AD38" s="734">
        <f t="shared" si="145"/>
        <v>0</v>
      </c>
      <c r="AE38" s="734">
        <f t="shared" si="146"/>
        <v>0</v>
      </c>
      <c r="AF38" s="734">
        <f t="shared" si="147"/>
        <v>0</v>
      </c>
      <c r="AG38" s="734">
        <f t="shared" si="148"/>
        <v>0</v>
      </c>
      <c r="AH38" s="734">
        <f t="shared" si="149"/>
        <v>0</v>
      </c>
      <c r="AI38" s="734">
        <f t="shared" si="150"/>
        <v>0</v>
      </c>
      <c r="AJ38" s="735"/>
      <c r="AK38" s="736"/>
      <c r="AL38" s="736"/>
      <c r="AM38" s="737"/>
    </row>
    <row r="39" ht="54.950000000000003" customHeight="1">
      <c r="A39" s="723" t="s">
        <v>43</v>
      </c>
      <c r="B39" s="724"/>
      <c r="C39" s="725">
        <f>SUM(C18:C21)</f>
        <v>0</v>
      </c>
      <c r="D39" s="726">
        <f t="shared" ref="D39:Z39" si="153">SUM(D18:D21)</f>
        <v>0</v>
      </c>
      <c r="E39" s="727">
        <f t="shared" si="153"/>
        <v>0</v>
      </c>
      <c r="F39" s="728">
        <f t="shared" si="153"/>
        <v>0</v>
      </c>
      <c r="G39" s="729">
        <f t="shared" si="153"/>
        <v>0</v>
      </c>
      <c r="H39" s="726">
        <f t="shared" si="153"/>
        <v>0</v>
      </c>
      <c r="I39" s="727">
        <f t="shared" si="153"/>
        <v>0</v>
      </c>
      <c r="J39" s="728">
        <f t="shared" si="153"/>
        <v>0</v>
      </c>
      <c r="K39" s="729">
        <f t="shared" si="153"/>
        <v>0</v>
      </c>
      <c r="L39" s="726">
        <f t="shared" si="153"/>
        <v>0</v>
      </c>
      <c r="M39" s="727">
        <f t="shared" si="153"/>
        <v>0</v>
      </c>
      <c r="N39" s="728">
        <f t="shared" si="153"/>
        <v>0</v>
      </c>
      <c r="O39" s="729">
        <f t="shared" si="153"/>
        <v>0</v>
      </c>
      <c r="P39" s="726">
        <f t="shared" si="153"/>
        <v>0</v>
      </c>
      <c r="Q39" s="727">
        <f t="shared" si="153"/>
        <v>0</v>
      </c>
      <c r="R39" s="730">
        <f t="shared" si="153"/>
        <v>0</v>
      </c>
      <c r="S39" s="729">
        <f t="shared" si="153"/>
        <v>0</v>
      </c>
      <c r="T39" s="726">
        <f t="shared" si="153"/>
        <v>0</v>
      </c>
      <c r="U39" s="727">
        <f t="shared" si="153"/>
        <v>0</v>
      </c>
      <c r="V39" s="728">
        <f t="shared" si="153"/>
        <v>0</v>
      </c>
      <c r="W39" s="729">
        <f t="shared" si="153"/>
        <v>0</v>
      </c>
      <c r="X39" s="726">
        <f t="shared" si="153"/>
        <v>0</v>
      </c>
      <c r="Y39" s="727">
        <f t="shared" si="153"/>
        <v>0</v>
      </c>
      <c r="Z39" s="730">
        <f t="shared" si="153"/>
        <v>0</v>
      </c>
      <c r="AA39" s="731" t="s">
        <v>43</v>
      </c>
      <c r="AB39" s="732"/>
      <c r="AC39" s="733">
        <f t="shared" si="144"/>
        <v>0</v>
      </c>
      <c r="AD39" s="734">
        <f t="shared" si="145"/>
        <v>0</v>
      </c>
      <c r="AE39" s="734">
        <f t="shared" si="146"/>
        <v>0</v>
      </c>
      <c r="AF39" s="734">
        <f t="shared" si="147"/>
        <v>0</v>
      </c>
      <c r="AG39" s="734">
        <f t="shared" si="148"/>
        <v>0</v>
      </c>
      <c r="AH39" s="734">
        <f t="shared" si="149"/>
        <v>0</v>
      </c>
      <c r="AI39" s="734">
        <f t="shared" si="150"/>
        <v>0</v>
      </c>
      <c r="AJ39" s="735"/>
      <c r="AK39" s="736"/>
      <c r="AL39" s="736"/>
      <c r="AM39" s="737"/>
    </row>
    <row r="40" ht="54.950000000000003" customHeight="1">
      <c r="A40" s="738" t="s">
        <v>44</v>
      </c>
      <c r="B40" s="739"/>
      <c r="C40" s="740">
        <f>SUM(C20:C23)</f>
        <v>0</v>
      </c>
      <c r="D40" s="741">
        <f t="shared" ref="D40:Z40" si="154">SUM(D20:D23)</f>
        <v>0</v>
      </c>
      <c r="E40" s="742">
        <f t="shared" si="154"/>
        <v>0</v>
      </c>
      <c r="F40" s="743">
        <f t="shared" si="154"/>
        <v>0</v>
      </c>
      <c r="G40" s="744">
        <f t="shared" si="154"/>
        <v>0</v>
      </c>
      <c r="H40" s="741">
        <f t="shared" si="154"/>
        <v>0</v>
      </c>
      <c r="I40" s="742">
        <f t="shared" si="154"/>
        <v>0</v>
      </c>
      <c r="J40" s="743">
        <f t="shared" si="154"/>
        <v>0</v>
      </c>
      <c r="K40" s="744">
        <f t="shared" si="154"/>
        <v>0</v>
      </c>
      <c r="L40" s="741">
        <f t="shared" si="154"/>
        <v>0</v>
      </c>
      <c r="M40" s="742">
        <f t="shared" si="154"/>
        <v>0</v>
      </c>
      <c r="N40" s="743">
        <f t="shared" si="154"/>
        <v>0</v>
      </c>
      <c r="O40" s="744">
        <f t="shared" si="154"/>
        <v>0</v>
      </c>
      <c r="P40" s="741">
        <f t="shared" si="154"/>
        <v>0</v>
      </c>
      <c r="Q40" s="742">
        <f t="shared" si="154"/>
        <v>0</v>
      </c>
      <c r="R40" s="745">
        <f t="shared" si="154"/>
        <v>0</v>
      </c>
      <c r="S40" s="744">
        <f t="shared" si="154"/>
        <v>0</v>
      </c>
      <c r="T40" s="741">
        <f t="shared" si="154"/>
        <v>0</v>
      </c>
      <c r="U40" s="742">
        <f t="shared" si="154"/>
        <v>0</v>
      </c>
      <c r="V40" s="743">
        <f t="shared" si="154"/>
        <v>0</v>
      </c>
      <c r="W40" s="744">
        <f t="shared" si="154"/>
        <v>0</v>
      </c>
      <c r="X40" s="741">
        <f t="shared" si="154"/>
        <v>0</v>
      </c>
      <c r="Y40" s="742">
        <f t="shared" si="154"/>
        <v>0</v>
      </c>
      <c r="Z40" s="745">
        <f t="shared" si="154"/>
        <v>0</v>
      </c>
      <c r="AA40" s="746" t="s">
        <v>44</v>
      </c>
      <c r="AB40" s="747"/>
      <c r="AC40" s="748">
        <f t="shared" si="144"/>
        <v>0</v>
      </c>
      <c r="AD40" s="749">
        <f t="shared" si="145"/>
        <v>0</v>
      </c>
      <c r="AE40" s="749">
        <f t="shared" si="146"/>
        <v>0</v>
      </c>
      <c r="AF40" s="749">
        <f t="shared" si="147"/>
        <v>0</v>
      </c>
      <c r="AG40" s="749">
        <f t="shared" si="148"/>
        <v>0</v>
      </c>
      <c r="AH40" s="749">
        <f t="shared" si="149"/>
        <v>0</v>
      </c>
      <c r="AI40" s="749">
        <f t="shared" si="150"/>
        <v>0</v>
      </c>
      <c r="AJ40" s="750"/>
      <c r="AK40" s="751"/>
      <c r="AL40" s="751"/>
      <c r="AM40" s="752"/>
    </row>
    <row r="41" ht="54.950000000000003" customHeight="1">
      <c r="A41" s="753" t="s">
        <v>31</v>
      </c>
      <c r="B41" s="754"/>
      <c r="C41" s="755">
        <f>SUM(C12:C23)</f>
        <v>0</v>
      </c>
      <c r="D41" s="756">
        <f t="shared" ref="D41:Z41" si="155">SUM(D12:D23)</f>
        <v>0</v>
      </c>
      <c r="E41" s="757">
        <f t="shared" si="155"/>
        <v>0</v>
      </c>
      <c r="F41" s="758">
        <f t="shared" si="155"/>
        <v>0</v>
      </c>
      <c r="G41" s="759">
        <f t="shared" si="155"/>
        <v>0</v>
      </c>
      <c r="H41" s="756">
        <f t="shared" si="155"/>
        <v>0</v>
      </c>
      <c r="I41" s="757">
        <f t="shared" si="155"/>
        <v>0</v>
      </c>
      <c r="J41" s="758">
        <f t="shared" si="155"/>
        <v>0</v>
      </c>
      <c r="K41" s="759">
        <f t="shared" si="155"/>
        <v>0</v>
      </c>
      <c r="L41" s="756">
        <f t="shared" si="155"/>
        <v>0</v>
      </c>
      <c r="M41" s="757">
        <f t="shared" si="155"/>
        <v>0</v>
      </c>
      <c r="N41" s="758">
        <f t="shared" si="155"/>
        <v>0</v>
      </c>
      <c r="O41" s="759">
        <f t="shared" si="155"/>
        <v>0</v>
      </c>
      <c r="P41" s="756">
        <f t="shared" si="155"/>
        <v>0</v>
      </c>
      <c r="Q41" s="757">
        <f t="shared" si="155"/>
        <v>0</v>
      </c>
      <c r="R41" s="760">
        <f t="shared" si="155"/>
        <v>0</v>
      </c>
      <c r="S41" s="759">
        <f t="shared" si="155"/>
        <v>0</v>
      </c>
      <c r="T41" s="756">
        <f t="shared" si="155"/>
        <v>0</v>
      </c>
      <c r="U41" s="757">
        <f t="shared" si="155"/>
        <v>0</v>
      </c>
      <c r="V41" s="758">
        <f t="shared" si="155"/>
        <v>0</v>
      </c>
      <c r="W41" s="759">
        <f t="shared" si="155"/>
        <v>0</v>
      </c>
      <c r="X41" s="756">
        <f t="shared" si="155"/>
        <v>0</v>
      </c>
      <c r="Y41" s="757">
        <f t="shared" si="155"/>
        <v>0</v>
      </c>
      <c r="Z41" s="760">
        <f t="shared" si="155"/>
        <v>0</v>
      </c>
      <c r="AA41" s="761" t="s">
        <v>31</v>
      </c>
      <c r="AB41" s="762"/>
      <c r="AC41" s="763">
        <f t="shared" si="144"/>
        <v>0</v>
      </c>
      <c r="AD41" s="764">
        <f t="shared" si="145"/>
        <v>0</v>
      </c>
      <c r="AE41" s="764">
        <f t="shared" si="146"/>
        <v>0</v>
      </c>
      <c r="AF41" s="764">
        <f t="shared" si="147"/>
        <v>0</v>
      </c>
      <c r="AG41" s="764">
        <f t="shared" si="148"/>
        <v>0</v>
      </c>
      <c r="AH41" s="764">
        <f t="shared" si="149"/>
        <v>0</v>
      </c>
      <c r="AI41" s="764">
        <f t="shared" si="150"/>
        <v>0</v>
      </c>
      <c r="AJ41" s="765"/>
      <c r="AK41" s="766"/>
      <c r="AL41" s="766"/>
      <c r="AM41" s="767"/>
    </row>
    <row r="42" ht="54.950000000000003" customHeight="1">
      <c r="A42" s="768" t="str">
        <f>IF($AC$36=MAX($AC$36:$AC$40),A36,IF($AC$37=MAX($AC$36:$AC$40),A37,IF($AC$38=MAX($AC$36:$AC$40),A38,IF($AC$39=MAX($AC$36:$AC$40),A39,A40))))</f>
        <v xml:space="preserve">de 6:30 à 7:30</v>
      </c>
      <c r="B42" s="769"/>
      <c r="C42" s="770">
        <f>IF($AC$36=MAX($AC$36:$AC$40),C36,IF($AC$37=MAX($AC$36:$AC$40),C37,IF($AC$38=MAX($AC$36:$AC$40),C38,IF($AC$39=MAX($AC$36:$AC$40),C39,C40))))</f>
        <v>0</v>
      </c>
      <c r="D42" s="771">
        <f t="shared" ref="D42:Z42" si="156">IF($AC$36=MAX($AC$36:$AC$40),D36,IF($AC$37=MAX($AC$36:$AC$40),D37,IF($AC$38=MAX($AC$36:$AC$40),D38,IF($AC$39=MAX($AC$36:$AC$40),D39,D40))))</f>
        <v>0</v>
      </c>
      <c r="E42" s="772">
        <f t="shared" si="156"/>
        <v>0</v>
      </c>
      <c r="F42" s="773">
        <f t="shared" si="156"/>
        <v>0</v>
      </c>
      <c r="G42" s="774">
        <f t="shared" si="156"/>
        <v>0</v>
      </c>
      <c r="H42" s="771">
        <f t="shared" si="156"/>
        <v>0</v>
      </c>
      <c r="I42" s="772">
        <f t="shared" si="156"/>
        <v>0</v>
      </c>
      <c r="J42" s="773">
        <f t="shared" si="156"/>
        <v>0</v>
      </c>
      <c r="K42" s="774">
        <f t="shared" si="156"/>
        <v>0</v>
      </c>
      <c r="L42" s="771">
        <f t="shared" si="156"/>
        <v>0</v>
      </c>
      <c r="M42" s="772">
        <f t="shared" si="156"/>
        <v>0</v>
      </c>
      <c r="N42" s="773">
        <f t="shared" si="156"/>
        <v>0</v>
      </c>
      <c r="O42" s="774">
        <f t="shared" si="156"/>
        <v>0</v>
      </c>
      <c r="P42" s="771">
        <f t="shared" si="156"/>
        <v>0</v>
      </c>
      <c r="Q42" s="772">
        <f t="shared" si="156"/>
        <v>0</v>
      </c>
      <c r="R42" s="775">
        <f t="shared" si="156"/>
        <v>0</v>
      </c>
      <c r="S42" s="774">
        <f t="shared" si="156"/>
        <v>0</v>
      </c>
      <c r="T42" s="771">
        <f t="shared" si="156"/>
        <v>0</v>
      </c>
      <c r="U42" s="772">
        <f t="shared" si="156"/>
        <v>0</v>
      </c>
      <c r="V42" s="773">
        <f t="shared" si="156"/>
        <v>0</v>
      </c>
      <c r="W42" s="774">
        <f t="shared" si="156"/>
        <v>0</v>
      </c>
      <c r="X42" s="771">
        <f t="shared" si="156"/>
        <v>0</v>
      </c>
      <c r="Y42" s="772">
        <f t="shared" si="156"/>
        <v>0</v>
      </c>
      <c r="Z42" s="775">
        <f t="shared" si="156"/>
        <v>0</v>
      </c>
      <c r="AA42" s="776" t="str">
        <f>A42</f>
        <v xml:space="preserve">de 6:30 à 7:30</v>
      </c>
      <c r="AB42" s="777"/>
      <c r="AC42" s="778">
        <f t="shared" si="144"/>
        <v>0</v>
      </c>
      <c r="AD42" s="779">
        <f t="shared" si="145"/>
        <v>0</v>
      </c>
      <c r="AE42" s="779">
        <f t="shared" si="146"/>
        <v>0</v>
      </c>
      <c r="AF42" s="779">
        <f t="shared" si="147"/>
        <v>0</v>
      </c>
      <c r="AG42" s="779">
        <f t="shared" si="148"/>
        <v>0</v>
      </c>
      <c r="AH42" s="779">
        <f t="shared" si="149"/>
        <v>0</v>
      </c>
      <c r="AI42" s="779">
        <f t="shared" si="150"/>
        <v>0</v>
      </c>
      <c r="AJ42" s="780"/>
      <c r="AK42" s="781"/>
      <c r="AL42" s="781"/>
      <c r="AM42" s="782"/>
    </row>
    <row r="43" ht="12.75" customHeight="1">
      <c r="A43" s="783"/>
      <c r="B43" s="784"/>
      <c r="C43" s="784"/>
      <c r="D43" s="784"/>
      <c r="E43" s="784"/>
      <c r="F43" s="784"/>
      <c r="G43" s="784"/>
      <c r="H43" s="784"/>
      <c r="I43" s="784"/>
      <c r="J43" s="784"/>
      <c r="K43" s="784"/>
      <c r="L43" s="784"/>
      <c r="M43" s="784"/>
      <c r="N43" s="784"/>
      <c r="O43" s="784"/>
      <c r="P43" s="784"/>
      <c r="Q43" s="784"/>
      <c r="R43" s="784"/>
      <c r="S43" s="783"/>
      <c r="T43" s="784"/>
      <c r="U43" s="784"/>
      <c r="V43" s="784"/>
      <c r="W43" s="784"/>
      <c r="X43" s="784"/>
      <c r="Y43" s="784"/>
      <c r="Z43" s="784"/>
      <c r="AA43" s="785"/>
      <c r="AB43" s="785"/>
      <c r="AC43" s="784"/>
      <c r="AD43" s="784"/>
      <c r="AE43" s="783"/>
      <c r="AF43" s="784"/>
      <c r="AG43" s="784"/>
      <c r="AH43" s="784"/>
      <c r="AI43" s="784"/>
      <c r="AJ43" s="785"/>
      <c r="AK43" s="785"/>
      <c r="AL43" s="786"/>
      <c r="AM43" s="786"/>
    </row>
    <row r="44" ht="32.25" customHeight="1">
      <c r="A44" s="787"/>
      <c r="B44" s="785"/>
      <c r="C44" s="788"/>
      <c r="D44" s="788"/>
      <c r="E44" s="788"/>
      <c r="F44" s="788"/>
      <c r="G44" s="788"/>
      <c r="H44" s="788"/>
      <c r="I44" s="788"/>
      <c r="J44" s="788"/>
      <c r="K44" s="788"/>
      <c r="L44" s="788"/>
      <c r="M44" s="788"/>
      <c r="N44" s="788"/>
      <c r="O44" s="788"/>
      <c r="P44" s="788"/>
      <c r="Q44" s="788"/>
      <c r="R44" s="788"/>
      <c r="S44" s="788"/>
      <c r="T44" s="788"/>
      <c r="U44" s="788"/>
      <c r="V44" s="788"/>
      <c r="W44" s="788"/>
      <c r="X44" s="788"/>
      <c r="Y44" s="788"/>
      <c r="Z44" s="788"/>
      <c r="AA44" s="787"/>
      <c r="AB44" s="785"/>
      <c r="AC44" s="789"/>
      <c r="AD44" s="790" t="s">
        <v>45</v>
      </c>
      <c r="AE44" s="790" t="s">
        <v>46</v>
      </c>
      <c r="AF44" s="790" t="s">
        <v>47</v>
      </c>
      <c r="AG44" s="790" t="s">
        <v>59</v>
      </c>
      <c r="AH44" s="790" t="s">
        <v>60</v>
      </c>
      <c r="AI44" s="790" t="s">
        <v>61</v>
      </c>
      <c r="AJ44" s="791"/>
      <c r="AK44" s="792"/>
      <c r="AL44" s="792"/>
      <c r="AM44" s="786"/>
    </row>
    <row r="45" ht="22.699999999999999" customHeight="1">
      <c r="A45" s="787"/>
      <c r="B45" s="785"/>
      <c r="C45" s="793"/>
      <c r="D45" s="793"/>
      <c r="E45" s="793"/>
      <c r="F45" s="793"/>
      <c r="G45" s="793"/>
      <c r="H45" s="793"/>
      <c r="I45" s="793"/>
      <c r="J45" s="793"/>
      <c r="K45" s="793"/>
      <c r="L45" s="793"/>
      <c r="M45" s="793"/>
      <c r="N45" s="793"/>
      <c r="O45" s="793"/>
      <c r="P45" s="793"/>
      <c r="Q45" s="793"/>
      <c r="R45" s="793"/>
      <c r="S45" s="793"/>
      <c r="T45" s="793"/>
      <c r="U45" s="793"/>
      <c r="V45" s="793"/>
      <c r="W45" s="793"/>
      <c r="X45" s="793"/>
      <c r="Y45" s="793"/>
      <c r="Z45" s="793"/>
      <c r="AA45" s="787"/>
      <c r="AB45" s="785"/>
      <c r="AC45" s="789"/>
      <c r="AD45" s="794"/>
      <c r="AE45" s="794"/>
      <c r="AF45" s="794"/>
      <c r="AG45" s="794"/>
      <c r="AH45" s="794"/>
      <c r="AI45" s="794"/>
      <c r="AJ45" s="791"/>
      <c r="AK45" s="792"/>
      <c r="AL45" s="792"/>
      <c r="AM45" s="786"/>
    </row>
    <row r="46" ht="18.600000000000001" customHeight="1">
      <c r="A46" s="787"/>
      <c r="B46" s="785"/>
      <c r="C46" s="795"/>
      <c r="D46" s="795"/>
      <c r="E46" s="795"/>
      <c r="F46" s="795"/>
      <c r="G46" s="795"/>
      <c r="H46" s="795"/>
      <c r="I46" s="795"/>
      <c r="J46" s="795"/>
      <c r="K46" s="795"/>
      <c r="L46" s="795"/>
      <c r="M46" s="795"/>
      <c r="N46" s="795"/>
      <c r="O46" s="795"/>
      <c r="P46" s="795"/>
      <c r="Q46" s="795"/>
      <c r="R46" s="795"/>
      <c r="S46" s="795"/>
      <c r="T46" s="795"/>
      <c r="U46" s="795"/>
      <c r="V46" s="795"/>
      <c r="W46" s="795"/>
      <c r="X46" s="795"/>
      <c r="Y46" s="795"/>
      <c r="Z46" s="795"/>
      <c r="AA46" s="787"/>
      <c r="AB46" s="785"/>
      <c r="AC46" s="789"/>
      <c r="AD46" s="794"/>
      <c r="AE46" s="794"/>
      <c r="AF46" s="794"/>
      <c r="AG46" s="794"/>
      <c r="AH46" s="794"/>
      <c r="AI46" s="794"/>
      <c r="AJ46" s="791"/>
      <c r="AK46" s="792"/>
      <c r="AL46" s="792"/>
      <c r="AM46" s="786"/>
    </row>
    <row r="47" ht="20.25">
      <c r="A47" s="796"/>
      <c r="B47" s="796"/>
      <c r="C47" s="797"/>
      <c r="D47" s="797"/>
      <c r="E47" s="797"/>
      <c r="F47" s="797"/>
      <c r="G47" s="797"/>
      <c r="H47" s="797"/>
      <c r="I47" s="797"/>
      <c r="J47" s="797"/>
      <c r="K47" s="797"/>
      <c r="L47" s="797"/>
      <c r="M47" s="797"/>
      <c r="N47" s="797"/>
      <c r="O47" s="797"/>
      <c r="P47" s="797"/>
      <c r="Q47" s="797"/>
      <c r="R47" s="797"/>
      <c r="S47" s="797"/>
      <c r="T47" s="797"/>
      <c r="U47" s="797"/>
      <c r="V47" s="797"/>
      <c r="W47" s="797"/>
      <c r="X47" s="797"/>
      <c r="Y47" s="797"/>
      <c r="Z47" s="797"/>
      <c r="AA47" s="796"/>
      <c r="AB47" s="796"/>
      <c r="AC47" s="789"/>
      <c r="AD47" s="798"/>
      <c r="AE47" s="798"/>
      <c r="AF47" s="798"/>
      <c r="AG47" s="798"/>
      <c r="AH47" s="798"/>
      <c r="AI47" s="798"/>
      <c r="AJ47" s="791"/>
      <c r="AK47" s="792"/>
      <c r="AL47" s="792"/>
      <c r="AM47" s="786"/>
    </row>
    <row r="48" ht="54.950000000000003" customHeight="1">
      <c r="A48" s="796"/>
      <c r="B48" s="796"/>
      <c r="C48" s="799"/>
      <c r="D48" s="799"/>
      <c r="E48" s="799"/>
      <c r="F48" s="799"/>
      <c r="G48" s="799"/>
      <c r="H48" s="799"/>
      <c r="I48" s="799"/>
      <c r="J48" s="799"/>
      <c r="K48" s="799"/>
      <c r="L48" s="799"/>
      <c r="M48" s="799"/>
      <c r="N48" s="799"/>
      <c r="O48" s="799"/>
      <c r="P48" s="799"/>
      <c r="Q48" s="799"/>
      <c r="R48" s="799"/>
      <c r="S48" s="799"/>
      <c r="T48" s="799"/>
      <c r="U48" s="799"/>
      <c r="V48" s="799"/>
      <c r="W48" s="799"/>
      <c r="X48" s="799"/>
      <c r="Y48" s="799"/>
      <c r="Z48" s="799"/>
      <c r="AA48" s="796"/>
      <c r="AB48" s="796"/>
      <c r="AC48" s="800"/>
      <c r="AD48" s="801">
        <f t="shared" ref="AD48:AD54" si="157">(C36+E36+G36+I36+K36+M36+O36+Q36+S36+U36+W36+Y36)</f>
        <v>0</v>
      </c>
      <c r="AE48" s="801">
        <f t="shared" ref="AE48:AE54" si="158">(E36+F36+I36+J36+M36+N36+Q36+R36+U36+V36+Y36+Z36)</f>
        <v>0</v>
      </c>
      <c r="AF48" s="801">
        <f t="shared" ref="AF48:AF54" si="159">(E36+I36+M36+Q36+U36+Y36)</f>
        <v>0</v>
      </c>
      <c r="AG48" s="801">
        <f t="shared" ref="AG48:AG54" si="160">SUM(G36:J36,O36:R36)</f>
        <v>0</v>
      </c>
      <c r="AH48" s="801">
        <f t="shared" ref="AH48:AH54" si="161">SUM(K36:R36)</f>
        <v>0</v>
      </c>
      <c r="AI48" s="801">
        <f t="shared" ref="AI48:AI54" si="162">SUM(C36:J36)</f>
        <v>0</v>
      </c>
      <c r="AJ48" s="802"/>
      <c r="AK48" s="803"/>
      <c r="AL48" s="803"/>
      <c r="AM48" s="786"/>
    </row>
    <row r="49" ht="54.950000000000003" customHeight="1">
      <c r="A49" s="796"/>
      <c r="B49" s="796"/>
      <c r="C49" s="799"/>
      <c r="D49" s="799"/>
      <c r="E49" s="799"/>
      <c r="F49" s="799"/>
      <c r="G49" s="799"/>
      <c r="H49" s="799"/>
      <c r="I49" s="799"/>
      <c r="J49" s="799"/>
      <c r="K49" s="799"/>
      <c r="L49" s="799"/>
      <c r="M49" s="799"/>
      <c r="N49" s="799"/>
      <c r="O49" s="799"/>
      <c r="P49" s="799"/>
      <c r="Q49" s="799"/>
      <c r="R49" s="799"/>
      <c r="S49" s="799"/>
      <c r="T49" s="799"/>
      <c r="U49" s="799"/>
      <c r="V49" s="799"/>
      <c r="W49" s="799"/>
      <c r="X49" s="799"/>
      <c r="Y49" s="799"/>
      <c r="Z49" s="799"/>
      <c r="AA49" s="796"/>
      <c r="AB49" s="796"/>
      <c r="AC49" s="800"/>
      <c r="AD49" s="804">
        <f t="shared" si="157"/>
        <v>0</v>
      </c>
      <c r="AE49" s="804">
        <f t="shared" si="158"/>
        <v>0</v>
      </c>
      <c r="AF49" s="804">
        <f t="shared" si="159"/>
        <v>0</v>
      </c>
      <c r="AG49" s="804">
        <f t="shared" si="160"/>
        <v>0</v>
      </c>
      <c r="AH49" s="804">
        <f t="shared" si="161"/>
        <v>0</v>
      </c>
      <c r="AI49" s="804">
        <f t="shared" si="162"/>
        <v>0</v>
      </c>
      <c r="AJ49" s="802"/>
      <c r="AK49" s="803"/>
      <c r="AL49" s="803"/>
      <c r="AM49" s="786"/>
    </row>
    <row r="50" ht="54.950000000000003" customHeight="1">
      <c r="A50" s="796"/>
      <c r="B50" s="796"/>
      <c r="C50" s="799"/>
      <c r="D50" s="799"/>
      <c r="E50" s="799"/>
      <c r="F50" s="799"/>
      <c r="G50" s="799"/>
      <c r="H50" s="799"/>
      <c r="I50" s="799"/>
      <c r="J50" s="799"/>
      <c r="K50" s="799"/>
      <c r="L50" s="799"/>
      <c r="M50" s="799"/>
      <c r="N50" s="799"/>
      <c r="O50" s="799"/>
      <c r="P50" s="799"/>
      <c r="Q50" s="799"/>
      <c r="R50" s="799"/>
      <c r="S50" s="799"/>
      <c r="T50" s="799"/>
      <c r="U50" s="799"/>
      <c r="V50" s="799"/>
      <c r="W50" s="799"/>
      <c r="X50" s="799"/>
      <c r="Y50" s="799"/>
      <c r="Z50" s="799"/>
      <c r="AA50" s="796"/>
      <c r="AB50" s="796"/>
      <c r="AC50" s="800"/>
      <c r="AD50" s="804">
        <f t="shared" si="157"/>
        <v>0</v>
      </c>
      <c r="AE50" s="804">
        <f t="shared" si="158"/>
        <v>0</v>
      </c>
      <c r="AF50" s="804">
        <f t="shared" si="159"/>
        <v>0</v>
      </c>
      <c r="AG50" s="804">
        <f t="shared" si="160"/>
        <v>0</v>
      </c>
      <c r="AH50" s="804">
        <f t="shared" si="161"/>
        <v>0</v>
      </c>
      <c r="AI50" s="804">
        <f t="shared" si="162"/>
        <v>0</v>
      </c>
      <c r="AJ50" s="802"/>
      <c r="AK50" s="803"/>
      <c r="AL50" s="803"/>
      <c r="AM50" s="786"/>
    </row>
    <row r="51" ht="54.950000000000003" customHeight="1">
      <c r="A51" s="796"/>
      <c r="B51" s="796"/>
      <c r="C51" s="799"/>
      <c r="D51" s="799"/>
      <c r="E51" s="799"/>
      <c r="F51" s="799"/>
      <c r="G51" s="799"/>
      <c r="H51" s="799"/>
      <c r="I51" s="799"/>
      <c r="J51" s="799"/>
      <c r="K51" s="799"/>
      <c r="L51" s="799"/>
      <c r="M51" s="799"/>
      <c r="N51" s="799"/>
      <c r="O51" s="799"/>
      <c r="P51" s="799"/>
      <c r="Q51" s="799"/>
      <c r="R51" s="799"/>
      <c r="S51" s="799"/>
      <c r="T51" s="799"/>
      <c r="U51" s="799"/>
      <c r="V51" s="799"/>
      <c r="W51" s="799"/>
      <c r="X51" s="799"/>
      <c r="Y51" s="799"/>
      <c r="Z51" s="799"/>
      <c r="AA51" s="796"/>
      <c r="AB51" s="796"/>
      <c r="AC51" s="800"/>
      <c r="AD51" s="804">
        <f t="shared" si="157"/>
        <v>0</v>
      </c>
      <c r="AE51" s="804">
        <f t="shared" si="158"/>
        <v>0</v>
      </c>
      <c r="AF51" s="804">
        <f t="shared" si="159"/>
        <v>0</v>
      </c>
      <c r="AG51" s="804">
        <f t="shared" si="160"/>
        <v>0</v>
      </c>
      <c r="AH51" s="804">
        <f t="shared" si="161"/>
        <v>0</v>
      </c>
      <c r="AI51" s="804">
        <f t="shared" si="162"/>
        <v>0</v>
      </c>
      <c r="AJ51" s="802"/>
      <c r="AK51" s="803"/>
      <c r="AL51" s="803"/>
      <c r="AM51" s="786"/>
    </row>
    <row r="52" ht="54.950000000000003" customHeight="1">
      <c r="A52" s="796"/>
      <c r="B52" s="796"/>
      <c r="C52" s="799"/>
      <c r="D52" s="799"/>
      <c r="E52" s="799"/>
      <c r="F52" s="799"/>
      <c r="G52" s="799"/>
      <c r="H52" s="799"/>
      <c r="I52" s="799"/>
      <c r="J52" s="799"/>
      <c r="K52" s="799"/>
      <c r="L52" s="799"/>
      <c r="M52" s="799"/>
      <c r="N52" s="799"/>
      <c r="O52" s="799"/>
      <c r="P52" s="799"/>
      <c r="Q52" s="799"/>
      <c r="R52" s="799"/>
      <c r="S52" s="799"/>
      <c r="T52" s="799"/>
      <c r="U52" s="799"/>
      <c r="V52" s="799"/>
      <c r="W52" s="799"/>
      <c r="X52" s="799"/>
      <c r="Y52" s="799"/>
      <c r="Z52" s="799"/>
      <c r="AA52" s="796"/>
      <c r="AB52" s="796"/>
      <c r="AC52" s="800"/>
      <c r="AD52" s="805">
        <f t="shared" si="157"/>
        <v>0</v>
      </c>
      <c r="AE52" s="805">
        <f t="shared" si="158"/>
        <v>0</v>
      </c>
      <c r="AF52" s="805">
        <f t="shared" si="159"/>
        <v>0</v>
      </c>
      <c r="AG52" s="805">
        <f t="shared" si="160"/>
        <v>0</v>
      </c>
      <c r="AH52" s="805">
        <f t="shared" si="161"/>
        <v>0</v>
      </c>
      <c r="AI52" s="805">
        <f t="shared" si="162"/>
        <v>0</v>
      </c>
      <c r="AJ52" s="802"/>
      <c r="AK52" s="803"/>
      <c r="AL52" s="803"/>
      <c r="AM52" s="786"/>
    </row>
    <row r="53" ht="54.950000000000003" customHeight="1">
      <c r="A53" s="796"/>
      <c r="B53" s="796"/>
      <c r="C53" s="799"/>
      <c r="D53" s="799"/>
      <c r="E53" s="799"/>
      <c r="F53" s="799"/>
      <c r="G53" s="799"/>
      <c r="H53" s="799"/>
      <c r="I53" s="799"/>
      <c r="J53" s="799"/>
      <c r="K53" s="799"/>
      <c r="L53" s="799"/>
      <c r="M53" s="799"/>
      <c r="N53" s="799"/>
      <c r="O53" s="799"/>
      <c r="P53" s="799"/>
      <c r="Q53" s="799"/>
      <c r="R53" s="799"/>
      <c r="S53" s="799"/>
      <c r="T53" s="799"/>
      <c r="U53" s="799"/>
      <c r="V53" s="799"/>
      <c r="W53" s="799"/>
      <c r="X53" s="799"/>
      <c r="Y53" s="799"/>
      <c r="Z53" s="799"/>
      <c r="AA53" s="796"/>
      <c r="AB53" s="796"/>
      <c r="AC53" s="800"/>
      <c r="AD53" s="806">
        <f t="shared" si="157"/>
        <v>0</v>
      </c>
      <c r="AE53" s="806">
        <f t="shared" si="158"/>
        <v>0</v>
      </c>
      <c r="AF53" s="806">
        <f t="shared" si="159"/>
        <v>0</v>
      </c>
      <c r="AG53" s="806">
        <f t="shared" si="160"/>
        <v>0</v>
      </c>
      <c r="AH53" s="806">
        <f t="shared" si="161"/>
        <v>0</v>
      </c>
      <c r="AI53" s="806">
        <f t="shared" si="162"/>
        <v>0</v>
      </c>
      <c r="AJ53" s="802"/>
      <c r="AK53" s="803"/>
      <c r="AL53" s="803"/>
      <c r="AM53" s="786"/>
    </row>
    <row r="54" ht="54.950000000000003" customHeight="1">
      <c r="A54" s="796"/>
      <c r="B54" s="796"/>
      <c r="C54" s="799"/>
      <c r="D54" s="799"/>
      <c r="E54" s="799"/>
      <c r="F54" s="799"/>
      <c r="G54" s="799"/>
      <c r="H54" s="799"/>
      <c r="I54" s="799"/>
      <c r="J54" s="799"/>
      <c r="K54" s="799"/>
      <c r="L54" s="799"/>
      <c r="M54" s="799"/>
      <c r="N54" s="799"/>
      <c r="O54" s="799"/>
      <c r="P54" s="799"/>
      <c r="Q54" s="799"/>
      <c r="R54" s="799"/>
      <c r="S54" s="799"/>
      <c r="T54" s="799"/>
      <c r="U54" s="799"/>
      <c r="V54" s="799"/>
      <c r="W54" s="799"/>
      <c r="X54" s="799"/>
      <c r="Y54" s="799"/>
      <c r="Z54" s="799"/>
      <c r="AA54" s="796"/>
      <c r="AB54" s="796"/>
      <c r="AC54" s="800"/>
      <c r="AD54" s="807">
        <f t="shared" si="157"/>
        <v>0</v>
      </c>
      <c r="AE54" s="807">
        <f t="shared" si="158"/>
        <v>0</v>
      </c>
      <c r="AF54" s="807">
        <f t="shared" si="159"/>
        <v>0</v>
      </c>
      <c r="AG54" s="807">
        <f t="shared" si="160"/>
        <v>0</v>
      </c>
      <c r="AH54" s="807">
        <f t="shared" si="161"/>
        <v>0</v>
      </c>
      <c r="AI54" s="807">
        <f t="shared" si="162"/>
        <v>0</v>
      </c>
      <c r="AJ54" s="802"/>
      <c r="AK54" s="803"/>
      <c r="AL54" s="803"/>
      <c r="AM54" s="786"/>
    </row>
    <row r="55" ht="15"/>
  </sheetData>
  <mergeCells count="79">
    <mergeCell ref="C8:J8"/>
    <mergeCell ref="K8:R8"/>
    <mergeCell ref="S8:Z8"/>
    <mergeCell ref="C9:F9"/>
    <mergeCell ref="G9:J9"/>
    <mergeCell ref="K9:N9"/>
    <mergeCell ref="O9:R9"/>
    <mergeCell ref="S9:V9"/>
    <mergeCell ref="W9:Z9"/>
    <mergeCell ref="Y10:Z10"/>
    <mergeCell ref="C10:D10"/>
    <mergeCell ref="E10:F10"/>
    <mergeCell ref="G10:H10"/>
    <mergeCell ref="I10:J10"/>
    <mergeCell ref="K10:L10"/>
    <mergeCell ref="M10:N10"/>
    <mergeCell ref="O10:P10"/>
    <mergeCell ref="Q10:R10"/>
    <mergeCell ref="S10:T10"/>
    <mergeCell ref="U10:V10"/>
    <mergeCell ref="W10:X10"/>
    <mergeCell ref="AC32:AC35"/>
    <mergeCell ref="AD32:AD35"/>
    <mergeCell ref="C33:F33"/>
    <mergeCell ref="G33:J33"/>
    <mergeCell ref="K33:N33"/>
    <mergeCell ref="O33:R33"/>
    <mergeCell ref="S33:V33"/>
    <mergeCell ref="U34:V34"/>
    <mergeCell ref="W33:Z33"/>
    <mergeCell ref="C34:D34"/>
    <mergeCell ref="E34:F34"/>
    <mergeCell ref="G34:H34"/>
    <mergeCell ref="C32:J32"/>
    <mergeCell ref="K32:R32"/>
    <mergeCell ref="S32:Z32"/>
    <mergeCell ref="W34:X34"/>
    <mergeCell ref="AF32:AF35"/>
    <mergeCell ref="AH32:AH35"/>
    <mergeCell ref="AI32:AI35"/>
    <mergeCell ref="AG32:AG35"/>
    <mergeCell ref="AE32:AE35"/>
    <mergeCell ref="Y34:Z34"/>
    <mergeCell ref="A35:B35"/>
    <mergeCell ref="AA35:AB35"/>
    <mergeCell ref="I34:J34"/>
    <mergeCell ref="K34:L34"/>
    <mergeCell ref="M34:N34"/>
    <mergeCell ref="O34:P34"/>
    <mergeCell ref="Q34:R34"/>
    <mergeCell ref="S34:T34"/>
    <mergeCell ref="A37:B37"/>
    <mergeCell ref="AA37:AB37"/>
    <mergeCell ref="A38:B38"/>
    <mergeCell ref="AA38:AB38"/>
    <mergeCell ref="A36:B36"/>
    <mergeCell ref="AA36:AB36"/>
    <mergeCell ref="A41:B41"/>
    <mergeCell ref="AA41:AB41"/>
    <mergeCell ref="A42:B42"/>
    <mergeCell ref="AA42:AB42"/>
    <mergeCell ref="A39:B39"/>
    <mergeCell ref="AA39:AB39"/>
    <mergeCell ref="A40:B40"/>
    <mergeCell ref="AA40:AB40"/>
    <mergeCell ref="AD44:AD47"/>
    <mergeCell ref="AE44:AE47"/>
    <mergeCell ref="AF44:AF47"/>
    <mergeCell ref="AG44:AG47"/>
    <mergeCell ref="AH44:AH47"/>
    <mergeCell ref="AI44:AI47"/>
    <mergeCell ref="AJ32:AM35"/>
    <mergeCell ref="AJ36:AM36"/>
    <mergeCell ref="AJ37:AM37"/>
    <mergeCell ref="AJ38:AM38"/>
    <mergeCell ref="AJ39:AM39"/>
    <mergeCell ref="AJ40:AM40"/>
    <mergeCell ref="AJ41:AM41"/>
    <mergeCell ref="AJ42:AM42"/>
  </mergeCells>
  <printOptions headings="0" gridLines="0"/>
  <pageMargins left="0.39370078740157477" right="0.39370078740157477" top="0.39370078740157477" bottom="0.39370078740157477" header="0.59055118110236238" footer="0.59055118110236238"/>
  <pageSetup paperSize="9" scale="38" fitToWidth="1" fitToHeight="0" pageOrder="overThenDown" orientation="landscape" usePrinterDefaults="1" blackAndWhite="0" draft="0" cellComments="none" useFirstPageNumber="1" errors="displayed" horizontalDpi="600" verticalDpi="600" copies="1"/>
  <headerFooter/>
  <rowBreaks count="1" manualBreakCount="1">
    <brk id="24" man="1" max="16383"/>
  </rowBreaks>
  <colBreaks count="2" manualBreakCount="2">
    <brk id="26" man="1" max="53" min="24"/>
    <brk id="26" man="1" max="22"/>
  </colBreaks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tabColor rgb="FF00B050"/>
    <outlinePr applyStyles="0" summaryBelow="1" summaryRight="1" showOutlineSymbols="1"/>
    <pageSetUpPr autoPageBreaks="1" fitToPage="1"/>
  </sheetPr>
  <sheetViews>
    <sheetView view="pageBreakPreview" zoomScale="40" workbookViewId="0">
      <selection activeCell="AE20" activeCellId="0" sqref="AE20"/>
    </sheetView>
  </sheetViews>
  <sheetFormatPr baseColWidth="10" defaultRowHeight="14.25" outlineLevelRow="1"/>
  <cols>
    <col customWidth="1" min="1" max="1" style="617" width="9.125"/>
    <col customWidth="1" min="2" max="2" style="617" width="13.75"/>
    <col customWidth="1" min="3" max="10" style="617" width="12.875"/>
    <col customWidth="1" min="11" max="11" style="617" width="2.625"/>
    <col customWidth="1" min="12" max="19" style="617" width="12.875"/>
    <col customWidth="1" min="20" max="20" style="617" width="2.625"/>
    <col customWidth="1" min="21" max="28" style="617" width="12.875"/>
    <col customWidth="1" min="29" max="29" style="617" width="9.125"/>
    <col customWidth="1" min="30" max="30" style="617" width="13.75"/>
    <col customWidth="1" min="31" max="38" style="617" width="21.125"/>
    <col customWidth="1" min="39" max="39" style="617" width="82.625"/>
    <col customWidth="1" min="40" max="40" style="617" width="21.125"/>
    <col customWidth="1" min="41" max="45" style="617" width="10.625"/>
    <col min="46" max="16384" style="617" width="11"/>
  </cols>
  <sheetData>
    <row r="1" ht="52.5" customHeight="1">
      <c r="A1" s="2" t="s">
        <v>0</v>
      </c>
      <c r="B1" s="3" t="s">
        <v>97</v>
      </c>
      <c r="C1" s="4"/>
      <c r="D1" s="4"/>
      <c r="E1" s="4"/>
      <c r="F1" s="5"/>
      <c r="G1" s="5"/>
      <c r="H1" s="4"/>
      <c r="I1" s="4"/>
      <c r="J1" s="5"/>
      <c r="K1" s="5"/>
      <c r="L1" s="5"/>
      <c r="M1" s="6"/>
      <c r="N1" s="7" t="s">
        <v>2</v>
      </c>
      <c r="O1" s="8" t="s">
        <v>3</v>
      </c>
      <c r="P1" s="4"/>
      <c r="Q1" s="4"/>
      <c r="R1" s="4"/>
      <c r="S1" s="4"/>
      <c r="T1" s="4"/>
      <c r="U1" s="4"/>
      <c r="V1" s="4"/>
      <c r="W1" s="4"/>
      <c r="X1" s="10"/>
      <c r="Y1" s="11"/>
      <c r="Z1" s="11"/>
      <c r="AA1" s="11"/>
      <c r="AB1" s="12"/>
    </row>
    <row r="2" ht="52.5" customHeight="1">
      <c r="A2" s="13" t="s">
        <v>4</v>
      </c>
      <c r="B2" s="14"/>
      <c r="C2" s="14"/>
      <c r="D2" s="14"/>
      <c r="E2" s="14"/>
      <c r="F2" s="14"/>
      <c r="G2" s="3" t="s">
        <v>98</v>
      </c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10"/>
      <c r="Y2" s="14"/>
      <c r="Z2" s="14"/>
      <c r="AA2" s="14"/>
      <c r="AB2" s="14"/>
    </row>
    <row r="3" ht="52.5" customHeight="1">
      <c r="A3" s="13" t="s">
        <v>6</v>
      </c>
      <c r="B3" s="14"/>
      <c r="C3" s="3" t="s">
        <v>7</v>
      </c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10"/>
      <c r="Y3" s="14"/>
      <c r="Z3" s="14"/>
      <c r="AA3" s="14"/>
      <c r="AB3" s="15"/>
    </row>
    <row r="4" ht="24.949999999999999" customHeight="1">
      <c r="A4" s="13"/>
      <c r="B4" s="14"/>
      <c r="C4" s="14"/>
      <c r="D4" s="14"/>
      <c r="E4" s="14"/>
      <c r="F4" s="14"/>
      <c r="G4" s="14"/>
      <c r="H4" s="14"/>
      <c r="I4" s="14"/>
      <c r="J4" s="14"/>
      <c r="K4" s="14"/>
      <c r="L4" s="14"/>
      <c r="M4" s="14"/>
      <c r="N4" s="14"/>
      <c r="O4" s="14"/>
      <c r="P4" s="14"/>
      <c r="Q4" s="14"/>
      <c r="R4" s="14"/>
      <c r="S4" s="14"/>
      <c r="T4" s="14"/>
      <c r="U4" s="14"/>
      <c r="V4" s="14"/>
      <c r="W4" s="14"/>
      <c r="X4" s="14"/>
      <c r="Y4" s="14"/>
      <c r="Z4" s="14"/>
      <c r="AA4" s="14"/>
      <c r="AB4" s="15"/>
    </row>
    <row r="5" s="808" customFormat="1" ht="75" customHeight="1">
      <c r="A5" s="17" t="s">
        <v>8</v>
      </c>
      <c r="B5" s="18"/>
      <c r="C5" s="19" t="s">
        <v>99</v>
      </c>
      <c r="D5" s="20"/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2" t="s">
        <v>10</v>
      </c>
      <c r="Q5" s="22"/>
      <c r="R5" s="21" t="s">
        <v>11</v>
      </c>
      <c r="S5" s="21"/>
      <c r="T5" s="21"/>
      <c r="U5" s="21"/>
      <c r="V5" s="21"/>
      <c r="W5" s="21"/>
      <c r="X5" s="21"/>
      <c r="Y5" s="21"/>
      <c r="Z5" s="21"/>
      <c r="AA5" s="21"/>
      <c r="AB5" s="21"/>
      <c r="AC5" s="21"/>
    </row>
    <row r="6" ht="8.0999999999999996" customHeight="1">
      <c r="A6" s="23"/>
      <c r="B6" s="14"/>
      <c r="C6" s="14"/>
      <c r="D6" s="14"/>
      <c r="E6" s="14"/>
      <c r="F6" s="14"/>
      <c r="G6" s="14"/>
      <c r="H6" s="14"/>
      <c r="I6" s="14"/>
      <c r="J6" s="14"/>
      <c r="K6" s="14"/>
      <c r="L6" s="14"/>
      <c r="M6" s="14"/>
      <c r="N6" s="14"/>
      <c r="O6" s="14"/>
      <c r="P6" s="14"/>
      <c r="Q6" s="14"/>
      <c r="R6" s="14"/>
      <c r="S6" s="15"/>
      <c r="T6" s="15"/>
      <c r="U6" s="14"/>
      <c r="V6" s="14"/>
      <c r="W6" s="14"/>
      <c r="X6" s="14"/>
      <c r="Y6" s="14"/>
      <c r="Z6" s="14"/>
      <c r="AA6" s="14"/>
      <c r="AB6" s="15"/>
    </row>
    <row r="7" ht="32.25" customHeight="1">
      <c r="A7" s="13"/>
      <c r="B7" s="14"/>
      <c r="C7" s="24" t="s">
        <v>93</v>
      </c>
      <c r="D7" s="25"/>
      <c r="E7" s="25"/>
      <c r="F7" s="25"/>
      <c r="G7" s="25"/>
      <c r="H7" s="25"/>
      <c r="I7" s="25"/>
      <c r="J7" s="25"/>
      <c r="K7" s="253"/>
      <c r="L7" s="25" t="s">
        <v>29</v>
      </c>
      <c r="M7" s="25"/>
      <c r="N7" s="25"/>
      <c r="O7" s="25"/>
      <c r="P7" s="25"/>
      <c r="Q7" s="25"/>
      <c r="R7" s="25"/>
      <c r="S7" s="27"/>
      <c r="T7" s="254"/>
      <c r="U7" s="25" t="s">
        <v>84</v>
      </c>
      <c r="V7" s="25"/>
      <c r="W7" s="25"/>
      <c r="X7" s="25"/>
      <c r="Y7" s="25"/>
      <c r="Z7" s="25"/>
      <c r="AA7" s="25"/>
      <c r="AB7" s="27"/>
      <c r="AC7" s="635"/>
      <c r="AD7" s="635"/>
      <c r="AF7" s="636"/>
      <c r="AG7" s="636"/>
      <c r="AH7" s="636"/>
      <c r="AI7" s="636"/>
      <c r="AJ7" s="636"/>
      <c r="AK7" s="636"/>
      <c r="AL7" s="636"/>
    </row>
    <row r="8" ht="22.699999999999999" customHeight="1">
      <c r="A8" s="13"/>
      <c r="B8" s="14"/>
      <c r="C8" s="29" t="s">
        <v>14</v>
      </c>
      <c r="D8" s="30"/>
      <c r="E8" s="30"/>
      <c r="F8" s="30"/>
      <c r="G8" s="31" t="s">
        <v>85</v>
      </c>
      <c r="H8" s="31"/>
      <c r="I8" s="31"/>
      <c r="J8" s="31"/>
      <c r="K8" s="31"/>
      <c r="L8" s="30" t="s">
        <v>94</v>
      </c>
      <c r="M8" s="30"/>
      <c r="N8" s="30"/>
      <c r="O8" s="30"/>
      <c r="P8" s="31" t="s">
        <v>85</v>
      </c>
      <c r="Q8" s="31"/>
      <c r="R8" s="31"/>
      <c r="S8" s="257"/>
      <c r="T8" s="258"/>
      <c r="U8" s="30" t="s">
        <v>14</v>
      </c>
      <c r="V8" s="30"/>
      <c r="W8" s="30"/>
      <c r="X8" s="30"/>
      <c r="Y8" s="31" t="s">
        <v>94</v>
      </c>
      <c r="Z8" s="31"/>
      <c r="AA8" s="31"/>
      <c r="AB8" s="257"/>
      <c r="AC8" s="635"/>
      <c r="AD8" s="635"/>
    </row>
    <row r="9" ht="18.600000000000001" customHeight="1">
      <c r="A9" s="13"/>
      <c r="B9" s="14"/>
      <c r="C9" s="259" t="s">
        <v>18</v>
      </c>
      <c r="D9" s="260"/>
      <c r="E9" s="39" t="s">
        <v>19</v>
      </c>
      <c r="F9" s="40"/>
      <c r="G9" s="261" t="s">
        <v>18</v>
      </c>
      <c r="H9" s="260"/>
      <c r="I9" s="39" t="s">
        <v>19</v>
      </c>
      <c r="J9" s="40"/>
      <c r="K9" s="41"/>
      <c r="L9" s="261" t="s">
        <v>18</v>
      </c>
      <c r="M9" s="260"/>
      <c r="N9" s="39" t="s">
        <v>19</v>
      </c>
      <c r="O9" s="40"/>
      <c r="P9" s="261" t="s">
        <v>18</v>
      </c>
      <c r="Q9" s="260"/>
      <c r="R9" s="39" t="s">
        <v>19</v>
      </c>
      <c r="S9" s="42"/>
      <c r="T9" s="41"/>
      <c r="U9" s="261" t="s">
        <v>18</v>
      </c>
      <c r="V9" s="260"/>
      <c r="W9" s="39" t="s">
        <v>19</v>
      </c>
      <c r="X9" s="40"/>
      <c r="Y9" s="261" t="s">
        <v>18</v>
      </c>
      <c r="Z9" s="260"/>
      <c r="AA9" s="39" t="s">
        <v>19</v>
      </c>
      <c r="AB9" s="42"/>
      <c r="AC9" s="635"/>
      <c r="AD9" s="635"/>
    </row>
    <row r="10" ht="19.5">
      <c r="A10" s="43" t="s">
        <v>20</v>
      </c>
      <c r="B10" s="44" t="s">
        <v>21</v>
      </c>
      <c r="C10" s="262" t="s">
        <v>22</v>
      </c>
      <c r="D10" s="52" t="s">
        <v>23</v>
      </c>
      <c r="E10" s="53" t="s">
        <v>22</v>
      </c>
      <c r="F10" s="54" t="s">
        <v>23</v>
      </c>
      <c r="G10" s="51" t="s">
        <v>22</v>
      </c>
      <c r="H10" s="52" t="s">
        <v>23</v>
      </c>
      <c r="I10" s="53" t="s">
        <v>22</v>
      </c>
      <c r="J10" s="54" t="s">
        <v>23</v>
      </c>
      <c r="K10" s="55"/>
      <c r="L10" s="51" t="s">
        <v>22</v>
      </c>
      <c r="M10" s="52" t="s">
        <v>23</v>
      </c>
      <c r="N10" s="53" t="s">
        <v>22</v>
      </c>
      <c r="O10" s="54" t="s">
        <v>23</v>
      </c>
      <c r="P10" s="51" t="s">
        <v>22</v>
      </c>
      <c r="Q10" s="52" t="s">
        <v>23</v>
      </c>
      <c r="R10" s="53" t="s">
        <v>22</v>
      </c>
      <c r="S10" s="56" t="s">
        <v>23</v>
      </c>
      <c r="T10" s="55"/>
      <c r="U10" s="51" t="s">
        <v>22</v>
      </c>
      <c r="V10" s="52" t="s">
        <v>23</v>
      </c>
      <c r="W10" s="53" t="s">
        <v>22</v>
      </c>
      <c r="X10" s="54" t="s">
        <v>23</v>
      </c>
      <c r="Y10" s="51" t="s">
        <v>22</v>
      </c>
      <c r="Z10" s="52" t="s">
        <v>23</v>
      </c>
      <c r="AA10" s="53" t="s">
        <v>22</v>
      </c>
      <c r="AB10" s="56" t="s">
        <v>23</v>
      </c>
      <c r="AC10" s="635"/>
      <c r="AD10" s="635"/>
      <c r="AE10" s="655"/>
    </row>
    <row r="11" ht="54.950000000000003" hidden="1" customHeight="1" outlineLevel="1">
      <c r="A11" s="58">
        <v>6</v>
      </c>
      <c r="B11" s="59" t="s">
        <v>24</v>
      </c>
      <c r="C11" s="264"/>
      <c r="D11" s="265"/>
      <c r="E11" s="266"/>
      <c r="F11" s="267"/>
      <c r="G11" s="268"/>
      <c r="H11" s="265"/>
      <c r="I11" s="266"/>
      <c r="J11" s="267"/>
      <c r="K11" s="70"/>
      <c r="L11" s="268"/>
      <c r="M11" s="265"/>
      <c r="N11" s="266"/>
      <c r="O11" s="267"/>
      <c r="P11" s="268"/>
      <c r="Q11" s="265"/>
      <c r="R11" s="266"/>
      <c r="S11" s="269"/>
      <c r="T11" s="70"/>
      <c r="U11" s="268"/>
      <c r="V11" s="265"/>
      <c r="W11" s="266"/>
      <c r="X11" s="267"/>
      <c r="Y11" s="268"/>
      <c r="Z11" s="265"/>
      <c r="AA11" s="266"/>
      <c r="AB11" s="269"/>
      <c r="AC11" s="635"/>
      <c r="AD11" s="635"/>
      <c r="AE11" s="664"/>
      <c r="AF11" s="664"/>
      <c r="AG11" s="664"/>
      <c r="AH11" s="664"/>
      <c r="AI11" s="664"/>
      <c r="AJ11" s="664"/>
      <c r="AK11" s="664"/>
      <c r="AL11" s="664"/>
    </row>
    <row r="12" ht="54.950000000000003" hidden="1" customHeight="1" outlineLevel="1">
      <c r="A12" s="58"/>
      <c r="B12" s="59" t="s">
        <v>25</v>
      </c>
      <c r="C12" s="264"/>
      <c r="D12" s="265"/>
      <c r="E12" s="266"/>
      <c r="F12" s="267"/>
      <c r="G12" s="268"/>
      <c r="H12" s="265"/>
      <c r="I12" s="266"/>
      <c r="J12" s="267"/>
      <c r="K12" s="70"/>
      <c r="L12" s="268"/>
      <c r="M12" s="265"/>
      <c r="N12" s="266"/>
      <c r="O12" s="267"/>
      <c r="P12" s="268"/>
      <c r="Q12" s="265"/>
      <c r="R12" s="266"/>
      <c r="S12" s="269"/>
      <c r="T12" s="70"/>
      <c r="U12" s="268"/>
      <c r="V12" s="265"/>
      <c r="W12" s="266"/>
      <c r="X12" s="267"/>
      <c r="Y12" s="268"/>
      <c r="Z12" s="265"/>
      <c r="AA12" s="266"/>
      <c r="AB12" s="269"/>
      <c r="AC12" s="635"/>
      <c r="AD12" s="635"/>
      <c r="AE12" s="664"/>
      <c r="AF12" s="664"/>
      <c r="AG12" s="664"/>
      <c r="AH12" s="664"/>
      <c r="AI12" s="664"/>
      <c r="AJ12" s="664"/>
      <c r="AK12" s="664"/>
      <c r="AL12" s="664"/>
    </row>
    <row r="13" ht="54.950000000000003" customHeight="1" collapsed="1">
      <c r="A13" s="58">
        <v>7</v>
      </c>
      <c r="B13" s="59" t="s">
        <v>26</v>
      </c>
      <c r="C13" s="73"/>
      <c r="D13" s="74"/>
      <c r="E13" s="75"/>
      <c r="F13" s="76"/>
      <c r="G13" s="77">
        <v>1</v>
      </c>
      <c r="H13" s="74">
        <v>1</v>
      </c>
      <c r="I13" s="75"/>
      <c r="J13" s="76"/>
      <c r="K13" s="70"/>
      <c r="L13" s="73"/>
      <c r="M13" s="74"/>
      <c r="N13" s="75"/>
      <c r="O13" s="76"/>
      <c r="P13" s="77"/>
      <c r="Q13" s="74">
        <v>4</v>
      </c>
      <c r="R13" s="75">
        <v>1</v>
      </c>
      <c r="S13" s="76"/>
      <c r="T13" s="70"/>
      <c r="U13" s="73"/>
      <c r="V13" s="74"/>
      <c r="W13" s="75"/>
      <c r="X13" s="76"/>
      <c r="Y13" s="77"/>
      <c r="Z13" s="74"/>
      <c r="AA13" s="75"/>
      <c r="AB13" s="76"/>
      <c r="AC13" s="635"/>
      <c r="AD13" s="635"/>
      <c r="AE13" s="664"/>
      <c r="AF13" s="664"/>
      <c r="AG13" s="664"/>
      <c r="AH13" s="664"/>
      <c r="AI13" s="664"/>
      <c r="AJ13" s="664"/>
      <c r="AK13" s="664"/>
      <c r="AL13" s="664"/>
    </row>
    <row r="14" ht="54.950000000000003" customHeight="1">
      <c r="A14" s="58"/>
      <c r="B14" s="59" t="s">
        <v>27</v>
      </c>
      <c r="C14" s="78"/>
      <c r="D14" s="79"/>
      <c r="E14" s="80"/>
      <c r="F14" s="81"/>
      <c r="G14" s="82"/>
      <c r="H14" s="79"/>
      <c r="I14" s="80">
        <v>1</v>
      </c>
      <c r="J14" s="81"/>
      <c r="K14" s="70"/>
      <c r="L14" s="78"/>
      <c r="M14" s="79"/>
      <c r="N14" s="80"/>
      <c r="O14" s="81"/>
      <c r="P14" s="82">
        <v>2</v>
      </c>
      <c r="Q14" s="79"/>
      <c r="R14" s="80">
        <v>1</v>
      </c>
      <c r="S14" s="81"/>
      <c r="T14" s="70"/>
      <c r="U14" s="78"/>
      <c r="V14" s="79"/>
      <c r="W14" s="80"/>
      <c r="X14" s="81"/>
      <c r="Y14" s="82"/>
      <c r="Z14" s="79"/>
      <c r="AA14" s="80"/>
      <c r="AB14" s="81"/>
      <c r="AC14" s="635"/>
      <c r="AD14" s="635"/>
      <c r="AE14" s="664"/>
      <c r="AF14" s="664"/>
      <c r="AG14" s="664"/>
      <c r="AH14" s="664"/>
      <c r="AI14" s="664"/>
      <c r="AJ14" s="664"/>
      <c r="AK14" s="664"/>
      <c r="AL14" s="664"/>
    </row>
    <row r="15" ht="54.950000000000003" customHeight="1">
      <c r="A15" s="58"/>
      <c r="B15" s="59" t="s">
        <v>24</v>
      </c>
      <c r="C15" s="83"/>
      <c r="D15" s="84"/>
      <c r="E15" s="85"/>
      <c r="F15" s="86"/>
      <c r="G15" s="87">
        <v>1</v>
      </c>
      <c r="H15" s="84"/>
      <c r="I15" s="85"/>
      <c r="J15" s="86"/>
      <c r="K15" s="70"/>
      <c r="L15" s="83"/>
      <c r="M15" s="84"/>
      <c r="N15" s="85"/>
      <c r="O15" s="86"/>
      <c r="P15" s="87">
        <v>2</v>
      </c>
      <c r="Q15" s="84"/>
      <c r="R15" s="85">
        <v>1</v>
      </c>
      <c r="S15" s="86"/>
      <c r="T15" s="70"/>
      <c r="U15" s="83"/>
      <c r="V15" s="84"/>
      <c r="W15" s="85"/>
      <c r="X15" s="86"/>
      <c r="Y15" s="87"/>
      <c r="Z15" s="84"/>
      <c r="AA15" s="85"/>
      <c r="AB15" s="86"/>
      <c r="AC15" s="635"/>
      <c r="AD15" s="635"/>
      <c r="AE15" s="664"/>
      <c r="AF15" s="664"/>
      <c r="AG15" s="664"/>
      <c r="AH15" s="664"/>
      <c r="AI15" s="664"/>
      <c r="AJ15" s="664"/>
      <c r="AK15" s="664"/>
      <c r="AL15" s="664"/>
    </row>
    <row r="16" ht="54.950000000000003" customHeight="1">
      <c r="A16" s="58"/>
      <c r="B16" s="59" t="s">
        <v>25</v>
      </c>
      <c r="C16" s="88"/>
      <c r="D16" s="89"/>
      <c r="E16" s="90"/>
      <c r="F16" s="91"/>
      <c r="G16" s="92">
        <v>1</v>
      </c>
      <c r="H16" s="89"/>
      <c r="I16" s="90"/>
      <c r="J16" s="91"/>
      <c r="K16" s="70"/>
      <c r="L16" s="88"/>
      <c r="M16" s="89"/>
      <c r="N16" s="90"/>
      <c r="O16" s="91"/>
      <c r="P16" s="92">
        <v>1</v>
      </c>
      <c r="Q16" s="89">
        <v>1</v>
      </c>
      <c r="R16" s="90">
        <v>1</v>
      </c>
      <c r="S16" s="91"/>
      <c r="T16" s="70"/>
      <c r="U16" s="88"/>
      <c r="V16" s="89">
        <v>1</v>
      </c>
      <c r="W16" s="90"/>
      <c r="X16" s="91"/>
      <c r="Y16" s="92"/>
      <c r="Z16" s="89"/>
      <c r="AA16" s="90"/>
      <c r="AB16" s="91"/>
      <c r="AC16" s="635"/>
      <c r="AD16" s="635"/>
      <c r="AE16" s="664"/>
      <c r="AF16" s="664"/>
      <c r="AG16" s="664"/>
      <c r="AH16" s="664"/>
      <c r="AI16" s="664"/>
      <c r="AJ16" s="664"/>
      <c r="AK16" s="664"/>
      <c r="AL16" s="664"/>
    </row>
    <row r="17" ht="54.950000000000003" customHeight="1">
      <c r="A17" s="58">
        <v>8</v>
      </c>
      <c r="B17" s="59" t="s">
        <v>26</v>
      </c>
      <c r="C17" s="73"/>
      <c r="D17" s="74"/>
      <c r="E17" s="75"/>
      <c r="F17" s="76"/>
      <c r="G17" s="77"/>
      <c r="H17" s="74"/>
      <c r="I17" s="75"/>
      <c r="J17" s="76"/>
      <c r="K17" s="70"/>
      <c r="L17" s="73"/>
      <c r="M17" s="74"/>
      <c r="N17" s="75"/>
      <c r="O17" s="76"/>
      <c r="P17" s="77"/>
      <c r="Q17" s="74">
        <v>1</v>
      </c>
      <c r="R17" s="75">
        <v>1</v>
      </c>
      <c r="S17" s="76"/>
      <c r="T17" s="70"/>
      <c r="U17" s="73"/>
      <c r="V17" s="74">
        <v>1</v>
      </c>
      <c r="W17" s="75"/>
      <c r="X17" s="76"/>
      <c r="Y17" s="77"/>
      <c r="Z17" s="74"/>
      <c r="AA17" s="75"/>
      <c r="AB17" s="76"/>
      <c r="AC17" s="635"/>
      <c r="AD17" s="635"/>
      <c r="AE17" s="664"/>
      <c r="AF17" s="664"/>
      <c r="AG17" s="664"/>
      <c r="AH17" s="664"/>
      <c r="AI17" s="664"/>
      <c r="AJ17" s="664"/>
      <c r="AK17" s="664"/>
      <c r="AL17" s="664"/>
    </row>
    <row r="18" ht="54.950000000000003" customHeight="1">
      <c r="A18" s="58"/>
      <c r="B18" s="59" t="s">
        <v>27</v>
      </c>
      <c r="C18" s="78"/>
      <c r="D18" s="79"/>
      <c r="E18" s="80"/>
      <c r="F18" s="81"/>
      <c r="G18" s="82"/>
      <c r="H18" s="79"/>
      <c r="I18" s="80"/>
      <c r="J18" s="81"/>
      <c r="K18" s="70"/>
      <c r="L18" s="78"/>
      <c r="M18" s="79"/>
      <c r="N18" s="80"/>
      <c r="O18" s="81"/>
      <c r="P18" s="82"/>
      <c r="Q18" s="79">
        <v>2</v>
      </c>
      <c r="R18" s="80"/>
      <c r="S18" s="81"/>
      <c r="T18" s="70"/>
      <c r="U18" s="78"/>
      <c r="V18" s="79"/>
      <c r="W18" s="80"/>
      <c r="X18" s="81"/>
      <c r="Y18" s="82"/>
      <c r="Z18" s="79"/>
      <c r="AA18" s="80"/>
      <c r="AB18" s="81"/>
      <c r="AC18" s="635"/>
      <c r="AD18" s="635"/>
      <c r="AE18" s="664"/>
      <c r="AF18" s="664"/>
      <c r="AG18" s="664"/>
      <c r="AH18" s="664"/>
      <c r="AI18" s="664"/>
      <c r="AJ18" s="664"/>
      <c r="AK18" s="664"/>
      <c r="AL18" s="664"/>
    </row>
    <row r="19" ht="54.950000000000003" customHeight="1">
      <c r="A19" s="58"/>
      <c r="B19" s="59" t="s">
        <v>24</v>
      </c>
      <c r="C19" s="83"/>
      <c r="D19" s="84"/>
      <c r="E19" s="85"/>
      <c r="F19" s="86"/>
      <c r="G19" s="87"/>
      <c r="H19" s="84">
        <v>1</v>
      </c>
      <c r="I19" s="85"/>
      <c r="J19" s="86"/>
      <c r="K19" s="70"/>
      <c r="L19" s="83"/>
      <c r="M19" s="84"/>
      <c r="N19" s="85"/>
      <c r="O19" s="86"/>
      <c r="P19" s="87"/>
      <c r="Q19" s="84"/>
      <c r="R19" s="85"/>
      <c r="S19" s="86"/>
      <c r="T19" s="70"/>
      <c r="U19" s="83"/>
      <c r="V19" s="84"/>
      <c r="W19" s="85"/>
      <c r="X19" s="86"/>
      <c r="Y19" s="87"/>
      <c r="Z19" s="84"/>
      <c r="AA19" s="85"/>
      <c r="AB19" s="86"/>
      <c r="AC19" s="635"/>
      <c r="AD19" s="635"/>
      <c r="AE19" s="664"/>
      <c r="AF19" s="664"/>
      <c r="AG19" s="664"/>
      <c r="AH19" s="664"/>
      <c r="AI19" s="664"/>
      <c r="AJ19" s="664"/>
      <c r="AK19" s="664"/>
      <c r="AL19" s="664"/>
    </row>
    <row r="20" ht="54.950000000000003" customHeight="1">
      <c r="A20" s="58"/>
      <c r="B20" s="59" t="s">
        <v>25</v>
      </c>
      <c r="C20" s="88"/>
      <c r="D20" s="89"/>
      <c r="E20" s="90"/>
      <c r="F20" s="91"/>
      <c r="G20" s="92">
        <v>1</v>
      </c>
      <c r="H20" s="89">
        <v>1</v>
      </c>
      <c r="I20" s="90"/>
      <c r="J20" s="91"/>
      <c r="K20" s="70"/>
      <c r="L20" s="88"/>
      <c r="M20" s="89"/>
      <c r="N20" s="90"/>
      <c r="O20" s="91"/>
      <c r="P20" s="92"/>
      <c r="Q20" s="89"/>
      <c r="R20" s="90"/>
      <c r="S20" s="91"/>
      <c r="T20" s="70"/>
      <c r="U20" s="88"/>
      <c r="V20" s="89"/>
      <c r="W20" s="90"/>
      <c r="X20" s="91"/>
      <c r="Y20" s="92"/>
      <c r="Z20" s="89"/>
      <c r="AA20" s="90"/>
      <c r="AB20" s="91"/>
      <c r="AC20" s="635"/>
      <c r="AD20" s="635"/>
      <c r="AE20" s="664"/>
      <c r="AF20" s="664"/>
      <c r="AG20" s="664"/>
      <c r="AH20" s="664"/>
      <c r="AI20" s="664"/>
      <c r="AJ20" s="664"/>
      <c r="AK20" s="664"/>
      <c r="AL20" s="664"/>
    </row>
    <row r="21" ht="54.950000000000003" hidden="1" customHeight="1" outlineLevel="1">
      <c r="A21" s="58">
        <v>9</v>
      </c>
      <c r="B21" s="59" t="s">
        <v>26</v>
      </c>
      <c r="C21" s="264"/>
      <c r="D21" s="265"/>
      <c r="E21" s="266"/>
      <c r="F21" s="267"/>
      <c r="G21" s="268"/>
      <c r="H21" s="265"/>
      <c r="I21" s="266"/>
      <c r="J21" s="267"/>
      <c r="K21" s="70"/>
      <c r="L21" s="268"/>
      <c r="M21" s="265"/>
      <c r="N21" s="266"/>
      <c r="O21" s="267"/>
      <c r="P21" s="268"/>
      <c r="Q21" s="265"/>
      <c r="R21" s="266"/>
      <c r="S21" s="269"/>
      <c r="T21" s="70"/>
      <c r="U21" s="268"/>
      <c r="V21" s="265"/>
      <c r="W21" s="266"/>
      <c r="X21" s="267"/>
      <c r="Y21" s="268"/>
      <c r="Z21" s="265"/>
      <c r="AA21" s="266"/>
      <c r="AB21" s="269"/>
      <c r="AC21" s="635"/>
      <c r="AD21" s="635"/>
      <c r="AE21" s="664"/>
      <c r="AF21" s="664"/>
      <c r="AG21" s="664"/>
      <c r="AH21" s="664"/>
      <c r="AI21" s="664"/>
      <c r="AJ21" s="664"/>
      <c r="AK21" s="664"/>
      <c r="AL21" s="664"/>
    </row>
    <row r="22" ht="54.950000000000003" hidden="1" customHeight="1" outlineLevel="1">
      <c r="A22" s="93"/>
      <c r="B22" s="94" t="s">
        <v>27</v>
      </c>
      <c r="C22" s="271"/>
      <c r="D22" s="272"/>
      <c r="E22" s="273"/>
      <c r="F22" s="274"/>
      <c r="G22" s="275"/>
      <c r="H22" s="272"/>
      <c r="I22" s="273"/>
      <c r="J22" s="274"/>
      <c r="K22" s="70"/>
      <c r="L22" s="275"/>
      <c r="M22" s="272"/>
      <c r="N22" s="273"/>
      <c r="O22" s="274"/>
      <c r="P22" s="275"/>
      <c r="Q22" s="272"/>
      <c r="R22" s="273"/>
      <c r="S22" s="276"/>
      <c r="T22" s="70"/>
      <c r="U22" s="275"/>
      <c r="V22" s="272"/>
      <c r="W22" s="273"/>
      <c r="X22" s="274"/>
      <c r="Y22" s="275"/>
      <c r="Z22" s="272"/>
      <c r="AA22" s="273"/>
      <c r="AB22" s="276"/>
      <c r="AC22" s="635"/>
      <c r="AD22" s="635"/>
      <c r="AE22" s="664"/>
      <c r="AF22" s="664"/>
      <c r="AG22" s="664"/>
      <c r="AH22" s="664"/>
      <c r="AI22" s="664"/>
      <c r="AJ22" s="664"/>
      <c r="AK22" s="664"/>
      <c r="AL22" s="664"/>
    </row>
    <row r="23" s="1" customFormat="1" ht="24.949999999999999" customHeight="1" collapsed="1">
      <c r="A23" s="106"/>
      <c r="B23" s="106"/>
      <c r="C23" s="107"/>
      <c r="D23" s="107"/>
      <c r="E23" s="107"/>
      <c r="F23" s="107"/>
      <c r="G23" s="107"/>
      <c r="H23" s="107"/>
      <c r="I23" s="107"/>
      <c r="J23" s="107"/>
      <c r="K23" s="70"/>
      <c r="L23" s="107"/>
      <c r="M23" s="107"/>
      <c r="N23" s="107"/>
      <c r="O23" s="107"/>
      <c r="P23" s="107"/>
      <c r="Q23" s="107"/>
      <c r="R23" s="107"/>
      <c r="S23" s="107"/>
      <c r="T23" s="70"/>
      <c r="U23" s="107"/>
      <c r="V23" s="107"/>
      <c r="W23" s="107"/>
      <c r="X23" s="107"/>
      <c r="Y23" s="107"/>
      <c r="Z23" s="107"/>
      <c r="AA23" s="107"/>
      <c r="AB23" s="107"/>
      <c r="AC23" s="72"/>
      <c r="AD23" s="72"/>
      <c r="AE23" s="72"/>
      <c r="AF23" s="72"/>
      <c r="AG23" s="72"/>
      <c r="AH23" s="72"/>
    </row>
    <row r="24" s="1" customFormat="1" ht="75" customHeight="1" outlineLevel="1">
      <c r="A24" s="17"/>
      <c r="B24" s="18"/>
      <c r="C24" s="19"/>
      <c r="D24" s="20"/>
      <c r="E24" s="20"/>
      <c r="F24" s="20"/>
      <c r="G24" s="20"/>
      <c r="H24" s="20"/>
      <c r="I24" s="20"/>
      <c r="J24" s="20"/>
      <c r="K24" s="20"/>
      <c r="L24" s="20"/>
      <c r="M24" s="20"/>
      <c r="N24" s="20"/>
      <c r="O24" s="809"/>
      <c r="P24" s="108"/>
      <c r="Q24" s="108"/>
      <c r="R24" s="108"/>
      <c r="S24" s="108"/>
      <c r="T24" s="108"/>
      <c r="U24" s="108"/>
      <c r="V24" s="108"/>
      <c r="W24" s="108"/>
      <c r="X24" s="108"/>
      <c r="Y24" s="108"/>
      <c r="Z24" s="108"/>
      <c r="AA24" s="108"/>
      <c r="AB24" s="109"/>
    </row>
    <row r="25" ht="32.25" customHeight="1">
      <c r="A25" s="13"/>
      <c r="B25" s="14"/>
      <c r="C25" s="24" t="str">
        <f t="shared" ref="C25:C26" si="163">C7</f>
        <v xml:space="preserve">Depuis 'Esery'</v>
      </c>
      <c r="D25" s="25"/>
      <c r="E25" s="25"/>
      <c r="F25" s="25"/>
      <c r="G25" s="25"/>
      <c r="H25" s="25"/>
      <c r="I25" s="25"/>
      <c r="J25" s="25"/>
      <c r="K25" s="25"/>
      <c r="L25" s="25" t="str">
        <f t="shared" ref="L25:L26" si="164">L7</f>
        <v xml:space="preserve">Depuis 'Reignier'</v>
      </c>
      <c r="M25" s="25"/>
      <c r="N25" s="25"/>
      <c r="O25" s="25"/>
      <c r="P25" s="25"/>
      <c r="Q25" s="25"/>
      <c r="R25" s="25"/>
      <c r="S25" s="27"/>
      <c r="T25" s="277"/>
      <c r="U25" s="25" t="str">
        <f t="shared" ref="U25:U26" si="165">U7</f>
        <v xml:space="preserve">Depuis 'Annemasse'</v>
      </c>
      <c r="V25" s="25"/>
      <c r="W25" s="25"/>
      <c r="X25" s="25"/>
      <c r="Y25" s="25"/>
      <c r="Z25" s="25"/>
      <c r="AA25" s="25"/>
      <c r="AB25" s="27"/>
      <c r="AC25" s="13"/>
      <c r="AD25" s="14"/>
      <c r="AE25" s="278" t="s">
        <v>31</v>
      </c>
      <c r="AF25" s="125" t="s">
        <v>32</v>
      </c>
      <c r="AG25" s="279" t="s">
        <v>33</v>
      </c>
      <c r="AH25" s="280" t="s">
        <v>34</v>
      </c>
      <c r="AI25" s="125" t="s">
        <v>58</v>
      </c>
      <c r="AJ25" s="125" t="s">
        <v>36</v>
      </c>
      <c r="AK25" s="125" t="s">
        <v>37</v>
      </c>
      <c r="AL25" s="126" t="s">
        <v>38</v>
      </c>
      <c r="AM25" s="127"/>
      <c r="AN25" s="127"/>
      <c r="AO25" s="128"/>
    </row>
    <row r="26" ht="22.699999999999999" customHeight="1">
      <c r="A26" s="13"/>
      <c r="B26" s="14"/>
      <c r="C26" s="29" t="str">
        <f t="shared" si="163"/>
        <v xml:space="preserve">vers 'Reignier'</v>
      </c>
      <c r="D26" s="30"/>
      <c r="E26" s="30"/>
      <c r="F26" s="30"/>
      <c r="G26" s="29" t="str">
        <f>G8</f>
        <v xml:space="preserve">vers 'Annemasse'</v>
      </c>
      <c r="H26" s="30"/>
      <c r="I26" s="30"/>
      <c r="J26" s="30"/>
      <c r="K26" s="31"/>
      <c r="L26" s="29" t="str">
        <f t="shared" si="164"/>
        <v xml:space="preserve">vers 'Esery'</v>
      </c>
      <c r="M26" s="30"/>
      <c r="N26" s="30"/>
      <c r="O26" s="30"/>
      <c r="P26" s="29" t="str">
        <f>P8</f>
        <v xml:space="preserve">vers 'Annemasse'</v>
      </c>
      <c r="Q26" s="30"/>
      <c r="R26" s="30"/>
      <c r="S26" s="30"/>
      <c r="T26" s="31"/>
      <c r="U26" s="29" t="str">
        <f t="shared" si="165"/>
        <v xml:space="preserve">vers 'Reignier'</v>
      </c>
      <c r="V26" s="30"/>
      <c r="W26" s="30"/>
      <c r="X26" s="30"/>
      <c r="Y26" s="29" t="str">
        <f>Y8</f>
        <v xml:space="preserve">vers 'Esery'</v>
      </c>
      <c r="Z26" s="30"/>
      <c r="AA26" s="30"/>
      <c r="AB26" s="32"/>
      <c r="AC26" s="13"/>
      <c r="AD26" s="14"/>
      <c r="AE26" s="281"/>
      <c r="AF26" s="135"/>
      <c r="AG26" s="282"/>
      <c r="AH26" s="283"/>
      <c r="AI26" s="135"/>
      <c r="AJ26" s="135"/>
      <c r="AK26" s="135"/>
      <c r="AL26" s="136"/>
      <c r="AM26" s="137"/>
      <c r="AN26" s="137"/>
      <c r="AO26" s="138"/>
    </row>
    <row r="27" ht="18.600000000000001" customHeight="1">
      <c r="A27" s="13"/>
      <c r="B27" s="14"/>
      <c r="C27" s="259" t="s">
        <v>18</v>
      </c>
      <c r="D27" s="260"/>
      <c r="E27" s="39" t="s">
        <v>19</v>
      </c>
      <c r="F27" s="40"/>
      <c r="G27" s="261" t="s">
        <v>18</v>
      </c>
      <c r="H27" s="260"/>
      <c r="I27" s="39" t="s">
        <v>19</v>
      </c>
      <c r="J27" s="40"/>
      <c r="K27" s="41"/>
      <c r="L27" s="261" t="s">
        <v>18</v>
      </c>
      <c r="M27" s="260"/>
      <c r="N27" s="39" t="s">
        <v>19</v>
      </c>
      <c r="O27" s="40"/>
      <c r="P27" s="261" t="s">
        <v>18</v>
      </c>
      <c r="Q27" s="260"/>
      <c r="R27" s="39" t="s">
        <v>19</v>
      </c>
      <c r="S27" s="42"/>
      <c r="T27" s="41"/>
      <c r="U27" s="261" t="s">
        <v>18</v>
      </c>
      <c r="V27" s="260"/>
      <c r="W27" s="39" t="s">
        <v>19</v>
      </c>
      <c r="X27" s="40"/>
      <c r="Y27" s="261" t="s">
        <v>18</v>
      </c>
      <c r="Z27" s="260"/>
      <c r="AA27" s="284" t="s">
        <v>19</v>
      </c>
      <c r="AB27" s="285"/>
      <c r="AC27" s="13"/>
      <c r="AD27" s="14"/>
      <c r="AE27" s="281"/>
      <c r="AF27" s="135"/>
      <c r="AG27" s="282"/>
      <c r="AH27" s="283"/>
      <c r="AI27" s="135"/>
      <c r="AJ27" s="135"/>
      <c r="AK27" s="135"/>
      <c r="AL27" s="136"/>
      <c r="AM27" s="137"/>
      <c r="AN27" s="137"/>
      <c r="AO27" s="138"/>
    </row>
    <row r="28" ht="19.5">
      <c r="A28" s="286" t="s">
        <v>39</v>
      </c>
      <c r="B28" s="287"/>
      <c r="C28" s="262" t="s">
        <v>22</v>
      </c>
      <c r="D28" s="52" t="s">
        <v>23</v>
      </c>
      <c r="E28" s="53" t="s">
        <v>22</v>
      </c>
      <c r="F28" s="54" t="s">
        <v>23</v>
      </c>
      <c r="G28" s="51" t="s">
        <v>22</v>
      </c>
      <c r="H28" s="52" t="s">
        <v>23</v>
      </c>
      <c r="I28" s="53" t="s">
        <v>22</v>
      </c>
      <c r="J28" s="54" t="s">
        <v>23</v>
      </c>
      <c r="K28" s="288"/>
      <c r="L28" s="51" t="s">
        <v>22</v>
      </c>
      <c r="M28" s="52" t="s">
        <v>23</v>
      </c>
      <c r="N28" s="53" t="s">
        <v>22</v>
      </c>
      <c r="O28" s="54" t="s">
        <v>23</v>
      </c>
      <c r="P28" s="51" t="s">
        <v>22</v>
      </c>
      <c r="Q28" s="52" t="s">
        <v>23</v>
      </c>
      <c r="R28" s="53" t="s">
        <v>22</v>
      </c>
      <c r="S28" s="56" t="s">
        <v>23</v>
      </c>
      <c r="T28" s="288"/>
      <c r="U28" s="51" t="s">
        <v>22</v>
      </c>
      <c r="V28" s="52" t="s">
        <v>23</v>
      </c>
      <c r="W28" s="53" t="s">
        <v>22</v>
      </c>
      <c r="X28" s="54" t="s">
        <v>23</v>
      </c>
      <c r="Y28" s="51" t="s">
        <v>22</v>
      </c>
      <c r="Z28" s="52" t="s">
        <v>23</v>
      </c>
      <c r="AA28" s="53" t="s">
        <v>22</v>
      </c>
      <c r="AB28" s="56" t="s">
        <v>23</v>
      </c>
      <c r="AC28" s="289" t="s">
        <v>39</v>
      </c>
      <c r="AD28" s="290"/>
      <c r="AE28" s="281"/>
      <c r="AF28" s="154"/>
      <c r="AG28" s="291"/>
      <c r="AH28" s="292"/>
      <c r="AI28" s="154"/>
      <c r="AJ28" s="154"/>
      <c r="AK28" s="154"/>
      <c r="AL28" s="155"/>
      <c r="AM28" s="156"/>
      <c r="AN28" s="156"/>
      <c r="AO28" s="157"/>
    </row>
    <row r="29" ht="54.950000000000003" customHeight="1">
      <c r="A29" s="293" t="s">
        <v>40</v>
      </c>
      <c r="B29" s="294"/>
      <c r="C29" s="73">
        <f t="shared" ref="C29:AB29" si="166">SUM(C11:C14)</f>
        <v>0</v>
      </c>
      <c r="D29" s="74">
        <f t="shared" si="166"/>
        <v>0</v>
      </c>
      <c r="E29" s="75">
        <f t="shared" si="166"/>
        <v>0</v>
      </c>
      <c r="F29" s="76">
        <f t="shared" si="166"/>
        <v>0</v>
      </c>
      <c r="G29" s="77">
        <f t="shared" si="166"/>
        <v>1</v>
      </c>
      <c r="H29" s="74">
        <f t="shared" si="166"/>
        <v>1</v>
      </c>
      <c r="I29" s="75">
        <f t="shared" si="166"/>
        <v>1</v>
      </c>
      <c r="J29" s="76">
        <f t="shared" si="166"/>
        <v>0</v>
      </c>
      <c r="K29" s="295"/>
      <c r="L29" s="77">
        <f t="shared" si="166"/>
        <v>0</v>
      </c>
      <c r="M29" s="74">
        <f t="shared" si="166"/>
        <v>0</v>
      </c>
      <c r="N29" s="75">
        <f t="shared" si="166"/>
        <v>0</v>
      </c>
      <c r="O29" s="76">
        <f t="shared" si="166"/>
        <v>0</v>
      </c>
      <c r="P29" s="77">
        <f t="shared" si="166"/>
        <v>2</v>
      </c>
      <c r="Q29" s="74">
        <f t="shared" si="166"/>
        <v>4</v>
      </c>
      <c r="R29" s="75">
        <f t="shared" si="166"/>
        <v>2</v>
      </c>
      <c r="S29" s="296">
        <f t="shared" si="166"/>
        <v>0</v>
      </c>
      <c r="T29" s="295"/>
      <c r="U29" s="77">
        <f t="shared" si="166"/>
        <v>0</v>
      </c>
      <c r="V29" s="74">
        <f t="shared" si="166"/>
        <v>0</v>
      </c>
      <c r="W29" s="75">
        <f t="shared" si="166"/>
        <v>0</v>
      </c>
      <c r="X29" s="76">
        <f t="shared" si="166"/>
        <v>0</v>
      </c>
      <c r="Y29" s="77">
        <f t="shared" si="166"/>
        <v>0</v>
      </c>
      <c r="Z29" s="74">
        <f t="shared" si="166"/>
        <v>0</v>
      </c>
      <c r="AA29" s="75">
        <f t="shared" si="166"/>
        <v>0</v>
      </c>
      <c r="AB29" s="296">
        <f t="shared" si="166"/>
        <v>0</v>
      </c>
      <c r="AC29" s="297" t="s">
        <v>40</v>
      </c>
      <c r="AD29" s="298"/>
      <c r="AE29" s="299">
        <f t="shared" ref="AE29:AE35" si="167">SUM(C29:AB29)</f>
        <v>11</v>
      </c>
      <c r="AF29" s="169">
        <f t="shared" ref="AF29:AF35" si="168">IF(AE29=0,0,AF41/AE29)</f>
        <v>0.54545454545454541</v>
      </c>
      <c r="AG29" s="169">
        <f t="shared" ref="AG29:AG35" si="169">IF(AE29=0,0,AG41/AE29)</f>
        <v>0.27272727272727271</v>
      </c>
      <c r="AH29" s="169">
        <f t="shared" ref="AH29:AH35" si="170">IF(AG41=0,0,AH41/AG41)</f>
        <v>1</v>
      </c>
      <c r="AI29" s="169">
        <f t="shared" ref="AI29:AI35" si="171">IF(AE29=0,0,AI41/AE29)</f>
        <v>1</v>
      </c>
      <c r="AJ29" s="169">
        <f t="shared" ref="AJ29:AJ35" si="172">IF(AE29=0,0,AJ41/AE29)</f>
        <v>0.72727272727272729</v>
      </c>
      <c r="AK29" s="169">
        <f t="shared" ref="AK29:AK35" si="173">IF(AE29=0,0,AK41/AE29)</f>
        <v>0.27272727272727271</v>
      </c>
      <c r="AL29" s="170"/>
      <c r="AM29" s="171"/>
      <c r="AN29" s="171"/>
      <c r="AO29" s="172"/>
    </row>
    <row r="30" ht="54.950000000000003" hidden="1" customHeight="1">
      <c r="A30" s="300" t="s">
        <v>41</v>
      </c>
      <c r="B30" s="301"/>
      <c r="C30" s="83">
        <f t="shared" ref="C30:AB30" si="174">SUM(C13:C16)</f>
        <v>0</v>
      </c>
      <c r="D30" s="84">
        <f t="shared" si="174"/>
        <v>0</v>
      </c>
      <c r="E30" s="85">
        <f t="shared" si="174"/>
        <v>0</v>
      </c>
      <c r="F30" s="86">
        <f t="shared" si="174"/>
        <v>0</v>
      </c>
      <c r="G30" s="87">
        <f t="shared" si="174"/>
        <v>3</v>
      </c>
      <c r="H30" s="84">
        <f t="shared" si="174"/>
        <v>1</v>
      </c>
      <c r="I30" s="85">
        <f t="shared" si="174"/>
        <v>1</v>
      </c>
      <c r="J30" s="86">
        <f t="shared" si="174"/>
        <v>0</v>
      </c>
      <c r="K30" s="302"/>
      <c r="L30" s="87">
        <f t="shared" si="174"/>
        <v>0</v>
      </c>
      <c r="M30" s="84">
        <f t="shared" si="174"/>
        <v>0</v>
      </c>
      <c r="N30" s="85">
        <f t="shared" si="174"/>
        <v>0</v>
      </c>
      <c r="O30" s="86">
        <f t="shared" si="174"/>
        <v>0</v>
      </c>
      <c r="P30" s="87">
        <f t="shared" si="174"/>
        <v>5</v>
      </c>
      <c r="Q30" s="84">
        <f t="shared" si="174"/>
        <v>5</v>
      </c>
      <c r="R30" s="85">
        <f t="shared" si="174"/>
        <v>4</v>
      </c>
      <c r="S30" s="303">
        <f t="shared" si="174"/>
        <v>0</v>
      </c>
      <c r="T30" s="302"/>
      <c r="U30" s="87">
        <f t="shared" si="174"/>
        <v>0</v>
      </c>
      <c r="V30" s="84">
        <f t="shared" si="174"/>
        <v>1</v>
      </c>
      <c r="W30" s="85">
        <f t="shared" si="174"/>
        <v>0</v>
      </c>
      <c r="X30" s="86">
        <f t="shared" si="174"/>
        <v>0</v>
      </c>
      <c r="Y30" s="87">
        <f t="shared" si="174"/>
        <v>0</v>
      </c>
      <c r="Z30" s="84">
        <f t="shared" si="174"/>
        <v>0</v>
      </c>
      <c r="AA30" s="85">
        <f t="shared" si="174"/>
        <v>0</v>
      </c>
      <c r="AB30" s="303">
        <f t="shared" si="174"/>
        <v>0</v>
      </c>
      <c r="AC30" s="304" t="s">
        <v>41</v>
      </c>
      <c r="AD30" s="305"/>
      <c r="AE30" s="306">
        <f t="shared" si="167"/>
        <v>20</v>
      </c>
      <c r="AF30" s="184">
        <f t="shared" si="168"/>
        <v>0.65000000000000002</v>
      </c>
      <c r="AG30" s="184">
        <f t="shared" si="169"/>
        <v>0.25</v>
      </c>
      <c r="AH30" s="184">
        <f t="shared" si="170"/>
        <v>1</v>
      </c>
      <c r="AI30" s="184">
        <f t="shared" si="171"/>
        <v>0.94999999999999996</v>
      </c>
      <c r="AJ30" s="184">
        <f t="shared" si="172"/>
        <v>0.69999999999999996</v>
      </c>
      <c r="AK30" s="184">
        <f t="shared" si="173"/>
        <v>0.25</v>
      </c>
      <c r="AL30" s="185"/>
      <c r="AM30" s="186"/>
      <c r="AN30" s="186"/>
      <c r="AO30" s="187"/>
    </row>
    <row r="31" ht="54.950000000000003" customHeight="1">
      <c r="A31" s="300" t="s">
        <v>42</v>
      </c>
      <c r="B31" s="301"/>
      <c r="C31" s="83">
        <f t="shared" ref="C31:AB31" si="175">SUM(C15:C18)</f>
        <v>0</v>
      </c>
      <c r="D31" s="84">
        <f t="shared" si="175"/>
        <v>0</v>
      </c>
      <c r="E31" s="85">
        <f t="shared" si="175"/>
        <v>0</v>
      </c>
      <c r="F31" s="86">
        <f t="shared" si="175"/>
        <v>0</v>
      </c>
      <c r="G31" s="87">
        <f t="shared" si="175"/>
        <v>2</v>
      </c>
      <c r="H31" s="84">
        <f t="shared" si="175"/>
        <v>0</v>
      </c>
      <c r="I31" s="85">
        <f t="shared" si="175"/>
        <v>0</v>
      </c>
      <c r="J31" s="86">
        <f t="shared" si="175"/>
        <v>0</v>
      </c>
      <c r="K31" s="302"/>
      <c r="L31" s="87">
        <f t="shared" si="175"/>
        <v>0</v>
      </c>
      <c r="M31" s="84">
        <f t="shared" si="175"/>
        <v>0</v>
      </c>
      <c r="N31" s="85">
        <f t="shared" si="175"/>
        <v>0</v>
      </c>
      <c r="O31" s="86">
        <f t="shared" si="175"/>
        <v>0</v>
      </c>
      <c r="P31" s="87">
        <f t="shared" si="175"/>
        <v>3</v>
      </c>
      <c r="Q31" s="84">
        <f t="shared" si="175"/>
        <v>4</v>
      </c>
      <c r="R31" s="85">
        <f t="shared" si="175"/>
        <v>3</v>
      </c>
      <c r="S31" s="303">
        <f t="shared" si="175"/>
        <v>0</v>
      </c>
      <c r="T31" s="302"/>
      <c r="U31" s="87">
        <f t="shared" si="175"/>
        <v>0</v>
      </c>
      <c r="V31" s="84">
        <f t="shared" si="175"/>
        <v>2</v>
      </c>
      <c r="W31" s="85">
        <f t="shared" si="175"/>
        <v>0</v>
      </c>
      <c r="X31" s="86">
        <f t="shared" si="175"/>
        <v>0</v>
      </c>
      <c r="Y31" s="87">
        <f t="shared" si="175"/>
        <v>0</v>
      </c>
      <c r="Z31" s="84">
        <f t="shared" si="175"/>
        <v>0</v>
      </c>
      <c r="AA31" s="85">
        <f t="shared" si="175"/>
        <v>0</v>
      </c>
      <c r="AB31" s="303">
        <f t="shared" si="175"/>
        <v>0</v>
      </c>
      <c r="AC31" s="304" t="s">
        <v>42</v>
      </c>
      <c r="AD31" s="305"/>
      <c r="AE31" s="306">
        <f t="shared" si="167"/>
        <v>14</v>
      </c>
      <c r="AF31" s="184">
        <f t="shared" si="168"/>
        <v>0.5714285714285714</v>
      </c>
      <c r="AG31" s="184">
        <f t="shared" si="169"/>
        <v>0.21428571428571427</v>
      </c>
      <c r="AH31" s="184">
        <f t="shared" si="170"/>
        <v>1</v>
      </c>
      <c r="AI31" s="184">
        <f t="shared" si="171"/>
        <v>0.8571428571428571</v>
      </c>
      <c r="AJ31" s="184">
        <f t="shared" si="172"/>
        <v>0.7142857142857143</v>
      </c>
      <c r="AK31" s="184">
        <f t="shared" si="173"/>
        <v>0.14285714285714285</v>
      </c>
      <c r="AL31" s="185"/>
      <c r="AM31" s="186"/>
      <c r="AN31" s="186"/>
      <c r="AO31" s="187"/>
    </row>
    <row r="32" ht="54.950000000000003" customHeight="1">
      <c r="A32" s="300" t="s">
        <v>43</v>
      </c>
      <c r="B32" s="301"/>
      <c r="C32" s="83">
        <f t="shared" ref="C32:AB32" si="176">SUM(C17:C20)</f>
        <v>0</v>
      </c>
      <c r="D32" s="84">
        <f t="shared" si="176"/>
        <v>0</v>
      </c>
      <c r="E32" s="85">
        <f t="shared" si="176"/>
        <v>0</v>
      </c>
      <c r="F32" s="86">
        <f t="shared" si="176"/>
        <v>0</v>
      </c>
      <c r="G32" s="87">
        <f t="shared" si="176"/>
        <v>1</v>
      </c>
      <c r="H32" s="84">
        <f t="shared" si="176"/>
        <v>2</v>
      </c>
      <c r="I32" s="85">
        <f t="shared" si="176"/>
        <v>0</v>
      </c>
      <c r="J32" s="86">
        <f t="shared" si="176"/>
        <v>0</v>
      </c>
      <c r="K32" s="302"/>
      <c r="L32" s="87">
        <f t="shared" si="176"/>
        <v>0</v>
      </c>
      <c r="M32" s="84">
        <f t="shared" si="176"/>
        <v>0</v>
      </c>
      <c r="N32" s="85">
        <f t="shared" si="176"/>
        <v>0</v>
      </c>
      <c r="O32" s="86">
        <f t="shared" si="176"/>
        <v>0</v>
      </c>
      <c r="P32" s="87">
        <f t="shared" si="176"/>
        <v>0</v>
      </c>
      <c r="Q32" s="84">
        <f t="shared" si="176"/>
        <v>3</v>
      </c>
      <c r="R32" s="85">
        <f t="shared" si="176"/>
        <v>1</v>
      </c>
      <c r="S32" s="303">
        <f t="shared" si="176"/>
        <v>0</v>
      </c>
      <c r="T32" s="302"/>
      <c r="U32" s="87">
        <f t="shared" si="176"/>
        <v>0</v>
      </c>
      <c r="V32" s="84">
        <f t="shared" si="176"/>
        <v>1</v>
      </c>
      <c r="W32" s="85">
        <f t="shared" si="176"/>
        <v>0</v>
      </c>
      <c r="X32" s="86">
        <f t="shared" si="176"/>
        <v>0</v>
      </c>
      <c r="Y32" s="87">
        <f t="shared" si="176"/>
        <v>0</v>
      </c>
      <c r="Z32" s="84">
        <f t="shared" si="176"/>
        <v>0</v>
      </c>
      <c r="AA32" s="85">
        <f t="shared" si="176"/>
        <v>0</v>
      </c>
      <c r="AB32" s="303">
        <f t="shared" si="176"/>
        <v>0</v>
      </c>
      <c r="AC32" s="304" t="s">
        <v>43</v>
      </c>
      <c r="AD32" s="305"/>
      <c r="AE32" s="306">
        <f t="shared" si="167"/>
        <v>8</v>
      </c>
      <c r="AF32" s="184">
        <f t="shared" si="168"/>
        <v>0.25</v>
      </c>
      <c r="AG32" s="184">
        <f t="shared" si="169"/>
        <v>0.125</v>
      </c>
      <c r="AH32" s="184">
        <f t="shared" si="170"/>
        <v>1</v>
      </c>
      <c r="AI32" s="184">
        <f t="shared" si="171"/>
        <v>0.875</v>
      </c>
      <c r="AJ32" s="184">
        <f t="shared" si="172"/>
        <v>0.5</v>
      </c>
      <c r="AK32" s="184">
        <f t="shared" si="173"/>
        <v>0.375</v>
      </c>
      <c r="AL32" s="185"/>
      <c r="AM32" s="186"/>
      <c r="AN32" s="186"/>
      <c r="AO32" s="187"/>
    </row>
    <row r="33" ht="54.950000000000003" customHeight="1">
      <c r="A33" s="307" t="s">
        <v>44</v>
      </c>
      <c r="B33" s="308"/>
      <c r="C33" s="309">
        <f t="shared" ref="C33:AB33" si="177">SUM(C19:C22)</f>
        <v>0</v>
      </c>
      <c r="D33" s="310">
        <f t="shared" si="177"/>
        <v>0</v>
      </c>
      <c r="E33" s="311">
        <f t="shared" si="177"/>
        <v>0</v>
      </c>
      <c r="F33" s="312">
        <f t="shared" si="177"/>
        <v>0</v>
      </c>
      <c r="G33" s="313">
        <f t="shared" si="177"/>
        <v>1</v>
      </c>
      <c r="H33" s="310">
        <f t="shared" si="177"/>
        <v>2</v>
      </c>
      <c r="I33" s="311">
        <f t="shared" si="177"/>
        <v>0</v>
      </c>
      <c r="J33" s="312">
        <f t="shared" si="177"/>
        <v>0</v>
      </c>
      <c r="K33" s="314"/>
      <c r="L33" s="313">
        <f t="shared" si="177"/>
        <v>0</v>
      </c>
      <c r="M33" s="310">
        <f t="shared" si="177"/>
        <v>0</v>
      </c>
      <c r="N33" s="311">
        <f t="shared" si="177"/>
        <v>0</v>
      </c>
      <c r="O33" s="312">
        <f t="shared" si="177"/>
        <v>0</v>
      </c>
      <c r="P33" s="313">
        <f t="shared" si="177"/>
        <v>0</v>
      </c>
      <c r="Q33" s="310">
        <f t="shared" si="177"/>
        <v>0</v>
      </c>
      <c r="R33" s="311">
        <f t="shared" si="177"/>
        <v>0</v>
      </c>
      <c r="S33" s="315">
        <f t="shared" si="177"/>
        <v>0</v>
      </c>
      <c r="T33" s="314"/>
      <c r="U33" s="313">
        <f t="shared" si="177"/>
        <v>0</v>
      </c>
      <c r="V33" s="310">
        <f t="shared" si="177"/>
        <v>0</v>
      </c>
      <c r="W33" s="311">
        <f t="shared" si="177"/>
        <v>0</v>
      </c>
      <c r="X33" s="312">
        <f t="shared" si="177"/>
        <v>0</v>
      </c>
      <c r="Y33" s="313">
        <f t="shared" si="177"/>
        <v>0</v>
      </c>
      <c r="Z33" s="310">
        <f t="shared" si="177"/>
        <v>0</v>
      </c>
      <c r="AA33" s="311">
        <f t="shared" si="177"/>
        <v>0</v>
      </c>
      <c r="AB33" s="315">
        <f t="shared" si="177"/>
        <v>0</v>
      </c>
      <c r="AC33" s="316" t="s">
        <v>44</v>
      </c>
      <c r="AD33" s="317"/>
      <c r="AE33" s="318">
        <f t="shared" si="167"/>
        <v>3</v>
      </c>
      <c r="AF33" s="199">
        <f t="shared" si="168"/>
        <v>0.33333333333333331</v>
      </c>
      <c r="AG33" s="199">
        <f t="shared" si="169"/>
        <v>0</v>
      </c>
      <c r="AH33" s="199">
        <f t="shared" si="170"/>
        <v>0</v>
      </c>
      <c r="AI33" s="199">
        <f t="shared" si="171"/>
        <v>1</v>
      </c>
      <c r="AJ33" s="199">
        <f t="shared" si="172"/>
        <v>0</v>
      </c>
      <c r="AK33" s="199">
        <f t="shared" si="173"/>
        <v>1</v>
      </c>
      <c r="AL33" s="200"/>
      <c r="AM33" s="201"/>
      <c r="AN33" s="201"/>
      <c r="AO33" s="202"/>
    </row>
    <row r="34" ht="54.950000000000003" customHeight="1">
      <c r="A34" s="319" t="s">
        <v>31</v>
      </c>
      <c r="B34" s="320"/>
      <c r="C34" s="321">
        <f t="shared" ref="C34:AB34" si="178">SUM(C11:C22)</f>
        <v>0</v>
      </c>
      <c r="D34" s="322">
        <f t="shared" si="178"/>
        <v>0</v>
      </c>
      <c r="E34" s="323">
        <f t="shared" si="178"/>
        <v>0</v>
      </c>
      <c r="F34" s="324">
        <f t="shared" si="178"/>
        <v>0</v>
      </c>
      <c r="G34" s="325">
        <f t="shared" si="178"/>
        <v>4</v>
      </c>
      <c r="H34" s="322">
        <f t="shared" si="178"/>
        <v>3</v>
      </c>
      <c r="I34" s="323">
        <f t="shared" si="178"/>
        <v>1</v>
      </c>
      <c r="J34" s="324">
        <f t="shared" si="178"/>
        <v>0</v>
      </c>
      <c r="K34" s="326"/>
      <c r="L34" s="325">
        <f t="shared" si="178"/>
        <v>0</v>
      </c>
      <c r="M34" s="322">
        <f t="shared" si="178"/>
        <v>0</v>
      </c>
      <c r="N34" s="323">
        <f t="shared" si="178"/>
        <v>0</v>
      </c>
      <c r="O34" s="324">
        <f t="shared" si="178"/>
        <v>0</v>
      </c>
      <c r="P34" s="325">
        <f t="shared" si="178"/>
        <v>5</v>
      </c>
      <c r="Q34" s="322">
        <f t="shared" si="178"/>
        <v>8</v>
      </c>
      <c r="R34" s="323">
        <f t="shared" si="178"/>
        <v>5</v>
      </c>
      <c r="S34" s="327">
        <f t="shared" si="178"/>
        <v>0</v>
      </c>
      <c r="T34" s="326"/>
      <c r="U34" s="325">
        <f t="shared" si="178"/>
        <v>0</v>
      </c>
      <c r="V34" s="322">
        <f t="shared" si="178"/>
        <v>2</v>
      </c>
      <c r="W34" s="323">
        <f t="shared" si="178"/>
        <v>0</v>
      </c>
      <c r="X34" s="324">
        <f t="shared" si="178"/>
        <v>0</v>
      </c>
      <c r="Y34" s="325">
        <f t="shared" si="178"/>
        <v>0</v>
      </c>
      <c r="Z34" s="322">
        <f t="shared" si="178"/>
        <v>0</v>
      </c>
      <c r="AA34" s="323">
        <f t="shared" si="178"/>
        <v>0</v>
      </c>
      <c r="AB34" s="327">
        <f t="shared" si="178"/>
        <v>0</v>
      </c>
      <c r="AC34" s="328" t="s">
        <v>31</v>
      </c>
      <c r="AD34" s="329"/>
      <c r="AE34" s="330">
        <f t="shared" si="167"/>
        <v>28</v>
      </c>
      <c r="AF34" s="214">
        <f t="shared" si="168"/>
        <v>0.5357142857142857</v>
      </c>
      <c r="AG34" s="214">
        <f t="shared" si="169"/>
        <v>0.21428571428571427</v>
      </c>
      <c r="AH34" s="214">
        <f t="shared" si="170"/>
        <v>1</v>
      </c>
      <c r="AI34" s="214">
        <f t="shared" si="171"/>
        <v>0.9285714285714286</v>
      </c>
      <c r="AJ34" s="214">
        <f t="shared" si="172"/>
        <v>0.6428571428571429</v>
      </c>
      <c r="AK34" s="214">
        <f t="shared" si="173"/>
        <v>0.2857142857142857</v>
      </c>
      <c r="AL34" s="215"/>
      <c r="AM34" s="216"/>
      <c r="AN34" s="216"/>
      <c r="AO34" s="217"/>
    </row>
    <row r="35" ht="54.950000000000003" customHeight="1">
      <c r="A35" s="331" t="str">
        <f>IF($AE$29=MAX($AE$29:$AE$33),A29,IF($AE$30=MAX($AE$29:$AE$33),A30,IF($AE$31=MAX($AE$29:$AE$33),A31,IF($AE$32=MAX($AE$29:$AE$33),A32,A33))))</f>
        <v xml:space="preserve">de 7:00 à 8:00</v>
      </c>
      <c r="B35" s="332"/>
      <c r="C35" s="333">
        <f t="shared" ref="C35:J35" si="179">IF($AE$29=MAX($AE$29:$AE$33),C29,IF($AE$30=MAX($AE$29:$AE$33),C30,IF($AE$31=MAX($AE$29:$AE$33),C31,IF($AE$32=MAX($AE$29:$AE$33),C32,C33))))</f>
        <v>0</v>
      </c>
      <c r="D35" s="334">
        <f t="shared" si="179"/>
        <v>0</v>
      </c>
      <c r="E35" s="335">
        <f t="shared" si="179"/>
        <v>0</v>
      </c>
      <c r="F35" s="336">
        <f t="shared" si="179"/>
        <v>0</v>
      </c>
      <c r="G35" s="337">
        <f t="shared" si="179"/>
        <v>3</v>
      </c>
      <c r="H35" s="334">
        <f t="shared" si="179"/>
        <v>1</v>
      </c>
      <c r="I35" s="335">
        <f t="shared" si="179"/>
        <v>1</v>
      </c>
      <c r="J35" s="336">
        <f t="shared" si="179"/>
        <v>0</v>
      </c>
      <c r="K35" s="338"/>
      <c r="L35" s="337">
        <f t="shared" ref="L35:S35" si="180">IF($AE$29=MAX($AE$29:$AE$33),L29,IF($AE$30=MAX($AE$29:$AE$33),L30,IF($AE$31=MAX($AE$29:$AE$33),L31,IF($AE$32=MAX($AE$29:$AE$33),L32,L33))))</f>
        <v>0</v>
      </c>
      <c r="M35" s="334">
        <f t="shared" si="180"/>
        <v>0</v>
      </c>
      <c r="N35" s="335">
        <f t="shared" si="180"/>
        <v>0</v>
      </c>
      <c r="O35" s="336">
        <f t="shared" si="180"/>
        <v>0</v>
      </c>
      <c r="P35" s="337">
        <f t="shared" si="180"/>
        <v>5</v>
      </c>
      <c r="Q35" s="334">
        <f t="shared" si="180"/>
        <v>5</v>
      </c>
      <c r="R35" s="335">
        <f t="shared" si="180"/>
        <v>4</v>
      </c>
      <c r="S35" s="339">
        <f t="shared" si="180"/>
        <v>0</v>
      </c>
      <c r="T35" s="338"/>
      <c r="U35" s="337">
        <f t="shared" ref="U35:AB35" si="181">IF($AE$29=MAX($AE$29:$AE$33),U29,IF($AE$30=MAX($AE$29:$AE$33),U30,IF($AE$31=MAX($AE$29:$AE$33),U31,IF($AE$32=MAX($AE$29:$AE$33),U32,U33))))</f>
        <v>0</v>
      </c>
      <c r="V35" s="334">
        <f t="shared" si="181"/>
        <v>1</v>
      </c>
      <c r="W35" s="335">
        <f t="shared" si="181"/>
        <v>0</v>
      </c>
      <c r="X35" s="336">
        <f t="shared" si="181"/>
        <v>0</v>
      </c>
      <c r="Y35" s="337">
        <f t="shared" si="181"/>
        <v>0</v>
      </c>
      <c r="Z35" s="334">
        <f t="shared" si="181"/>
        <v>0</v>
      </c>
      <c r="AA35" s="335">
        <f t="shared" si="181"/>
        <v>0</v>
      </c>
      <c r="AB35" s="339">
        <f t="shared" si="181"/>
        <v>0</v>
      </c>
      <c r="AC35" s="340" t="str">
        <f>A35</f>
        <v xml:space="preserve">de 7:00 à 8:00</v>
      </c>
      <c r="AD35" s="341"/>
      <c r="AE35" s="342">
        <f t="shared" si="167"/>
        <v>20</v>
      </c>
      <c r="AF35" s="229">
        <f t="shared" si="168"/>
        <v>0.65000000000000002</v>
      </c>
      <c r="AG35" s="229">
        <f t="shared" si="169"/>
        <v>0.25</v>
      </c>
      <c r="AH35" s="229">
        <f t="shared" si="170"/>
        <v>1</v>
      </c>
      <c r="AI35" s="229">
        <f t="shared" si="171"/>
        <v>0.94999999999999996</v>
      </c>
      <c r="AJ35" s="229">
        <f t="shared" si="172"/>
        <v>0.69999999999999996</v>
      </c>
      <c r="AK35" s="229">
        <f t="shared" si="173"/>
        <v>0.25</v>
      </c>
      <c r="AL35" s="230"/>
      <c r="AM35" s="231"/>
      <c r="AN35" s="231"/>
      <c r="AO35" s="232"/>
    </row>
    <row r="36" s="1" customFormat="1" ht="12.75" customHeight="1">
      <c r="A36" s="343"/>
      <c r="B36" s="344"/>
      <c r="C36" s="344"/>
      <c r="D36" s="344"/>
      <c r="E36" s="344"/>
      <c r="F36" s="344"/>
      <c r="G36" s="344"/>
      <c r="H36" s="344"/>
      <c r="I36" s="344"/>
      <c r="J36" s="344"/>
      <c r="K36" s="344"/>
      <c r="L36" s="344"/>
      <c r="M36" s="344"/>
      <c r="N36" s="344"/>
      <c r="O36" s="344"/>
      <c r="P36" s="344"/>
      <c r="Q36" s="344"/>
      <c r="R36" s="344"/>
      <c r="S36" s="344"/>
      <c r="T36" s="344"/>
      <c r="U36" s="343"/>
      <c r="V36" s="344"/>
      <c r="W36" s="344"/>
      <c r="X36" s="344"/>
      <c r="Y36" s="344"/>
      <c r="Z36" s="344"/>
      <c r="AA36" s="344"/>
      <c r="AB36" s="344"/>
      <c r="AC36" s="345"/>
      <c r="AD36" s="345"/>
      <c r="AE36" s="344"/>
      <c r="AF36" s="344"/>
      <c r="AG36" s="343"/>
      <c r="AH36" s="344"/>
      <c r="AI36" s="344"/>
      <c r="AJ36" s="344"/>
      <c r="AK36" s="344"/>
      <c r="AL36" s="345"/>
      <c r="AM36" s="345"/>
      <c r="AN36" s="346"/>
      <c r="AO36" s="346"/>
    </row>
    <row r="37" s="1" customFormat="1" ht="32.25" customHeight="1">
      <c r="A37" s="347"/>
      <c r="B37" s="345"/>
      <c r="C37" s="348"/>
      <c r="D37" s="348"/>
      <c r="E37" s="348"/>
      <c r="F37" s="348"/>
      <c r="G37" s="348"/>
      <c r="H37" s="348"/>
      <c r="I37" s="348"/>
      <c r="J37" s="348"/>
      <c r="K37" s="348"/>
      <c r="L37" s="348"/>
      <c r="M37" s="348"/>
      <c r="N37" s="348"/>
      <c r="O37" s="348"/>
      <c r="P37" s="348"/>
      <c r="Q37" s="348"/>
      <c r="R37" s="348"/>
      <c r="S37" s="348"/>
      <c r="T37" s="348"/>
      <c r="U37" s="348"/>
      <c r="V37" s="348"/>
      <c r="W37" s="348"/>
      <c r="X37" s="348"/>
      <c r="Y37" s="348"/>
      <c r="Z37" s="348"/>
      <c r="AA37" s="348"/>
      <c r="AB37" s="348"/>
      <c r="AC37" s="347"/>
      <c r="AD37" s="345"/>
      <c r="AE37" s="349"/>
      <c r="AF37" s="350" t="s">
        <v>45</v>
      </c>
      <c r="AG37" s="350" t="s">
        <v>46</v>
      </c>
      <c r="AH37" s="350" t="s">
        <v>47</v>
      </c>
      <c r="AI37" s="350" t="s">
        <v>59</v>
      </c>
      <c r="AJ37" s="350" t="s">
        <v>60</v>
      </c>
      <c r="AK37" s="350" t="s">
        <v>61</v>
      </c>
      <c r="AL37" s="351"/>
      <c r="AM37" s="352"/>
      <c r="AN37" s="352"/>
      <c r="AO37" s="346"/>
    </row>
    <row r="38" s="1" customFormat="1" ht="22.699999999999999" customHeight="1">
      <c r="A38" s="347"/>
      <c r="B38" s="345"/>
      <c r="C38" s="353"/>
      <c r="D38" s="353"/>
      <c r="E38" s="353"/>
      <c r="F38" s="353"/>
      <c r="G38" s="353"/>
      <c r="H38" s="353"/>
      <c r="I38" s="353"/>
      <c r="J38" s="353"/>
      <c r="K38" s="353"/>
      <c r="L38" s="353"/>
      <c r="M38" s="353"/>
      <c r="N38" s="353"/>
      <c r="O38" s="353"/>
      <c r="P38" s="353"/>
      <c r="Q38" s="353"/>
      <c r="R38" s="353"/>
      <c r="S38" s="353"/>
      <c r="T38" s="353"/>
      <c r="U38" s="353"/>
      <c r="V38" s="353"/>
      <c r="W38" s="353"/>
      <c r="X38" s="353"/>
      <c r="Y38" s="353"/>
      <c r="Z38" s="353"/>
      <c r="AA38" s="353"/>
      <c r="AB38" s="353"/>
      <c r="AC38" s="347"/>
      <c r="AD38" s="345"/>
      <c r="AE38" s="349"/>
      <c r="AF38" s="354"/>
      <c r="AG38" s="354"/>
      <c r="AH38" s="354"/>
      <c r="AI38" s="354"/>
      <c r="AJ38" s="354"/>
      <c r="AK38" s="354"/>
      <c r="AL38" s="351"/>
      <c r="AM38" s="352"/>
      <c r="AN38" s="352"/>
      <c r="AO38" s="346"/>
    </row>
    <row r="39" s="1" customFormat="1" ht="18.600000000000001" hidden="1" customHeight="1">
      <c r="A39" s="347"/>
      <c r="B39" s="345"/>
      <c r="C39" s="355"/>
      <c r="D39" s="355"/>
      <c r="E39" s="355"/>
      <c r="F39" s="355"/>
      <c r="G39" s="355"/>
      <c r="H39" s="355"/>
      <c r="I39" s="355"/>
      <c r="J39" s="355"/>
      <c r="K39" s="355"/>
      <c r="L39" s="355"/>
      <c r="M39" s="355"/>
      <c r="N39" s="355"/>
      <c r="O39" s="355"/>
      <c r="P39" s="355"/>
      <c r="Q39" s="355"/>
      <c r="R39" s="355"/>
      <c r="S39" s="355"/>
      <c r="T39" s="355"/>
      <c r="U39" s="355"/>
      <c r="V39" s="355"/>
      <c r="W39" s="355"/>
      <c r="X39" s="355"/>
      <c r="Y39" s="355"/>
      <c r="Z39" s="355"/>
      <c r="AA39" s="355"/>
      <c r="AB39" s="355"/>
      <c r="AC39" s="347"/>
      <c r="AD39" s="345"/>
      <c r="AE39" s="349"/>
      <c r="AF39" s="354"/>
      <c r="AG39" s="354"/>
      <c r="AH39" s="354"/>
      <c r="AI39" s="354"/>
      <c r="AJ39" s="354"/>
      <c r="AK39" s="354"/>
      <c r="AL39" s="351"/>
      <c r="AM39" s="352"/>
      <c r="AN39" s="352"/>
      <c r="AO39" s="346"/>
    </row>
    <row r="40" s="1" customFormat="1" ht="20.25" hidden="1">
      <c r="A40" s="356"/>
      <c r="B40" s="356"/>
      <c r="C40" s="357"/>
      <c r="D40" s="357"/>
      <c r="E40" s="357"/>
      <c r="F40" s="357"/>
      <c r="G40" s="357"/>
      <c r="H40" s="357"/>
      <c r="I40" s="357"/>
      <c r="J40" s="357"/>
      <c r="K40" s="357"/>
      <c r="L40" s="357"/>
      <c r="M40" s="357"/>
      <c r="N40" s="357"/>
      <c r="O40" s="357"/>
      <c r="P40" s="357"/>
      <c r="Q40" s="357"/>
      <c r="R40" s="357"/>
      <c r="S40" s="357"/>
      <c r="T40" s="357"/>
      <c r="U40" s="357"/>
      <c r="V40" s="357"/>
      <c r="W40" s="357"/>
      <c r="X40" s="357"/>
      <c r="Y40" s="357"/>
      <c r="Z40" s="357"/>
      <c r="AA40" s="357"/>
      <c r="AB40" s="357"/>
      <c r="AC40" s="356"/>
      <c r="AD40" s="356"/>
      <c r="AE40" s="349"/>
      <c r="AF40" s="358"/>
      <c r="AG40" s="358"/>
      <c r="AH40" s="358"/>
      <c r="AI40" s="358"/>
      <c r="AJ40" s="358"/>
      <c r="AK40" s="358"/>
      <c r="AL40" s="351"/>
      <c r="AM40" s="352"/>
      <c r="AN40" s="352"/>
      <c r="AO40" s="346"/>
    </row>
    <row r="41" s="1" customFormat="1" ht="54.950000000000003" customHeight="1">
      <c r="A41" s="356"/>
      <c r="B41" s="356"/>
      <c r="C41" s="113"/>
      <c r="D41" s="113"/>
      <c r="E41" s="113"/>
      <c r="F41" s="113"/>
      <c r="G41" s="113"/>
      <c r="H41" s="113"/>
      <c r="I41" s="113"/>
      <c r="J41" s="113"/>
      <c r="K41" s="113"/>
      <c r="L41" s="113"/>
      <c r="M41" s="113"/>
      <c r="N41" s="113"/>
      <c r="O41" s="113"/>
      <c r="P41" s="113"/>
      <c r="Q41" s="113"/>
      <c r="R41" s="113"/>
      <c r="S41" s="113"/>
      <c r="T41" s="113"/>
      <c r="U41" s="113"/>
      <c r="V41" s="113"/>
      <c r="W41" s="113"/>
      <c r="X41" s="113"/>
      <c r="Y41" s="113"/>
      <c r="Z41" s="113"/>
      <c r="AA41" s="113"/>
      <c r="AB41" s="113"/>
      <c r="AC41" s="356"/>
      <c r="AD41" s="356"/>
      <c r="AE41" s="359"/>
      <c r="AF41" s="360">
        <f t="shared" ref="AF41:AF47" si="182">(C29+E29+G29+I29+L29+N29+P29+R29+U29+W29+Y29+AA29)</f>
        <v>6</v>
      </c>
      <c r="AG41" s="360">
        <f t="shared" ref="AG41:AG47" si="183">(E29+F29+I29+J29+N29+O29+R29+S29+W29+X29+AA29+AB29)</f>
        <v>3</v>
      </c>
      <c r="AH41" s="360">
        <f t="shared" ref="AH41:AH47" si="184">(E29+I29+N29+R29+W29+AA29)</f>
        <v>3</v>
      </c>
      <c r="AI41" s="360">
        <f t="shared" ref="AI41:AI47" si="185">SUM(G29:J29,P29:S29)</f>
        <v>11</v>
      </c>
      <c r="AJ41" s="360">
        <f t="shared" ref="AJ41:AJ47" si="186">SUM(L29:S29)</f>
        <v>8</v>
      </c>
      <c r="AK41" s="360">
        <f t="shared" ref="AK41:AK47" si="187">SUM(C29:J29)</f>
        <v>3</v>
      </c>
      <c r="AL41" s="361"/>
      <c r="AM41" s="362"/>
      <c r="AN41" s="362"/>
      <c r="AO41" s="346"/>
    </row>
    <row r="42" s="1" customFormat="1" ht="54.950000000000003" customHeight="1">
      <c r="A42" s="356"/>
      <c r="B42" s="356"/>
      <c r="C42" s="113"/>
      <c r="D42" s="113"/>
      <c r="E42" s="113"/>
      <c r="F42" s="113"/>
      <c r="G42" s="113"/>
      <c r="H42" s="113"/>
      <c r="I42" s="113"/>
      <c r="J42" s="113"/>
      <c r="K42" s="113"/>
      <c r="L42" s="113"/>
      <c r="M42" s="113"/>
      <c r="N42" s="113"/>
      <c r="O42" s="113"/>
      <c r="P42" s="113"/>
      <c r="Q42" s="113"/>
      <c r="R42" s="113"/>
      <c r="S42" s="113"/>
      <c r="T42" s="113"/>
      <c r="U42" s="113"/>
      <c r="V42" s="113"/>
      <c r="W42" s="113"/>
      <c r="X42" s="113"/>
      <c r="Y42" s="113"/>
      <c r="Z42" s="113"/>
      <c r="AA42" s="113"/>
      <c r="AB42" s="113"/>
      <c r="AC42" s="356"/>
      <c r="AD42" s="356"/>
      <c r="AE42" s="359"/>
      <c r="AF42" s="363">
        <f t="shared" si="182"/>
        <v>13</v>
      </c>
      <c r="AG42" s="363">
        <f t="shared" si="183"/>
        <v>5</v>
      </c>
      <c r="AH42" s="363">
        <f t="shared" si="184"/>
        <v>5</v>
      </c>
      <c r="AI42" s="363">
        <f t="shared" si="185"/>
        <v>19</v>
      </c>
      <c r="AJ42" s="363">
        <f t="shared" si="186"/>
        <v>14</v>
      </c>
      <c r="AK42" s="363">
        <f t="shared" si="187"/>
        <v>5</v>
      </c>
      <c r="AL42" s="361"/>
      <c r="AM42" s="362"/>
      <c r="AN42" s="362"/>
      <c r="AO42" s="346"/>
    </row>
    <row r="43" s="1" customFormat="1" ht="54.950000000000003" customHeight="1">
      <c r="A43" s="356"/>
      <c r="B43" s="356"/>
      <c r="C43" s="113"/>
      <c r="D43" s="113"/>
      <c r="E43" s="113"/>
      <c r="F43" s="113"/>
      <c r="G43" s="113"/>
      <c r="H43" s="113"/>
      <c r="I43" s="113"/>
      <c r="J43" s="113"/>
      <c r="K43" s="113"/>
      <c r="L43" s="113"/>
      <c r="M43" s="113"/>
      <c r="N43" s="113"/>
      <c r="O43" s="113"/>
      <c r="P43" s="113"/>
      <c r="Q43" s="113"/>
      <c r="R43" s="113"/>
      <c r="S43" s="113"/>
      <c r="T43" s="113"/>
      <c r="U43" s="113"/>
      <c r="V43" s="113"/>
      <c r="W43" s="113"/>
      <c r="X43" s="113"/>
      <c r="Y43" s="113"/>
      <c r="Z43" s="113"/>
      <c r="AA43" s="113"/>
      <c r="AB43" s="113"/>
      <c r="AC43" s="356"/>
      <c r="AD43" s="356"/>
      <c r="AE43" s="359"/>
      <c r="AF43" s="363">
        <f t="shared" si="182"/>
        <v>8</v>
      </c>
      <c r="AG43" s="363">
        <f t="shared" si="183"/>
        <v>3</v>
      </c>
      <c r="AH43" s="363">
        <f t="shared" si="184"/>
        <v>3</v>
      </c>
      <c r="AI43" s="363">
        <f t="shared" si="185"/>
        <v>12</v>
      </c>
      <c r="AJ43" s="363">
        <f t="shared" si="186"/>
        <v>10</v>
      </c>
      <c r="AK43" s="363">
        <f t="shared" si="187"/>
        <v>2</v>
      </c>
      <c r="AL43" s="361"/>
      <c r="AM43" s="362"/>
      <c r="AN43" s="362"/>
      <c r="AO43" s="346"/>
    </row>
    <row r="44" s="1" customFormat="1" ht="54.950000000000003" customHeight="1">
      <c r="A44" s="356"/>
      <c r="B44" s="356"/>
      <c r="C44" s="113"/>
      <c r="D44" s="113"/>
      <c r="E44" s="113"/>
      <c r="F44" s="113"/>
      <c r="G44" s="113"/>
      <c r="H44" s="113"/>
      <c r="I44" s="113"/>
      <c r="J44" s="113"/>
      <c r="K44" s="113"/>
      <c r="L44" s="113"/>
      <c r="M44" s="113"/>
      <c r="N44" s="113"/>
      <c r="O44" s="113"/>
      <c r="P44" s="113"/>
      <c r="Q44" s="113"/>
      <c r="R44" s="113"/>
      <c r="S44" s="113"/>
      <c r="T44" s="113"/>
      <c r="U44" s="113"/>
      <c r="V44" s="113"/>
      <c r="W44" s="113"/>
      <c r="X44" s="113"/>
      <c r="Y44" s="113"/>
      <c r="Z44" s="113"/>
      <c r="AA44" s="113"/>
      <c r="AB44" s="113"/>
      <c r="AC44" s="356"/>
      <c r="AD44" s="356"/>
      <c r="AE44" s="359"/>
      <c r="AF44" s="363">
        <f t="shared" si="182"/>
        <v>2</v>
      </c>
      <c r="AG44" s="363">
        <f t="shared" si="183"/>
        <v>1</v>
      </c>
      <c r="AH44" s="363">
        <f t="shared" si="184"/>
        <v>1</v>
      </c>
      <c r="AI44" s="363">
        <f t="shared" si="185"/>
        <v>7</v>
      </c>
      <c r="AJ44" s="363">
        <f t="shared" si="186"/>
        <v>4</v>
      </c>
      <c r="AK44" s="363">
        <f t="shared" si="187"/>
        <v>3</v>
      </c>
      <c r="AL44" s="361"/>
      <c r="AM44" s="362"/>
      <c r="AN44" s="362"/>
      <c r="AO44" s="346"/>
    </row>
    <row r="45" s="1" customFormat="1" ht="54.950000000000003" customHeight="1">
      <c r="A45" s="356"/>
      <c r="B45" s="356"/>
      <c r="C45" s="113"/>
      <c r="D45" s="113"/>
      <c r="E45" s="113"/>
      <c r="F45" s="113"/>
      <c r="G45" s="113"/>
      <c r="H45" s="113"/>
      <c r="I45" s="113"/>
      <c r="J45" s="113"/>
      <c r="K45" s="113"/>
      <c r="L45" s="113"/>
      <c r="M45" s="113"/>
      <c r="N45" s="113"/>
      <c r="O45" s="113"/>
      <c r="P45" s="113"/>
      <c r="Q45" s="113"/>
      <c r="R45" s="113"/>
      <c r="S45" s="113"/>
      <c r="T45" s="113"/>
      <c r="U45" s="113"/>
      <c r="V45" s="113"/>
      <c r="W45" s="113"/>
      <c r="X45" s="113"/>
      <c r="Y45" s="113"/>
      <c r="Z45" s="113"/>
      <c r="AA45" s="113"/>
      <c r="AB45" s="113"/>
      <c r="AC45" s="356"/>
      <c r="AD45" s="356"/>
      <c r="AE45" s="359"/>
      <c r="AF45" s="364">
        <f t="shared" si="182"/>
        <v>1</v>
      </c>
      <c r="AG45" s="364">
        <f t="shared" si="183"/>
        <v>0</v>
      </c>
      <c r="AH45" s="364">
        <f t="shared" si="184"/>
        <v>0</v>
      </c>
      <c r="AI45" s="364">
        <f t="shared" si="185"/>
        <v>3</v>
      </c>
      <c r="AJ45" s="364">
        <f t="shared" si="186"/>
        <v>0</v>
      </c>
      <c r="AK45" s="364">
        <f t="shared" si="187"/>
        <v>3</v>
      </c>
      <c r="AL45" s="361"/>
      <c r="AM45" s="362"/>
      <c r="AN45" s="362"/>
      <c r="AO45" s="346"/>
    </row>
    <row r="46" s="1" customFormat="1" ht="54.950000000000003" customHeight="1">
      <c r="A46" s="356"/>
      <c r="B46" s="356"/>
      <c r="C46" s="113"/>
      <c r="D46" s="113"/>
      <c r="E46" s="113"/>
      <c r="F46" s="113"/>
      <c r="G46" s="113"/>
      <c r="H46" s="113"/>
      <c r="I46" s="113"/>
      <c r="J46" s="113"/>
      <c r="K46" s="113"/>
      <c r="L46" s="113"/>
      <c r="M46" s="113"/>
      <c r="N46" s="113"/>
      <c r="O46" s="113"/>
      <c r="P46" s="113"/>
      <c r="Q46" s="113"/>
      <c r="R46" s="113"/>
      <c r="S46" s="113"/>
      <c r="T46" s="113"/>
      <c r="U46" s="113"/>
      <c r="V46" s="113"/>
      <c r="W46" s="113"/>
      <c r="X46" s="113"/>
      <c r="Y46" s="113"/>
      <c r="Z46" s="113"/>
      <c r="AA46" s="113"/>
      <c r="AB46" s="113"/>
      <c r="AC46" s="356"/>
      <c r="AD46" s="356"/>
      <c r="AE46" s="359"/>
      <c r="AF46" s="365">
        <f t="shared" si="182"/>
        <v>15</v>
      </c>
      <c r="AG46" s="365">
        <f t="shared" si="183"/>
        <v>6</v>
      </c>
      <c r="AH46" s="365">
        <f t="shared" si="184"/>
        <v>6</v>
      </c>
      <c r="AI46" s="365">
        <f t="shared" si="185"/>
        <v>26</v>
      </c>
      <c r="AJ46" s="365">
        <f t="shared" si="186"/>
        <v>18</v>
      </c>
      <c r="AK46" s="365">
        <f t="shared" si="187"/>
        <v>8</v>
      </c>
      <c r="AL46" s="361"/>
      <c r="AM46" s="362"/>
      <c r="AN46" s="362"/>
      <c r="AO46" s="346"/>
    </row>
    <row r="47" s="1" customFormat="1" ht="54.950000000000003" customHeight="1">
      <c r="A47" s="356"/>
      <c r="B47" s="356"/>
      <c r="C47" s="113"/>
      <c r="D47" s="113"/>
      <c r="E47" s="113"/>
      <c r="F47" s="113"/>
      <c r="G47" s="113"/>
      <c r="H47" s="113"/>
      <c r="I47" s="113"/>
      <c r="J47" s="113"/>
      <c r="K47" s="113"/>
      <c r="L47" s="113"/>
      <c r="M47" s="113"/>
      <c r="N47" s="113"/>
      <c r="O47" s="113"/>
      <c r="P47" s="113"/>
      <c r="Q47" s="113"/>
      <c r="R47" s="113"/>
      <c r="S47" s="113"/>
      <c r="T47" s="113"/>
      <c r="U47" s="113"/>
      <c r="V47" s="113"/>
      <c r="W47" s="113"/>
      <c r="X47" s="113"/>
      <c r="Y47" s="113"/>
      <c r="Z47" s="113"/>
      <c r="AA47" s="113"/>
      <c r="AB47" s="113"/>
      <c r="AC47" s="356"/>
      <c r="AD47" s="356"/>
      <c r="AE47" s="359"/>
      <c r="AF47" s="366">
        <f t="shared" si="182"/>
        <v>13</v>
      </c>
      <c r="AG47" s="366">
        <f t="shared" si="183"/>
        <v>5</v>
      </c>
      <c r="AH47" s="366">
        <f t="shared" si="184"/>
        <v>5</v>
      </c>
      <c r="AI47" s="366">
        <f t="shared" si="185"/>
        <v>19</v>
      </c>
      <c r="AJ47" s="366">
        <f t="shared" si="186"/>
        <v>14</v>
      </c>
      <c r="AK47" s="366">
        <f t="shared" si="187"/>
        <v>5</v>
      </c>
      <c r="AL47" s="361"/>
      <c r="AM47" s="362"/>
      <c r="AN47" s="362"/>
      <c r="AO47" s="346"/>
    </row>
    <row r="48" s="1" customFormat="1" ht="21.75">
      <c r="A48" s="613"/>
      <c r="B48" s="613"/>
      <c r="C48" s="448"/>
      <c r="D48" s="448"/>
      <c r="E48" s="448"/>
      <c r="F48" s="448"/>
      <c r="G48" s="448"/>
      <c r="H48" s="448"/>
      <c r="I48" s="448"/>
      <c r="J48" s="448"/>
      <c r="K48" s="448"/>
      <c r="L48" s="448"/>
      <c r="M48" s="448"/>
      <c r="N48" s="448"/>
      <c r="O48" s="448"/>
      <c r="P48" s="448"/>
      <c r="Q48" s="448"/>
      <c r="R48" s="448"/>
      <c r="S48" s="448"/>
      <c r="T48" s="448"/>
      <c r="U48" s="448"/>
      <c r="V48" s="448"/>
      <c r="W48" s="448"/>
      <c r="X48" s="448"/>
      <c r="Y48" s="448"/>
      <c r="Z48" s="448"/>
      <c r="AA48" s="448"/>
      <c r="AB48" s="448"/>
      <c r="AC48" s="613"/>
      <c r="AD48" s="613"/>
      <c r="AE48" s="614"/>
      <c r="AF48" s="615"/>
      <c r="AG48" s="616"/>
      <c r="AH48" s="615"/>
      <c r="AI48" s="615"/>
      <c r="AJ48" s="250"/>
      <c r="AK48" s="250"/>
      <c r="AL48" s="250"/>
      <c r="AM48" s="250"/>
    </row>
    <row r="49" ht="19.5">
      <c r="A49" s="810"/>
      <c r="B49" s="811"/>
      <c r="C49" s="811"/>
      <c r="D49" s="811"/>
      <c r="E49" s="811"/>
      <c r="F49" s="811"/>
      <c r="G49" s="811"/>
      <c r="H49" s="811"/>
      <c r="I49" s="811"/>
      <c r="J49" s="811"/>
      <c r="K49" s="811"/>
      <c r="L49" s="811"/>
      <c r="M49" s="811"/>
      <c r="N49" s="811"/>
      <c r="O49" s="811"/>
      <c r="P49" s="811"/>
      <c r="Q49" s="811"/>
      <c r="R49" s="811"/>
      <c r="S49" s="811"/>
      <c r="T49" s="811"/>
      <c r="U49" s="810"/>
      <c r="V49" s="811"/>
      <c r="W49" s="811"/>
      <c r="X49" s="811"/>
      <c r="Y49" s="811"/>
      <c r="Z49" s="811"/>
      <c r="AA49" s="811"/>
      <c r="AB49" s="811"/>
      <c r="AC49" s="811"/>
      <c r="AD49" s="811"/>
      <c r="AE49" s="811"/>
      <c r="AF49" s="811"/>
      <c r="AG49" s="810"/>
      <c r="AH49" s="811"/>
      <c r="AI49" s="811"/>
      <c r="AJ49" s="811"/>
      <c r="AK49" s="811"/>
      <c r="AL49" s="811"/>
      <c r="AM49" s="811"/>
    </row>
    <row r="50" ht="19.5">
      <c r="A50" s="810"/>
      <c r="B50" s="811"/>
      <c r="C50" s="811"/>
      <c r="D50" s="811"/>
      <c r="E50" s="811"/>
      <c r="F50" s="811"/>
      <c r="G50" s="811"/>
      <c r="H50" s="811"/>
      <c r="I50" s="811"/>
      <c r="J50" s="811"/>
      <c r="K50" s="811"/>
      <c r="L50" s="811"/>
      <c r="M50" s="811"/>
      <c r="N50" s="811"/>
      <c r="O50" s="811"/>
      <c r="P50" s="811"/>
      <c r="Q50" s="811"/>
      <c r="R50" s="811"/>
      <c r="S50" s="811"/>
      <c r="T50" s="811"/>
      <c r="U50" s="810"/>
      <c r="V50" s="811"/>
      <c r="W50" s="811"/>
      <c r="X50" s="811"/>
      <c r="Y50" s="811"/>
      <c r="Z50" s="811"/>
      <c r="AA50" s="811"/>
      <c r="AB50" s="811"/>
      <c r="AC50" s="811"/>
      <c r="AD50" s="811"/>
      <c r="AE50" s="811"/>
      <c r="AF50" s="811"/>
      <c r="AG50" s="810"/>
      <c r="AH50" s="811"/>
      <c r="AI50" s="811"/>
      <c r="AJ50" s="811"/>
      <c r="AK50" s="811"/>
      <c r="AL50" s="811"/>
      <c r="AM50" s="811"/>
    </row>
    <row r="51" ht="19.5">
      <c r="A51" s="810"/>
      <c r="B51" s="811"/>
      <c r="C51" s="811"/>
      <c r="D51" s="811"/>
      <c r="E51" s="811"/>
      <c r="F51" s="811"/>
      <c r="G51" s="811"/>
      <c r="H51" s="811"/>
      <c r="I51" s="811"/>
      <c r="J51" s="811"/>
      <c r="K51" s="811"/>
      <c r="L51" s="811"/>
      <c r="M51" s="811"/>
      <c r="N51" s="811"/>
      <c r="O51" s="811"/>
      <c r="P51" s="811"/>
      <c r="Q51" s="811"/>
      <c r="R51" s="811"/>
      <c r="S51" s="811"/>
      <c r="T51" s="811"/>
      <c r="U51" s="811"/>
      <c r="V51" s="811"/>
      <c r="W51" s="811"/>
      <c r="X51" s="811"/>
      <c r="Y51" s="811"/>
      <c r="Z51" s="811"/>
      <c r="AA51" s="811"/>
      <c r="AB51" s="811"/>
      <c r="AC51" s="811"/>
      <c r="AD51" s="811"/>
      <c r="AE51" s="810"/>
      <c r="AF51" s="811"/>
      <c r="AG51" s="811"/>
      <c r="AH51" s="811"/>
      <c r="AI51" s="811"/>
      <c r="AJ51" s="811"/>
      <c r="AK51" s="811"/>
      <c r="AL51" s="811"/>
      <c r="AM51" s="811"/>
      <c r="AN51" s="810"/>
      <c r="AO51" s="811"/>
      <c r="AP51" s="811"/>
      <c r="AQ51" s="811"/>
      <c r="AR51" s="811"/>
      <c r="AS51" s="811"/>
    </row>
    <row r="52" ht="19.5">
      <c r="A52" s="810"/>
      <c r="B52" s="811"/>
      <c r="C52" s="811"/>
      <c r="D52" s="811"/>
      <c r="E52" s="811"/>
      <c r="F52" s="811"/>
      <c r="G52" s="811"/>
      <c r="H52" s="811"/>
      <c r="I52" s="811"/>
      <c r="J52" s="811"/>
      <c r="K52" s="811"/>
      <c r="L52" s="811"/>
      <c r="M52" s="811"/>
      <c r="N52" s="811"/>
      <c r="O52" s="811"/>
      <c r="P52" s="811"/>
      <c r="Q52" s="811"/>
      <c r="R52" s="811"/>
      <c r="S52" s="811"/>
      <c r="T52" s="811"/>
      <c r="U52" s="811"/>
      <c r="V52" s="811"/>
      <c r="W52" s="811"/>
      <c r="X52" s="811"/>
      <c r="Y52" s="811"/>
      <c r="Z52" s="811"/>
      <c r="AA52" s="811"/>
      <c r="AB52" s="811"/>
      <c r="AC52" s="811"/>
      <c r="AD52" s="811"/>
      <c r="AE52" s="810"/>
      <c r="AF52" s="811"/>
      <c r="AG52" s="811"/>
      <c r="AH52" s="811"/>
      <c r="AI52" s="811"/>
      <c r="AJ52" s="811"/>
      <c r="AK52" s="811"/>
      <c r="AL52" s="811"/>
      <c r="AM52" s="811"/>
      <c r="AN52" s="810"/>
      <c r="AO52" s="811"/>
      <c r="AP52" s="811"/>
      <c r="AQ52" s="811"/>
      <c r="AR52" s="811"/>
      <c r="AS52" s="811"/>
    </row>
    <row r="53" ht="19.5">
      <c r="A53" s="810"/>
      <c r="B53" s="811"/>
      <c r="C53" s="811"/>
      <c r="D53" s="811"/>
      <c r="E53" s="811"/>
      <c r="F53" s="811"/>
      <c r="G53" s="811"/>
      <c r="H53" s="811"/>
      <c r="I53" s="811"/>
      <c r="J53" s="811"/>
      <c r="K53" s="811"/>
      <c r="L53" s="811"/>
      <c r="M53" s="811"/>
      <c r="N53" s="811"/>
      <c r="O53" s="811"/>
      <c r="P53" s="811"/>
      <c r="Q53" s="811"/>
      <c r="R53" s="811"/>
      <c r="S53" s="811"/>
      <c r="T53" s="811"/>
      <c r="U53" s="811"/>
      <c r="V53" s="811"/>
      <c r="W53" s="811"/>
      <c r="X53" s="811"/>
      <c r="Y53" s="811"/>
      <c r="Z53" s="811"/>
      <c r="AA53" s="811"/>
      <c r="AB53" s="811"/>
      <c r="AC53" s="811"/>
      <c r="AD53" s="811"/>
      <c r="AE53" s="810"/>
      <c r="AF53" s="811"/>
      <c r="AG53" s="811"/>
      <c r="AH53" s="811"/>
      <c r="AI53" s="811"/>
      <c r="AJ53" s="811"/>
      <c r="AK53" s="811"/>
      <c r="AL53" s="811"/>
      <c r="AM53" s="811"/>
      <c r="AN53" s="810"/>
      <c r="AO53" s="811"/>
      <c r="AP53" s="811"/>
      <c r="AQ53" s="811"/>
      <c r="AR53" s="811"/>
      <c r="AS53" s="811"/>
    </row>
    <row r="54" ht="19.5">
      <c r="A54" s="810"/>
      <c r="B54" s="811"/>
      <c r="C54" s="811"/>
      <c r="D54" s="811"/>
      <c r="E54" s="811"/>
      <c r="F54" s="811"/>
      <c r="G54" s="811"/>
      <c r="H54" s="811"/>
      <c r="I54" s="811"/>
      <c r="J54" s="811"/>
      <c r="K54" s="811"/>
      <c r="L54" s="811"/>
      <c r="M54" s="811"/>
      <c r="N54" s="811"/>
      <c r="O54" s="811"/>
      <c r="P54" s="811"/>
      <c r="Q54" s="811"/>
      <c r="R54" s="811"/>
      <c r="S54" s="811"/>
      <c r="T54" s="811"/>
      <c r="U54" s="811"/>
      <c r="V54" s="811"/>
      <c r="W54" s="811"/>
      <c r="X54" s="811"/>
      <c r="Y54" s="811"/>
      <c r="Z54" s="811"/>
      <c r="AA54" s="811"/>
      <c r="AB54" s="811"/>
      <c r="AC54" s="811"/>
      <c r="AD54" s="811"/>
      <c r="AE54" s="810"/>
      <c r="AF54" s="811"/>
      <c r="AG54" s="811"/>
      <c r="AH54" s="811"/>
      <c r="AI54" s="811"/>
      <c r="AJ54" s="811"/>
      <c r="AK54" s="811"/>
      <c r="AL54" s="811"/>
      <c r="AM54" s="811"/>
      <c r="AN54" s="810"/>
      <c r="AO54" s="811"/>
      <c r="AP54" s="811"/>
      <c r="AQ54" s="811"/>
      <c r="AR54" s="811"/>
      <c r="AS54" s="811"/>
    </row>
    <row r="55" ht="19.5">
      <c r="A55" s="810"/>
      <c r="B55" s="811"/>
      <c r="C55" s="811"/>
      <c r="D55" s="811"/>
      <c r="E55" s="811"/>
      <c r="F55" s="811"/>
      <c r="G55" s="811"/>
      <c r="H55" s="811"/>
      <c r="I55" s="811"/>
      <c r="J55" s="811"/>
      <c r="K55" s="811"/>
      <c r="L55" s="811"/>
      <c r="M55" s="811"/>
      <c r="N55" s="811"/>
      <c r="O55" s="811"/>
      <c r="P55" s="811"/>
      <c r="Q55" s="811"/>
      <c r="R55" s="811"/>
      <c r="S55" s="811"/>
      <c r="T55" s="811"/>
      <c r="U55" s="811"/>
      <c r="V55" s="811"/>
      <c r="W55" s="811"/>
      <c r="X55" s="811"/>
      <c r="Y55" s="811"/>
      <c r="Z55" s="811"/>
      <c r="AA55" s="811"/>
      <c r="AB55" s="811"/>
      <c r="AC55" s="811"/>
      <c r="AD55" s="811"/>
      <c r="AE55" s="810"/>
      <c r="AF55" s="811"/>
      <c r="AG55" s="811"/>
      <c r="AH55" s="811"/>
      <c r="AI55" s="811"/>
      <c r="AJ55" s="811"/>
      <c r="AK55" s="811"/>
      <c r="AL55" s="811"/>
      <c r="AM55" s="811"/>
      <c r="AN55" s="810"/>
      <c r="AO55" s="811"/>
      <c r="AP55" s="811"/>
      <c r="AQ55" s="811"/>
      <c r="AR55" s="811"/>
      <c r="AS55" s="811"/>
    </row>
    <row r="56" ht="19.5">
      <c r="A56" s="810"/>
      <c r="B56" s="811"/>
      <c r="C56" s="811"/>
      <c r="D56" s="811"/>
      <c r="E56" s="811"/>
      <c r="F56" s="811"/>
      <c r="G56" s="811"/>
      <c r="H56" s="811"/>
      <c r="I56" s="811"/>
      <c r="J56" s="811"/>
      <c r="K56" s="811"/>
      <c r="L56" s="811"/>
      <c r="M56" s="811"/>
      <c r="N56" s="811"/>
      <c r="O56" s="811"/>
      <c r="P56" s="811"/>
      <c r="Q56" s="811"/>
      <c r="R56" s="811"/>
      <c r="S56" s="811"/>
      <c r="T56" s="811"/>
      <c r="U56" s="811"/>
      <c r="V56" s="811"/>
      <c r="W56" s="811"/>
      <c r="X56" s="811"/>
      <c r="Y56" s="811"/>
      <c r="Z56" s="811"/>
      <c r="AA56" s="811"/>
      <c r="AB56" s="811"/>
      <c r="AC56" s="811"/>
      <c r="AD56" s="811"/>
      <c r="AE56" s="810"/>
      <c r="AF56" s="811"/>
      <c r="AG56" s="811"/>
      <c r="AH56" s="811"/>
      <c r="AI56" s="811"/>
      <c r="AJ56" s="811"/>
      <c r="AK56" s="811"/>
      <c r="AL56" s="811"/>
      <c r="AM56" s="811"/>
      <c r="AN56" s="810"/>
      <c r="AO56" s="811"/>
      <c r="AP56" s="811"/>
      <c r="AQ56" s="811"/>
      <c r="AR56" s="811"/>
      <c r="AS56" s="811"/>
    </row>
    <row r="57" ht="19.5">
      <c r="F57" s="811"/>
      <c r="G57" s="811"/>
      <c r="H57" s="811"/>
      <c r="I57" s="811"/>
      <c r="J57" s="811"/>
      <c r="K57" s="811"/>
      <c r="L57" s="811"/>
      <c r="M57" s="811"/>
      <c r="N57" s="811"/>
      <c r="U57" s="811"/>
      <c r="V57" s="811"/>
      <c r="W57" s="811"/>
    </row>
    <row r="58" ht="19.5">
      <c r="F58" s="811"/>
      <c r="G58" s="811"/>
      <c r="H58" s="811"/>
      <c r="I58" s="811"/>
      <c r="J58" s="811"/>
      <c r="K58" s="811"/>
      <c r="L58" s="811"/>
      <c r="M58" s="811"/>
      <c r="N58" s="811"/>
      <c r="U58" s="811"/>
      <c r="V58" s="811"/>
      <c r="W58" s="811"/>
    </row>
  </sheetData>
  <mergeCells count="83">
    <mergeCell ref="C3:X3"/>
    <mergeCell ref="C5:O5"/>
    <mergeCell ref="R5:AA5"/>
    <mergeCell ref="C7:J7"/>
    <mergeCell ref="L7:S7"/>
    <mergeCell ref="U7:AB7"/>
    <mergeCell ref="C8:F8"/>
    <mergeCell ref="G8:J8"/>
    <mergeCell ref="L8:O8"/>
    <mergeCell ref="P8:S8"/>
    <mergeCell ref="U8:X8"/>
    <mergeCell ref="Y8:AB8"/>
    <mergeCell ref="C9:D9"/>
    <mergeCell ref="E9:F9"/>
    <mergeCell ref="G9:H9"/>
    <mergeCell ref="I9:J9"/>
    <mergeCell ref="L9:M9"/>
    <mergeCell ref="N9:O9"/>
    <mergeCell ref="P9:Q9"/>
    <mergeCell ref="R9:S9"/>
    <mergeCell ref="U9:V9"/>
    <mergeCell ref="W9:X9"/>
    <mergeCell ref="Y9:Z9"/>
    <mergeCell ref="AA9:AB9"/>
    <mergeCell ref="C24:O24"/>
    <mergeCell ref="C25:J25"/>
    <mergeCell ref="L25:S25"/>
    <mergeCell ref="U25:AB25"/>
    <mergeCell ref="AE25:AE28"/>
    <mergeCell ref="AF25:AF28"/>
    <mergeCell ref="AG25:AG28"/>
    <mergeCell ref="AH25:AH28"/>
    <mergeCell ref="AI25:AI28"/>
    <mergeCell ref="AJ25:AJ28"/>
    <mergeCell ref="AK25:AK28"/>
    <mergeCell ref="AL25:AO28"/>
    <mergeCell ref="C26:F26"/>
    <mergeCell ref="G26:J26"/>
    <mergeCell ref="L26:O26"/>
    <mergeCell ref="P26:S26"/>
    <mergeCell ref="U26:X26"/>
    <mergeCell ref="Y26:AB26"/>
    <mergeCell ref="C27:D27"/>
    <mergeCell ref="E27:F27"/>
    <mergeCell ref="G27:H27"/>
    <mergeCell ref="I27:J27"/>
    <mergeCell ref="L27:M27"/>
    <mergeCell ref="N27:O27"/>
    <mergeCell ref="P27:Q27"/>
    <mergeCell ref="R27:S27"/>
    <mergeCell ref="U27:V27"/>
    <mergeCell ref="W27:X27"/>
    <mergeCell ref="Y27:Z27"/>
    <mergeCell ref="AA27:AB27"/>
    <mergeCell ref="A28:B28"/>
    <mergeCell ref="AC28:AD28"/>
    <mergeCell ref="A29:B29"/>
    <mergeCell ref="AC29:AD29"/>
    <mergeCell ref="AL29:AO29"/>
    <mergeCell ref="A30:B30"/>
    <mergeCell ref="AC30:AD30"/>
    <mergeCell ref="AL30:AO30"/>
    <mergeCell ref="A31:B31"/>
    <mergeCell ref="AC31:AD31"/>
    <mergeCell ref="AL31:AO31"/>
    <mergeCell ref="A32:B32"/>
    <mergeCell ref="AC32:AD32"/>
    <mergeCell ref="AL32:AO32"/>
    <mergeCell ref="A33:B33"/>
    <mergeCell ref="AC33:AD33"/>
    <mergeCell ref="AL33:AO33"/>
    <mergeCell ref="A34:B34"/>
    <mergeCell ref="AC34:AD34"/>
    <mergeCell ref="AL34:AO34"/>
    <mergeCell ref="A35:B35"/>
    <mergeCell ref="AC35:AD35"/>
    <mergeCell ref="AL35:AO35"/>
    <mergeCell ref="AF37:AF40"/>
    <mergeCell ref="AG37:AG40"/>
    <mergeCell ref="AH37:AH40"/>
    <mergeCell ref="AI37:AI40"/>
    <mergeCell ref="AJ37:AJ40"/>
    <mergeCell ref="AK37:AK40"/>
  </mergeCells>
  <printOptions headings="0" gridLines="0"/>
  <pageMargins left="0.39370078740157477" right="0.39370078740157477" top="0.39370078740157477" bottom="0.39370078740157477" header="0.59055118110236238" footer="0.59055118110236238"/>
  <pageSetup paperSize="9" scale="38" fitToWidth="1" fitToHeight="0" pageOrder="overThenDown" orientation="landscape" usePrinterDefaults="1" blackAndWhite="0" draft="0" cellComments="none" useFirstPageNumber="1" errors="displayed" horizontalDpi="600" verticalDpi="600" copies="1"/>
  <headerFooter/>
  <colBreaks count="1" manualBreakCount="1">
    <brk id="28" man="1" max="22"/>
  </colBreaks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tabColor indexed="5"/>
    <outlinePr applyStyles="0" summaryBelow="1" summaryRight="1" showOutlineSymbols="1"/>
    <pageSetUpPr autoPageBreaks="1" fitToPage="1"/>
  </sheetPr>
  <sheetViews>
    <sheetView view="pageBreakPreview" zoomScale="40" workbookViewId="0">
      <selection activeCell="AE20" activeCellId="0" sqref="AE20"/>
    </sheetView>
  </sheetViews>
  <sheetFormatPr baseColWidth="10" defaultRowHeight="14.25" outlineLevelRow="1"/>
  <cols>
    <col customWidth="1" min="1" max="1" style="251" width="9.125"/>
    <col customWidth="1" min="2" max="2" style="251" width="13.75"/>
    <col customWidth="1" min="3" max="14" style="251" width="12.875"/>
    <col customWidth="1" min="15" max="15" style="251" width="2.625"/>
    <col customWidth="1" min="16" max="27" style="251" width="12.875"/>
    <col customWidth="1" min="28" max="28" style="251" width="9.125"/>
    <col customWidth="1" min="29" max="29" style="251" width="13.75"/>
    <col customWidth="1" min="30" max="35" style="251" width="21.125"/>
    <col customWidth="1" min="36" max="36" style="251" width="123.625"/>
    <col customWidth="1" min="37" max="37" style="251" width="21.125"/>
    <col customWidth="1" min="38" max="44" style="251" width="10.625"/>
    <col min="45" max="16384" style="251" width="11"/>
  </cols>
  <sheetData>
    <row r="1" ht="52.5" customHeight="1">
      <c r="A1" s="2" t="s">
        <v>0</v>
      </c>
      <c r="B1" s="3" t="s">
        <v>100</v>
      </c>
      <c r="C1" s="4"/>
      <c r="D1" s="4"/>
      <c r="E1" s="4"/>
      <c r="F1" s="5"/>
      <c r="G1" s="5"/>
      <c r="H1" s="4"/>
      <c r="I1" s="4"/>
      <c r="J1" s="5"/>
      <c r="K1" s="5"/>
      <c r="L1" s="6"/>
      <c r="M1" s="7" t="s">
        <v>2</v>
      </c>
      <c r="N1" s="8" t="s">
        <v>3</v>
      </c>
      <c r="O1" s="9"/>
      <c r="P1" s="4"/>
      <c r="Q1" s="4"/>
      <c r="R1" s="4"/>
      <c r="S1" s="4"/>
      <c r="T1" s="4"/>
      <c r="U1" s="4"/>
      <c r="V1" s="4"/>
      <c r="W1" s="10"/>
      <c r="X1" s="11"/>
      <c r="Y1" s="11"/>
      <c r="Z1" s="11"/>
      <c r="AA1" s="12"/>
    </row>
    <row r="2" ht="52.5" customHeight="1">
      <c r="A2" s="13" t="s">
        <v>4</v>
      </c>
      <c r="B2" s="14"/>
      <c r="C2" s="14"/>
      <c r="D2" s="14"/>
      <c r="E2" s="14"/>
      <c r="F2" s="14"/>
      <c r="G2" s="3" t="s">
        <v>101</v>
      </c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10"/>
      <c r="X2" s="14"/>
      <c r="Y2" s="14"/>
      <c r="Z2" s="14"/>
      <c r="AA2" s="14"/>
    </row>
    <row r="3" ht="52.5" customHeight="1">
      <c r="A3" s="13" t="s">
        <v>6</v>
      </c>
      <c r="B3" s="14"/>
      <c r="C3" s="3" t="s">
        <v>7</v>
      </c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10"/>
      <c r="X3" s="14"/>
      <c r="Y3" s="14"/>
      <c r="Z3" s="14"/>
      <c r="AA3" s="15"/>
    </row>
    <row r="4" ht="24.949999999999999" customHeight="1">
      <c r="A4" s="13"/>
      <c r="B4" s="14"/>
      <c r="C4" s="14"/>
      <c r="D4" s="14"/>
      <c r="E4" s="14"/>
      <c r="F4" s="14"/>
      <c r="G4" s="14"/>
      <c r="H4" s="14"/>
      <c r="I4" s="14"/>
      <c r="J4" s="14"/>
      <c r="K4" s="14"/>
      <c r="L4" s="14"/>
      <c r="M4" s="14"/>
      <c r="N4" s="14"/>
      <c r="O4" s="14"/>
      <c r="P4" s="14"/>
      <c r="Q4" s="14"/>
      <c r="R4" s="14"/>
      <c r="S4" s="14"/>
      <c r="T4" s="14"/>
      <c r="U4" s="14"/>
      <c r="V4" s="14"/>
      <c r="W4" s="14"/>
      <c r="X4" s="14"/>
      <c r="Y4" s="14"/>
      <c r="Z4" s="14"/>
      <c r="AA4" s="15"/>
    </row>
    <row r="5" s="252" customFormat="1" ht="75" customHeight="1">
      <c r="A5" s="17" t="s">
        <v>8</v>
      </c>
      <c r="B5" s="18"/>
      <c r="C5" s="19" t="s">
        <v>102</v>
      </c>
      <c r="D5" s="20"/>
      <c r="E5" s="20"/>
      <c r="F5" s="20"/>
      <c r="G5" s="20"/>
      <c r="H5" s="20"/>
      <c r="I5" s="20"/>
      <c r="J5" s="20"/>
      <c r="K5" s="20"/>
      <c r="L5" s="20"/>
      <c r="M5" s="20"/>
      <c r="N5" s="20"/>
      <c r="O5" s="21"/>
      <c r="P5" s="22" t="s">
        <v>10</v>
      </c>
      <c r="Q5" s="22"/>
      <c r="R5" s="21" t="s">
        <v>11</v>
      </c>
      <c r="S5" s="21"/>
      <c r="T5" s="21"/>
      <c r="U5" s="21"/>
      <c r="V5" s="21"/>
      <c r="W5" s="21"/>
      <c r="X5" s="21"/>
      <c r="Y5" s="21"/>
      <c r="Z5" s="21"/>
      <c r="AA5" s="21"/>
      <c r="AB5" s="21"/>
    </row>
    <row r="6" ht="8.0999999999999996" customHeight="1">
      <c r="A6" s="23"/>
      <c r="B6" s="14"/>
      <c r="C6" s="14"/>
      <c r="D6" s="14"/>
      <c r="E6" s="14"/>
      <c r="F6" s="14"/>
      <c r="G6" s="14"/>
      <c r="H6" s="14"/>
      <c r="I6" s="14"/>
      <c r="J6" s="14"/>
      <c r="K6" s="14"/>
      <c r="L6" s="14"/>
      <c r="M6" s="14"/>
      <c r="N6" s="14"/>
      <c r="O6" s="14"/>
      <c r="P6" s="14"/>
      <c r="Q6" s="14"/>
      <c r="R6" s="14"/>
      <c r="S6" s="14"/>
      <c r="T6" s="14"/>
      <c r="U6" s="14"/>
      <c r="V6" s="14"/>
      <c r="W6" s="14"/>
      <c r="X6" s="14"/>
      <c r="Y6" s="14"/>
      <c r="Z6" s="14"/>
      <c r="AA6" s="15"/>
    </row>
    <row r="7" ht="32.25" customHeight="1">
      <c r="A7" s="13"/>
      <c r="B7" s="14"/>
      <c r="C7" s="24" t="s">
        <v>84</v>
      </c>
      <c r="D7" s="384"/>
      <c r="E7" s="25"/>
      <c r="F7" s="25"/>
      <c r="G7" s="25"/>
      <c r="H7" s="25"/>
      <c r="I7" s="25"/>
      <c r="J7" s="25"/>
      <c r="K7" s="25"/>
      <c r="L7" s="25"/>
      <c r="M7" s="25"/>
      <c r="N7" s="27"/>
      <c r="O7" s="812"/>
      <c r="P7" s="24" t="s">
        <v>103</v>
      </c>
      <c r="Q7" s="384"/>
      <c r="R7" s="25"/>
      <c r="S7" s="25"/>
      <c r="T7" s="25"/>
      <c r="U7" s="25"/>
      <c r="V7" s="25"/>
      <c r="W7" s="25"/>
      <c r="X7" s="25"/>
      <c r="Y7" s="25"/>
      <c r="Z7" s="25"/>
      <c r="AA7" s="27"/>
      <c r="AC7" s="256"/>
      <c r="AD7" s="256"/>
      <c r="AE7" s="256"/>
      <c r="AF7" s="256"/>
      <c r="AG7" s="256"/>
    </row>
    <row r="8" ht="22.699999999999999" customHeight="1">
      <c r="A8" s="13"/>
      <c r="B8" s="14"/>
      <c r="C8" s="813" t="s">
        <v>14</v>
      </c>
      <c r="D8" s="813"/>
      <c r="E8" s="813"/>
      <c r="F8" s="813"/>
      <c r="G8" s="813" t="s">
        <v>104</v>
      </c>
      <c r="H8" s="813"/>
      <c r="I8" s="813"/>
      <c r="J8" s="813"/>
      <c r="K8" s="813" t="s">
        <v>105</v>
      </c>
      <c r="L8" s="813"/>
      <c r="M8" s="813"/>
      <c r="N8" s="813"/>
      <c r="O8" s="813"/>
      <c r="P8" s="813" t="s">
        <v>14</v>
      </c>
      <c r="Q8" s="813"/>
      <c r="R8" s="813"/>
      <c r="S8" s="813"/>
      <c r="T8" s="813" t="s">
        <v>85</v>
      </c>
      <c r="U8" s="813"/>
      <c r="V8" s="813"/>
      <c r="W8" s="813"/>
      <c r="X8" s="813" t="s">
        <v>105</v>
      </c>
      <c r="Y8" s="813"/>
      <c r="Z8" s="813"/>
      <c r="AA8" s="813"/>
    </row>
    <row r="9" ht="18.600000000000001" customHeight="1">
      <c r="A9" s="13"/>
      <c r="B9" s="14"/>
      <c r="C9" s="33" t="s">
        <v>18</v>
      </c>
      <c r="D9" s="814"/>
      <c r="E9" s="35" t="s">
        <v>19</v>
      </c>
      <c r="F9" s="36"/>
      <c r="G9" s="36" t="s">
        <v>18</v>
      </c>
      <c r="H9" s="37"/>
      <c r="I9" s="35" t="s">
        <v>19</v>
      </c>
      <c r="J9" s="36"/>
      <c r="K9" s="36" t="s">
        <v>18</v>
      </c>
      <c r="L9" s="37"/>
      <c r="M9" s="815" t="s">
        <v>19</v>
      </c>
      <c r="N9" s="816"/>
      <c r="O9" s="41"/>
      <c r="P9" s="33" t="s">
        <v>18</v>
      </c>
      <c r="Q9" s="814"/>
      <c r="R9" s="35" t="s">
        <v>19</v>
      </c>
      <c r="S9" s="36"/>
      <c r="T9" s="36" t="s">
        <v>18</v>
      </c>
      <c r="U9" s="37"/>
      <c r="V9" s="35" t="s">
        <v>19</v>
      </c>
      <c r="W9" s="36"/>
      <c r="X9" s="36" t="s">
        <v>18</v>
      </c>
      <c r="Y9" s="37"/>
      <c r="Z9" s="815" t="s">
        <v>19</v>
      </c>
      <c r="AA9" s="816"/>
    </row>
    <row r="10" ht="21">
      <c r="A10" s="43" t="s">
        <v>20</v>
      </c>
      <c r="B10" s="44" t="s">
        <v>21</v>
      </c>
      <c r="C10" s="45" t="s">
        <v>22</v>
      </c>
      <c r="D10" s="50" t="s">
        <v>23</v>
      </c>
      <c r="E10" s="47" t="s">
        <v>22</v>
      </c>
      <c r="F10" s="48" t="s">
        <v>23</v>
      </c>
      <c r="G10" s="49" t="s">
        <v>22</v>
      </c>
      <c r="H10" s="50" t="s">
        <v>23</v>
      </c>
      <c r="I10" s="47" t="s">
        <v>22</v>
      </c>
      <c r="J10" s="48" t="s">
        <v>23</v>
      </c>
      <c r="K10" s="49" t="s">
        <v>22</v>
      </c>
      <c r="L10" s="50" t="s">
        <v>23</v>
      </c>
      <c r="M10" s="47" t="s">
        <v>22</v>
      </c>
      <c r="N10" s="390" t="s">
        <v>23</v>
      </c>
      <c r="O10" s="55"/>
      <c r="P10" s="45" t="s">
        <v>22</v>
      </c>
      <c r="Q10" s="50" t="s">
        <v>23</v>
      </c>
      <c r="R10" s="47" t="s">
        <v>22</v>
      </c>
      <c r="S10" s="48" t="s">
        <v>23</v>
      </c>
      <c r="T10" s="49" t="s">
        <v>22</v>
      </c>
      <c r="U10" s="50" t="s">
        <v>23</v>
      </c>
      <c r="V10" s="47" t="s">
        <v>22</v>
      </c>
      <c r="W10" s="48" t="s">
        <v>23</v>
      </c>
      <c r="X10" s="49" t="s">
        <v>22</v>
      </c>
      <c r="Y10" s="50" t="s">
        <v>23</v>
      </c>
      <c r="Z10" s="47" t="s">
        <v>22</v>
      </c>
      <c r="AA10" s="390" t="s">
        <v>23</v>
      </c>
      <c r="AB10" s="263"/>
    </row>
    <row r="11" ht="54.950000000000003" hidden="1" customHeight="1" outlineLevel="1">
      <c r="A11" s="58">
        <v>6</v>
      </c>
      <c r="B11" s="59" t="s">
        <v>24</v>
      </c>
      <c r="C11" s="60"/>
      <c r="D11" s="65"/>
      <c r="E11" s="62"/>
      <c r="F11" s="63"/>
      <c r="G11" s="64"/>
      <c r="H11" s="65"/>
      <c r="I11" s="62"/>
      <c r="J11" s="63"/>
      <c r="K11" s="64"/>
      <c r="L11" s="65"/>
      <c r="M11" s="62"/>
      <c r="N11" s="817"/>
      <c r="O11" s="70"/>
      <c r="P11" s="60"/>
      <c r="Q11" s="65"/>
      <c r="R11" s="62"/>
      <c r="S11" s="63"/>
      <c r="T11" s="64"/>
      <c r="U11" s="65"/>
      <c r="V11" s="62"/>
      <c r="W11" s="63"/>
      <c r="X11" s="64"/>
      <c r="Y11" s="65"/>
      <c r="Z11" s="62"/>
      <c r="AA11" s="817"/>
      <c r="AB11" s="270"/>
      <c r="AC11" s="270"/>
      <c r="AD11" s="270"/>
      <c r="AE11" s="270"/>
      <c r="AF11" s="270"/>
      <c r="AG11" s="270"/>
    </row>
    <row r="12" ht="54.950000000000003" hidden="1" customHeight="1" outlineLevel="1">
      <c r="A12" s="58"/>
      <c r="B12" s="59" t="s">
        <v>25</v>
      </c>
      <c r="C12" s="60"/>
      <c r="D12" s="65"/>
      <c r="E12" s="62"/>
      <c r="F12" s="63"/>
      <c r="G12" s="64"/>
      <c r="H12" s="65"/>
      <c r="I12" s="62"/>
      <c r="J12" s="63"/>
      <c r="K12" s="64"/>
      <c r="L12" s="65"/>
      <c r="M12" s="62"/>
      <c r="N12" s="817"/>
      <c r="O12" s="70"/>
      <c r="P12" s="60"/>
      <c r="Q12" s="65"/>
      <c r="R12" s="62"/>
      <c r="S12" s="63"/>
      <c r="T12" s="64"/>
      <c r="U12" s="65"/>
      <c r="V12" s="62"/>
      <c r="W12" s="63"/>
      <c r="X12" s="64"/>
      <c r="Y12" s="65"/>
      <c r="Z12" s="62"/>
      <c r="AA12" s="817"/>
      <c r="AB12" s="270"/>
      <c r="AC12" s="270"/>
      <c r="AD12" s="270"/>
      <c r="AE12" s="270"/>
      <c r="AF12" s="270"/>
      <c r="AG12" s="270"/>
    </row>
    <row r="13" ht="54.950000000000003" customHeight="1" collapsed="1">
      <c r="A13" s="58">
        <v>7</v>
      </c>
      <c r="B13" s="59" t="s">
        <v>26</v>
      </c>
      <c r="C13" s="73"/>
      <c r="D13" s="74"/>
      <c r="E13" s="75"/>
      <c r="F13" s="76"/>
      <c r="G13" s="77"/>
      <c r="H13" s="74"/>
      <c r="I13" s="75"/>
      <c r="J13" s="76"/>
      <c r="K13" s="73"/>
      <c r="L13" s="74"/>
      <c r="M13" s="75"/>
      <c r="N13" s="76"/>
      <c r="O13" s="70"/>
      <c r="P13" s="73"/>
      <c r="Q13" s="74"/>
      <c r="R13" s="75"/>
      <c r="S13" s="76"/>
      <c r="T13" s="77">
        <v>1</v>
      </c>
      <c r="U13" s="74">
        <v>2</v>
      </c>
      <c r="V13" s="75"/>
      <c r="W13" s="76"/>
      <c r="X13" s="73"/>
      <c r="Y13" s="74"/>
      <c r="Z13" s="75"/>
      <c r="AA13" s="76"/>
      <c r="AB13" s="270"/>
      <c r="AC13" s="270"/>
      <c r="AD13" s="270"/>
      <c r="AE13" s="270"/>
      <c r="AF13" s="270"/>
      <c r="AG13" s="270"/>
    </row>
    <row r="14" ht="54.950000000000003" customHeight="1">
      <c r="A14" s="58"/>
      <c r="B14" s="59" t="s">
        <v>27</v>
      </c>
      <c r="C14" s="78"/>
      <c r="D14" s="79"/>
      <c r="E14" s="80"/>
      <c r="F14" s="81"/>
      <c r="G14" s="82"/>
      <c r="H14" s="79"/>
      <c r="I14" s="80"/>
      <c r="J14" s="81"/>
      <c r="K14" s="78"/>
      <c r="L14" s="79"/>
      <c r="M14" s="80"/>
      <c r="N14" s="81"/>
      <c r="O14" s="70"/>
      <c r="P14" s="78"/>
      <c r="Q14" s="79"/>
      <c r="R14" s="80"/>
      <c r="S14" s="81"/>
      <c r="T14" s="82">
        <v>2</v>
      </c>
      <c r="U14" s="79">
        <v>1</v>
      </c>
      <c r="V14" s="80"/>
      <c r="W14" s="81">
        <v>1</v>
      </c>
      <c r="X14" s="78"/>
      <c r="Y14" s="79"/>
      <c r="Z14" s="80"/>
      <c r="AA14" s="81"/>
      <c r="AB14" s="270"/>
      <c r="AC14" s="270"/>
      <c r="AD14" s="270"/>
      <c r="AE14" s="270"/>
      <c r="AF14" s="270"/>
      <c r="AG14" s="270"/>
    </row>
    <row r="15" ht="54.950000000000003" customHeight="1">
      <c r="A15" s="58"/>
      <c r="B15" s="59" t="s">
        <v>24</v>
      </c>
      <c r="C15" s="83"/>
      <c r="D15" s="84"/>
      <c r="E15" s="85"/>
      <c r="F15" s="86"/>
      <c r="G15" s="87"/>
      <c r="H15" s="84">
        <v>1</v>
      </c>
      <c r="I15" s="85"/>
      <c r="J15" s="86"/>
      <c r="K15" s="83"/>
      <c r="L15" s="84"/>
      <c r="M15" s="85"/>
      <c r="N15" s="86"/>
      <c r="O15" s="70"/>
      <c r="P15" s="83"/>
      <c r="Q15" s="84"/>
      <c r="R15" s="85"/>
      <c r="S15" s="86"/>
      <c r="T15" s="87">
        <v>1</v>
      </c>
      <c r="U15" s="84">
        <v>1</v>
      </c>
      <c r="V15" s="85"/>
      <c r="W15" s="86">
        <v>1</v>
      </c>
      <c r="X15" s="83"/>
      <c r="Y15" s="84"/>
      <c r="Z15" s="85"/>
      <c r="AA15" s="86"/>
      <c r="AB15" s="270"/>
      <c r="AC15" s="270"/>
      <c r="AD15" s="270"/>
      <c r="AE15" s="270"/>
      <c r="AF15" s="270"/>
      <c r="AG15" s="270"/>
    </row>
    <row r="16" ht="54.950000000000003" customHeight="1">
      <c r="A16" s="58"/>
      <c r="B16" s="59" t="s">
        <v>25</v>
      </c>
      <c r="C16" s="88"/>
      <c r="D16" s="89"/>
      <c r="E16" s="90"/>
      <c r="F16" s="91"/>
      <c r="G16" s="92"/>
      <c r="H16" s="89">
        <v>1</v>
      </c>
      <c r="I16" s="90"/>
      <c r="J16" s="91"/>
      <c r="K16" s="88"/>
      <c r="L16" s="89"/>
      <c r="M16" s="90"/>
      <c r="N16" s="91"/>
      <c r="O16" s="70"/>
      <c r="P16" s="88"/>
      <c r="Q16" s="89"/>
      <c r="R16" s="90"/>
      <c r="S16" s="91"/>
      <c r="T16" s="92">
        <v>2</v>
      </c>
      <c r="U16" s="89">
        <v>1</v>
      </c>
      <c r="V16" s="90">
        <v>1</v>
      </c>
      <c r="W16" s="91"/>
      <c r="X16" s="88"/>
      <c r="Y16" s="89"/>
      <c r="Z16" s="90"/>
      <c r="AA16" s="91"/>
      <c r="AB16" s="270"/>
      <c r="AC16" s="270"/>
      <c r="AD16" s="270"/>
      <c r="AE16" s="270"/>
      <c r="AF16" s="270"/>
      <c r="AG16" s="270"/>
    </row>
    <row r="17" ht="54.950000000000003" customHeight="1">
      <c r="A17" s="58">
        <v>8</v>
      </c>
      <c r="B17" s="59" t="s">
        <v>26</v>
      </c>
      <c r="C17" s="73"/>
      <c r="D17" s="74"/>
      <c r="E17" s="75"/>
      <c r="F17" s="76"/>
      <c r="G17" s="77"/>
      <c r="H17" s="74"/>
      <c r="I17" s="75"/>
      <c r="J17" s="76"/>
      <c r="K17" s="73"/>
      <c r="L17" s="74"/>
      <c r="M17" s="75"/>
      <c r="N17" s="76"/>
      <c r="O17" s="70"/>
      <c r="P17" s="73"/>
      <c r="Q17" s="74"/>
      <c r="R17" s="75"/>
      <c r="S17" s="76">
        <v>1</v>
      </c>
      <c r="T17" s="77">
        <v>2</v>
      </c>
      <c r="U17" s="74"/>
      <c r="V17" s="75"/>
      <c r="W17" s="76"/>
      <c r="X17" s="73"/>
      <c r="Y17" s="74"/>
      <c r="Z17" s="75"/>
      <c r="AA17" s="76"/>
      <c r="AB17" s="270"/>
      <c r="AC17" s="270"/>
      <c r="AD17" s="270"/>
      <c r="AE17" s="270"/>
      <c r="AF17" s="270"/>
      <c r="AG17" s="270"/>
    </row>
    <row r="18" ht="54.950000000000003" customHeight="1">
      <c r="A18" s="58"/>
      <c r="B18" s="59" t="s">
        <v>27</v>
      </c>
      <c r="C18" s="78"/>
      <c r="D18" s="79"/>
      <c r="E18" s="80"/>
      <c r="F18" s="81"/>
      <c r="G18" s="82">
        <v>1</v>
      </c>
      <c r="H18" s="79">
        <v>1</v>
      </c>
      <c r="I18" s="80"/>
      <c r="J18" s="81"/>
      <c r="K18" s="78"/>
      <c r="L18" s="79"/>
      <c r="M18" s="80"/>
      <c r="N18" s="81"/>
      <c r="O18" s="70"/>
      <c r="P18" s="78"/>
      <c r="Q18" s="79"/>
      <c r="R18" s="80"/>
      <c r="S18" s="81"/>
      <c r="T18" s="82"/>
      <c r="U18" s="79"/>
      <c r="V18" s="80"/>
      <c r="W18" s="81"/>
      <c r="X18" s="78"/>
      <c r="Y18" s="79"/>
      <c r="Z18" s="80"/>
      <c r="AA18" s="81"/>
      <c r="AB18" s="270"/>
      <c r="AC18" s="270"/>
      <c r="AD18" s="270"/>
      <c r="AE18" s="270"/>
      <c r="AF18" s="270"/>
      <c r="AG18" s="270"/>
    </row>
    <row r="19" ht="54.950000000000003" customHeight="1">
      <c r="A19" s="58"/>
      <c r="B19" s="59" t="s">
        <v>24</v>
      </c>
      <c r="C19" s="83"/>
      <c r="D19" s="84"/>
      <c r="E19" s="85"/>
      <c r="F19" s="86"/>
      <c r="G19" s="87"/>
      <c r="H19" s="84"/>
      <c r="I19" s="85"/>
      <c r="J19" s="86"/>
      <c r="K19" s="83"/>
      <c r="L19" s="84"/>
      <c r="M19" s="85"/>
      <c r="N19" s="86"/>
      <c r="O19" s="70"/>
      <c r="P19" s="83"/>
      <c r="Q19" s="84"/>
      <c r="R19" s="85"/>
      <c r="S19" s="86"/>
      <c r="T19" s="87"/>
      <c r="U19" s="84">
        <v>2</v>
      </c>
      <c r="V19" s="85"/>
      <c r="W19" s="86"/>
      <c r="X19" s="83"/>
      <c r="Y19" s="84"/>
      <c r="Z19" s="85"/>
      <c r="AA19" s="86"/>
      <c r="AB19" s="270"/>
      <c r="AC19" s="270"/>
      <c r="AD19" s="270"/>
      <c r="AE19" s="270"/>
      <c r="AF19" s="270"/>
      <c r="AG19" s="270"/>
    </row>
    <row r="20" ht="54.950000000000003" customHeight="1">
      <c r="A20" s="58"/>
      <c r="B20" s="59" t="s">
        <v>25</v>
      </c>
      <c r="C20" s="88"/>
      <c r="D20" s="89"/>
      <c r="E20" s="90"/>
      <c r="F20" s="91"/>
      <c r="G20" s="92"/>
      <c r="H20" s="89"/>
      <c r="I20" s="90"/>
      <c r="J20" s="91"/>
      <c r="K20" s="88"/>
      <c r="L20" s="89"/>
      <c r="M20" s="90"/>
      <c r="N20" s="91"/>
      <c r="O20" s="70"/>
      <c r="P20" s="88"/>
      <c r="Q20" s="89"/>
      <c r="R20" s="90"/>
      <c r="S20" s="91"/>
      <c r="T20" s="92"/>
      <c r="U20" s="89"/>
      <c r="V20" s="90"/>
      <c r="W20" s="91"/>
      <c r="X20" s="88"/>
      <c r="Y20" s="89"/>
      <c r="Z20" s="90"/>
      <c r="AA20" s="91"/>
      <c r="AB20" s="270"/>
      <c r="AC20" s="270"/>
      <c r="AD20" s="270"/>
      <c r="AE20" s="270"/>
      <c r="AF20" s="270"/>
      <c r="AG20" s="270"/>
    </row>
    <row r="21" ht="54.950000000000003" hidden="1" customHeight="1" outlineLevel="1">
      <c r="A21" s="58">
        <v>9</v>
      </c>
      <c r="B21" s="59" t="s">
        <v>26</v>
      </c>
      <c r="C21" s="60"/>
      <c r="D21" s="65"/>
      <c r="E21" s="62"/>
      <c r="F21" s="63"/>
      <c r="G21" s="64"/>
      <c r="H21" s="65"/>
      <c r="I21" s="62"/>
      <c r="J21" s="63"/>
      <c r="K21" s="64"/>
      <c r="L21" s="65"/>
      <c r="M21" s="62"/>
      <c r="N21" s="817"/>
      <c r="O21" s="70"/>
      <c r="P21" s="60"/>
      <c r="Q21" s="65"/>
      <c r="R21" s="62"/>
      <c r="S21" s="63"/>
      <c r="T21" s="64"/>
      <c r="U21" s="65"/>
      <c r="V21" s="62"/>
      <c r="W21" s="63"/>
      <c r="X21" s="64"/>
      <c r="Y21" s="65"/>
      <c r="Z21" s="62"/>
      <c r="AA21" s="817"/>
      <c r="AB21" s="270"/>
      <c r="AC21" s="270"/>
      <c r="AD21" s="270"/>
      <c r="AE21" s="270"/>
      <c r="AF21" s="270"/>
      <c r="AG21" s="270"/>
    </row>
    <row r="22" ht="54.950000000000003" hidden="1" customHeight="1" outlineLevel="1">
      <c r="A22" s="93"/>
      <c r="B22" s="94" t="s">
        <v>27</v>
      </c>
      <c r="C22" s="95"/>
      <c r="D22" s="100"/>
      <c r="E22" s="97"/>
      <c r="F22" s="98"/>
      <c r="G22" s="99"/>
      <c r="H22" s="100"/>
      <c r="I22" s="97"/>
      <c r="J22" s="98"/>
      <c r="K22" s="99"/>
      <c r="L22" s="100"/>
      <c r="M22" s="97"/>
      <c r="N22" s="818"/>
      <c r="O22" s="70"/>
      <c r="P22" s="95"/>
      <c r="Q22" s="100"/>
      <c r="R22" s="97"/>
      <c r="S22" s="98"/>
      <c r="T22" s="99"/>
      <c r="U22" s="100"/>
      <c r="V22" s="97"/>
      <c r="W22" s="98"/>
      <c r="X22" s="99"/>
      <c r="Y22" s="100"/>
      <c r="Z22" s="97"/>
      <c r="AA22" s="818"/>
      <c r="AB22" s="270"/>
      <c r="AC22" s="270"/>
      <c r="AD22" s="270"/>
      <c r="AE22" s="270"/>
      <c r="AF22" s="270"/>
      <c r="AG22" s="270"/>
    </row>
    <row r="23" s="1" customFormat="1" ht="24.949999999999999" customHeight="1" collapsed="1">
      <c r="A23" s="106"/>
      <c r="B23" s="106"/>
      <c r="C23" s="107"/>
      <c r="D23" s="107"/>
      <c r="E23" s="107"/>
      <c r="F23" s="107"/>
      <c r="G23" s="107"/>
      <c r="H23" s="107"/>
      <c r="I23" s="107"/>
      <c r="J23" s="107"/>
      <c r="K23" s="107"/>
      <c r="L23" s="107"/>
      <c r="M23" s="107"/>
      <c r="N23" s="107"/>
      <c r="O23" s="70"/>
      <c r="P23" s="107"/>
      <c r="Q23" s="107"/>
      <c r="R23" s="107"/>
      <c r="S23" s="107"/>
      <c r="T23" s="107"/>
      <c r="U23" s="107"/>
      <c r="V23" s="107"/>
      <c r="W23" s="107"/>
      <c r="X23" s="107"/>
      <c r="Y23" s="107"/>
      <c r="Z23" s="107"/>
      <c r="AA23" s="107"/>
      <c r="AB23" s="72"/>
      <c r="AC23" s="72"/>
      <c r="AD23" s="72"/>
      <c r="AE23" s="72"/>
      <c r="AF23" s="72"/>
      <c r="AG23" s="72"/>
    </row>
    <row r="24" s="1" customFormat="1" ht="75" customHeight="1">
      <c r="A24" s="17" t="s">
        <v>8</v>
      </c>
      <c r="B24" s="18"/>
      <c r="C24" s="19" t="s">
        <v>106</v>
      </c>
      <c r="D24" s="20"/>
      <c r="E24" s="20"/>
      <c r="F24" s="20"/>
      <c r="G24" s="20"/>
      <c r="H24" s="20"/>
      <c r="I24" s="20"/>
      <c r="J24" s="20"/>
      <c r="K24" s="20"/>
      <c r="L24" s="20"/>
      <c r="M24" s="20"/>
      <c r="N24" s="20"/>
      <c r="O24" s="21"/>
      <c r="P24" s="14"/>
      <c r="Q24" s="14"/>
      <c r="R24" s="14"/>
      <c r="S24" s="14"/>
      <c r="T24" s="14"/>
      <c r="U24" s="14"/>
      <c r="V24" s="14"/>
      <c r="W24" s="14"/>
      <c r="X24" s="14"/>
      <c r="Y24" s="14"/>
      <c r="Z24" s="14"/>
      <c r="AA24" s="15"/>
    </row>
    <row r="25" s="1" customFormat="1" ht="6" hidden="1" customHeight="1" outlineLevel="1">
      <c r="A25" s="23"/>
      <c r="B25" s="14"/>
      <c r="C25" s="108"/>
      <c r="D25" s="108"/>
      <c r="E25" s="108"/>
      <c r="F25" s="108"/>
      <c r="G25" s="108"/>
      <c r="H25" s="108"/>
      <c r="I25" s="108"/>
      <c r="J25" s="108"/>
      <c r="K25" s="108"/>
      <c r="L25" s="108"/>
      <c r="M25" s="108"/>
      <c r="N25" s="108"/>
      <c r="O25" s="14"/>
      <c r="P25" s="108"/>
      <c r="Q25" s="108"/>
      <c r="R25" s="108"/>
      <c r="S25" s="108"/>
      <c r="T25" s="108"/>
      <c r="U25" s="108"/>
      <c r="V25" s="108"/>
      <c r="W25" s="108"/>
      <c r="X25" s="108"/>
      <c r="Y25" s="108"/>
      <c r="Z25" s="108"/>
      <c r="AA25" s="109"/>
    </row>
    <row r="26" ht="32.25" customHeight="1" collapsed="1">
      <c r="A26" s="13"/>
      <c r="B26" s="14"/>
      <c r="C26" s="24" t="s">
        <v>29</v>
      </c>
      <c r="D26" s="384"/>
      <c r="E26" s="25"/>
      <c r="F26" s="25"/>
      <c r="G26" s="25"/>
      <c r="H26" s="25"/>
      <c r="I26" s="25"/>
      <c r="J26" s="25"/>
      <c r="K26" s="25"/>
      <c r="L26" s="25"/>
      <c r="M26" s="25"/>
      <c r="N26" s="27"/>
      <c r="O26" s="812"/>
      <c r="P26" s="24" t="s">
        <v>107</v>
      </c>
      <c r="Q26" s="384"/>
      <c r="R26" s="25"/>
      <c r="S26" s="25"/>
      <c r="T26" s="25"/>
      <c r="U26" s="25"/>
      <c r="V26" s="25"/>
      <c r="W26" s="25"/>
      <c r="X26" s="25"/>
      <c r="Y26" s="25"/>
      <c r="Z26" s="25"/>
      <c r="AA26" s="27"/>
      <c r="AC26" s="256"/>
      <c r="AD26" s="256"/>
      <c r="AE26" s="256"/>
      <c r="AF26" s="256"/>
      <c r="AG26" s="256"/>
    </row>
    <row r="27" ht="22.699999999999999" customHeight="1">
      <c r="A27" s="13"/>
      <c r="B27" s="14"/>
      <c r="C27" s="813" t="s">
        <v>104</v>
      </c>
      <c r="D27" s="813"/>
      <c r="E27" s="813"/>
      <c r="F27" s="813"/>
      <c r="G27" s="813" t="s">
        <v>105</v>
      </c>
      <c r="H27" s="813"/>
      <c r="I27" s="813"/>
      <c r="J27" s="813"/>
      <c r="K27" s="813" t="s">
        <v>85</v>
      </c>
      <c r="L27" s="813"/>
      <c r="M27" s="813"/>
      <c r="N27" s="813"/>
      <c r="O27" s="813"/>
      <c r="P27" s="813" t="s">
        <v>14</v>
      </c>
      <c r="Q27" s="813"/>
      <c r="R27" s="813"/>
      <c r="S27" s="813"/>
      <c r="T27" s="813" t="s">
        <v>104</v>
      </c>
      <c r="U27" s="813"/>
      <c r="V27" s="813"/>
      <c r="W27" s="813"/>
      <c r="X27" s="813" t="s">
        <v>85</v>
      </c>
      <c r="Y27" s="813"/>
      <c r="Z27" s="813"/>
      <c r="AA27" s="813"/>
    </row>
    <row r="28" ht="18.600000000000001" customHeight="1">
      <c r="A28" s="13"/>
      <c r="B28" s="14"/>
      <c r="C28" s="33" t="s">
        <v>18</v>
      </c>
      <c r="D28" s="814"/>
      <c r="E28" s="35" t="s">
        <v>19</v>
      </c>
      <c r="F28" s="36"/>
      <c r="G28" s="36" t="s">
        <v>18</v>
      </c>
      <c r="H28" s="37"/>
      <c r="I28" s="35" t="s">
        <v>19</v>
      </c>
      <c r="J28" s="36"/>
      <c r="K28" s="36" t="s">
        <v>18</v>
      </c>
      <c r="L28" s="37"/>
      <c r="M28" s="815" t="s">
        <v>19</v>
      </c>
      <c r="N28" s="816"/>
      <c r="O28" s="41"/>
      <c r="P28" s="33" t="s">
        <v>18</v>
      </c>
      <c r="Q28" s="814"/>
      <c r="R28" s="35" t="s">
        <v>19</v>
      </c>
      <c r="S28" s="36"/>
      <c r="T28" s="36" t="s">
        <v>18</v>
      </c>
      <c r="U28" s="37"/>
      <c r="V28" s="35" t="s">
        <v>19</v>
      </c>
      <c r="W28" s="36"/>
      <c r="X28" s="36" t="s">
        <v>18</v>
      </c>
      <c r="Y28" s="37"/>
      <c r="Z28" s="815" t="s">
        <v>19</v>
      </c>
      <c r="AA28" s="816"/>
    </row>
    <row r="29" ht="21">
      <c r="A29" s="43" t="s">
        <v>20</v>
      </c>
      <c r="B29" s="44" t="s">
        <v>21</v>
      </c>
      <c r="C29" s="45" t="s">
        <v>22</v>
      </c>
      <c r="D29" s="50" t="s">
        <v>23</v>
      </c>
      <c r="E29" s="47" t="s">
        <v>22</v>
      </c>
      <c r="F29" s="48" t="s">
        <v>23</v>
      </c>
      <c r="G29" s="49" t="s">
        <v>22</v>
      </c>
      <c r="H29" s="50" t="s">
        <v>23</v>
      </c>
      <c r="I29" s="47" t="s">
        <v>22</v>
      </c>
      <c r="J29" s="48" t="s">
        <v>23</v>
      </c>
      <c r="K29" s="49" t="s">
        <v>22</v>
      </c>
      <c r="L29" s="50" t="s">
        <v>23</v>
      </c>
      <c r="M29" s="47" t="s">
        <v>22</v>
      </c>
      <c r="N29" s="390" t="s">
        <v>23</v>
      </c>
      <c r="O29" s="55"/>
      <c r="P29" s="45" t="s">
        <v>22</v>
      </c>
      <c r="Q29" s="50" t="s">
        <v>23</v>
      </c>
      <c r="R29" s="47" t="s">
        <v>22</v>
      </c>
      <c r="S29" s="48" t="s">
        <v>23</v>
      </c>
      <c r="T29" s="49" t="s">
        <v>22</v>
      </c>
      <c r="U29" s="50" t="s">
        <v>23</v>
      </c>
      <c r="V29" s="47" t="s">
        <v>22</v>
      </c>
      <c r="W29" s="48" t="s">
        <v>23</v>
      </c>
      <c r="X29" s="49" t="s">
        <v>22</v>
      </c>
      <c r="Y29" s="50" t="s">
        <v>23</v>
      </c>
      <c r="Z29" s="47" t="s">
        <v>22</v>
      </c>
      <c r="AA29" s="390" t="s">
        <v>23</v>
      </c>
      <c r="AB29" s="263"/>
    </row>
    <row r="30" ht="54.950000000000003" hidden="1" customHeight="1" outlineLevel="1">
      <c r="A30" s="58">
        <v>6</v>
      </c>
      <c r="B30" s="59" t="s">
        <v>24</v>
      </c>
      <c r="C30" s="60"/>
      <c r="D30" s="65"/>
      <c r="E30" s="62"/>
      <c r="F30" s="63"/>
      <c r="G30" s="64"/>
      <c r="H30" s="65"/>
      <c r="I30" s="62"/>
      <c r="J30" s="63"/>
      <c r="K30" s="64"/>
      <c r="L30" s="65"/>
      <c r="M30" s="62"/>
      <c r="N30" s="817"/>
      <c r="O30" s="70"/>
      <c r="P30" s="60"/>
      <c r="Q30" s="65"/>
      <c r="R30" s="62"/>
      <c r="S30" s="63"/>
      <c r="T30" s="64"/>
      <c r="U30" s="65"/>
      <c r="V30" s="62"/>
      <c r="W30" s="63"/>
      <c r="X30" s="64"/>
      <c r="Y30" s="65"/>
      <c r="Z30" s="62"/>
      <c r="AA30" s="817"/>
      <c r="AB30" s="270"/>
      <c r="AC30" s="270"/>
      <c r="AD30" s="270"/>
      <c r="AE30" s="270"/>
      <c r="AF30" s="270"/>
      <c r="AG30" s="270"/>
    </row>
    <row r="31" ht="54.950000000000003" hidden="1" customHeight="1" outlineLevel="1">
      <c r="A31" s="58"/>
      <c r="B31" s="59" t="s">
        <v>25</v>
      </c>
      <c r="C31" s="60"/>
      <c r="D31" s="65"/>
      <c r="E31" s="62"/>
      <c r="F31" s="63"/>
      <c r="G31" s="64"/>
      <c r="H31" s="65"/>
      <c r="I31" s="62"/>
      <c r="J31" s="63"/>
      <c r="K31" s="64"/>
      <c r="L31" s="65"/>
      <c r="M31" s="62"/>
      <c r="N31" s="817"/>
      <c r="O31" s="70"/>
      <c r="P31" s="60"/>
      <c r="Q31" s="65"/>
      <c r="R31" s="62"/>
      <c r="S31" s="63"/>
      <c r="T31" s="64"/>
      <c r="U31" s="65"/>
      <c r="V31" s="62"/>
      <c r="W31" s="63"/>
      <c r="X31" s="64"/>
      <c r="Y31" s="65"/>
      <c r="Z31" s="62"/>
      <c r="AA31" s="817"/>
      <c r="AB31" s="270"/>
      <c r="AC31" s="270"/>
      <c r="AD31" s="270"/>
      <c r="AE31" s="270"/>
      <c r="AF31" s="270"/>
      <c r="AG31" s="270"/>
    </row>
    <row r="32" ht="54.950000000000003" customHeight="1" collapsed="1">
      <c r="A32" s="58">
        <v>7</v>
      </c>
      <c r="B32" s="59" t="s">
        <v>26</v>
      </c>
      <c r="C32" s="73"/>
      <c r="D32" s="74"/>
      <c r="E32" s="75"/>
      <c r="F32" s="76"/>
      <c r="G32" s="77"/>
      <c r="H32" s="74"/>
      <c r="I32" s="75"/>
      <c r="J32" s="76">
        <v>1</v>
      </c>
      <c r="K32" s="73"/>
      <c r="L32" s="74"/>
      <c r="M32" s="75"/>
      <c r="N32" s="76"/>
      <c r="O32" s="70"/>
      <c r="P32" s="73"/>
      <c r="Q32" s="74"/>
      <c r="R32" s="75"/>
      <c r="S32" s="76">
        <v>1</v>
      </c>
      <c r="T32" s="77"/>
      <c r="U32" s="74"/>
      <c r="V32" s="75"/>
      <c r="W32" s="76"/>
      <c r="X32" s="73"/>
      <c r="Y32" s="74"/>
      <c r="Z32" s="75"/>
      <c r="AA32" s="76"/>
      <c r="AB32" s="270"/>
      <c r="AC32" s="270"/>
      <c r="AD32" s="270"/>
      <c r="AE32" s="270"/>
      <c r="AF32" s="270"/>
      <c r="AG32" s="270"/>
    </row>
    <row r="33" ht="54.950000000000003" customHeight="1">
      <c r="A33" s="58"/>
      <c r="B33" s="59" t="s">
        <v>27</v>
      </c>
      <c r="C33" s="78"/>
      <c r="D33" s="79"/>
      <c r="E33" s="80"/>
      <c r="F33" s="81"/>
      <c r="G33" s="82"/>
      <c r="H33" s="79"/>
      <c r="I33" s="80"/>
      <c r="J33" s="81"/>
      <c r="K33" s="78"/>
      <c r="L33" s="79">
        <v>1</v>
      </c>
      <c r="M33" s="80">
        <v>2</v>
      </c>
      <c r="N33" s="81"/>
      <c r="O33" s="70"/>
      <c r="P33" s="78"/>
      <c r="Q33" s="79"/>
      <c r="R33" s="80"/>
      <c r="S33" s="81"/>
      <c r="T33" s="82"/>
      <c r="U33" s="79"/>
      <c r="V33" s="80"/>
      <c r="W33" s="81"/>
      <c r="X33" s="78"/>
      <c r="Y33" s="79"/>
      <c r="Z33" s="80"/>
      <c r="AA33" s="81"/>
      <c r="AB33" s="270"/>
      <c r="AC33" s="270"/>
      <c r="AD33" s="270"/>
      <c r="AE33" s="270"/>
      <c r="AF33" s="270"/>
      <c r="AG33" s="270"/>
    </row>
    <row r="34" ht="54.950000000000003" customHeight="1">
      <c r="A34" s="58"/>
      <c r="B34" s="59" t="s">
        <v>24</v>
      </c>
      <c r="C34" s="83"/>
      <c r="D34" s="84"/>
      <c r="E34" s="85"/>
      <c r="F34" s="86"/>
      <c r="G34" s="87"/>
      <c r="H34" s="84"/>
      <c r="I34" s="85"/>
      <c r="J34" s="86"/>
      <c r="K34" s="83"/>
      <c r="L34" s="84"/>
      <c r="M34" s="85"/>
      <c r="N34" s="86"/>
      <c r="O34" s="70"/>
      <c r="P34" s="83"/>
      <c r="Q34" s="84"/>
      <c r="R34" s="85"/>
      <c r="S34" s="86"/>
      <c r="T34" s="87"/>
      <c r="U34" s="84"/>
      <c r="V34" s="85"/>
      <c r="W34" s="86"/>
      <c r="X34" s="83">
        <v>1</v>
      </c>
      <c r="Y34" s="84"/>
      <c r="Z34" s="85"/>
      <c r="AA34" s="86"/>
      <c r="AB34" s="270"/>
      <c r="AC34" s="270"/>
      <c r="AD34" s="270"/>
      <c r="AE34" s="270"/>
      <c r="AF34" s="270"/>
      <c r="AG34" s="270"/>
    </row>
    <row r="35" ht="54.950000000000003" customHeight="1">
      <c r="A35" s="58"/>
      <c r="B35" s="59" t="s">
        <v>25</v>
      </c>
      <c r="C35" s="88"/>
      <c r="D35" s="89"/>
      <c r="E35" s="90"/>
      <c r="F35" s="91"/>
      <c r="G35" s="92"/>
      <c r="H35" s="89"/>
      <c r="I35" s="90"/>
      <c r="J35" s="91"/>
      <c r="K35" s="88">
        <v>1</v>
      </c>
      <c r="L35" s="89"/>
      <c r="M35" s="90"/>
      <c r="N35" s="91"/>
      <c r="O35" s="70"/>
      <c r="P35" s="88"/>
      <c r="Q35" s="89"/>
      <c r="R35" s="90"/>
      <c r="S35" s="91"/>
      <c r="T35" s="92"/>
      <c r="U35" s="89"/>
      <c r="V35" s="90"/>
      <c r="W35" s="91"/>
      <c r="X35" s="88"/>
      <c r="Y35" s="89"/>
      <c r="Z35" s="90"/>
      <c r="AA35" s="91"/>
      <c r="AB35" s="270"/>
      <c r="AC35" s="270"/>
      <c r="AD35" s="270"/>
      <c r="AE35" s="270"/>
      <c r="AF35" s="270"/>
      <c r="AG35" s="270"/>
    </row>
    <row r="36" ht="54.950000000000003" customHeight="1">
      <c r="A36" s="58">
        <v>8</v>
      </c>
      <c r="B36" s="59" t="s">
        <v>26</v>
      </c>
      <c r="C36" s="73"/>
      <c r="D36" s="74"/>
      <c r="E36" s="75"/>
      <c r="F36" s="76"/>
      <c r="G36" s="77"/>
      <c r="H36" s="74"/>
      <c r="I36" s="75"/>
      <c r="J36" s="76"/>
      <c r="K36" s="73">
        <v>1</v>
      </c>
      <c r="L36" s="74"/>
      <c r="M36" s="75"/>
      <c r="N36" s="76"/>
      <c r="O36" s="70"/>
      <c r="P36" s="73"/>
      <c r="Q36" s="74"/>
      <c r="R36" s="75"/>
      <c r="S36" s="76">
        <v>2</v>
      </c>
      <c r="T36" s="77"/>
      <c r="U36" s="74"/>
      <c r="V36" s="75"/>
      <c r="W36" s="76"/>
      <c r="X36" s="73"/>
      <c r="Y36" s="74"/>
      <c r="Z36" s="75"/>
      <c r="AA36" s="76"/>
      <c r="AB36" s="270"/>
      <c r="AC36" s="270"/>
      <c r="AD36" s="270"/>
      <c r="AE36" s="270"/>
      <c r="AF36" s="270"/>
      <c r="AG36" s="270"/>
    </row>
    <row r="37" ht="54.950000000000003" customHeight="1">
      <c r="A37" s="58"/>
      <c r="B37" s="59" t="s">
        <v>27</v>
      </c>
      <c r="C37" s="78"/>
      <c r="D37" s="79"/>
      <c r="E37" s="80"/>
      <c r="F37" s="81"/>
      <c r="G37" s="82"/>
      <c r="H37" s="79">
        <v>1</v>
      </c>
      <c r="I37" s="80"/>
      <c r="J37" s="81">
        <v>1</v>
      </c>
      <c r="K37" s="78"/>
      <c r="L37" s="79">
        <v>1</v>
      </c>
      <c r="M37" s="80"/>
      <c r="N37" s="81"/>
      <c r="O37" s="70"/>
      <c r="P37" s="78"/>
      <c r="Q37" s="79"/>
      <c r="R37" s="80"/>
      <c r="S37" s="81"/>
      <c r="T37" s="82"/>
      <c r="U37" s="79"/>
      <c r="V37" s="80"/>
      <c r="W37" s="81"/>
      <c r="X37" s="78"/>
      <c r="Y37" s="79"/>
      <c r="Z37" s="80"/>
      <c r="AA37" s="81"/>
      <c r="AB37" s="270"/>
      <c r="AC37" s="270"/>
      <c r="AD37" s="270"/>
      <c r="AE37" s="270"/>
      <c r="AF37" s="270"/>
      <c r="AG37" s="270"/>
    </row>
    <row r="38" ht="54.950000000000003" customHeight="1">
      <c r="A38" s="58"/>
      <c r="B38" s="59" t="s">
        <v>24</v>
      </c>
      <c r="C38" s="83"/>
      <c r="D38" s="84"/>
      <c r="E38" s="85"/>
      <c r="F38" s="86"/>
      <c r="G38" s="87"/>
      <c r="H38" s="84"/>
      <c r="I38" s="85"/>
      <c r="J38" s="86"/>
      <c r="K38" s="83"/>
      <c r="L38" s="84"/>
      <c r="M38" s="85"/>
      <c r="N38" s="86"/>
      <c r="O38" s="70"/>
      <c r="P38" s="83"/>
      <c r="Q38" s="84"/>
      <c r="R38" s="85"/>
      <c r="S38" s="86"/>
      <c r="T38" s="87"/>
      <c r="U38" s="84"/>
      <c r="V38" s="85"/>
      <c r="W38" s="86"/>
      <c r="X38" s="83"/>
      <c r="Y38" s="84"/>
      <c r="Z38" s="85"/>
      <c r="AA38" s="86"/>
      <c r="AB38" s="270"/>
      <c r="AC38" s="270"/>
      <c r="AD38" s="270"/>
      <c r="AE38" s="270"/>
      <c r="AF38" s="270"/>
      <c r="AG38" s="270"/>
    </row>
    <row r="39" ht="54.950000000000003" customHeight="1">
      <c r="A39" s="58"/>
      <c r="B39" s="59" t="s">
        <v>25</v>
      </c>
      <c r="C39" s="88"/>
      <c r="D39" s="89"/>
      <c r="E39" s="90"/>
      <c r="F39" s="91"/>
      <c r="G39" s="92"/>
      <c r="H39" s="89"/>
      <c r="I39" s="90"/>
      <c r="J39" s="91"/>
      <c r="K39" s="88"/>
      <c r="L39" s="89"/>
      <c r="M39" s="90"/>
      <c r="N39" s="91">
        <v>1</v>
      </c>
      <c r="O39" s="70"/>
      <c r="P39" s="88"/>
      <c r="Q39" s="89"/>
      <c r="R39" s="90"/>
      <c r="S39" s="91"/>
      <c r="T39" s="92"/>
      <c r="U39" s="89"/>
      <c r="V39" s="90"/>
      <c r="W39" s="91"/>
      <c r="X39" s="88"/>
      <c r="Y39" s="89"/>
      <c r="Z39" s="90"/>
      <c r="AA39" s="91"/>
      <c r="AB39" s="270"/>
      <c r="AC39" s="270"/>
      <c r="AD39" s="270"/>
      <c r="AE39" s="270"/>
      <c r="AF39" s="270"/>
      <c r="AG39" s="270"/>
    </row>
    <row r="40" ht="54.950000000000003" hidden="1" customHeight="1" outlineLevel="1">
      <c r="A40" s="58">
        <v>9</v>
      </c>
      <c r="B40" s="59" t="s">
        <v>26</v>
      </c>
      <c r="C40" s="60"/>
      <c r="D40" s="65"/>
      <c r="E40" s="62"/>
      <c r="F40" s="63"/>
      <c r="G40" s="64"/>
      <c r="H40" s="65"/>
      <c r="I40" s="62"/>
      <c r="J40" s="63"/>
      <c r="K40" s="64"/>
      <c r="L40" s="65"/>
      <c r="M40" s="62"/>
      <c r="N40" s="817"/>
      <c r="O40" s="70"/>
      <c r="P40" s="60"/>
      <c r="Q40" s="65"/>
      <c r="R40" s="62"/>
      <c r="S40" s="63"/>
      <c r="T40" s="64"/>
      <c r="U40" s="65"/>
      <c r="V40" s="62"/>
      <c r="W40" s="63"/>
      <c r="X40" s="64"/>
      <c r="Y40" s="65"/>
      <c r="Z40" s="62"/>
      <c r="AA40" s="817"/>
      <c r="AB40" s="270"/>
      <c r="AC40" s="270"/>
      <c r="AD40" s="270"/>
      <c r="AE40" s="270"/>
      <c r="AF40" s="270"/>
      <c r="AG40" s="270"/>
    </row>
    <row r="41" ht="54.950000000000003" hidden="1" customHeight="1" outlineLevel="1">
      <c r="A41" s="93"/>
      <c r="B41" s="94" t="s">
        <v>27</v>
      </c>
      <c r="C41" s="95"/>
      <c r="D41" s="100"/>
      <c r="E41" s="97"/>
      <c r="F41" s="98"/>
      <c r="G41" s="99"/>
      <c r="H41" s="100"/>
      <c r="I41" s="97"/>
      <c r="J41" s="98"/>
      <c r="K41" s="99"/>
      <c r="L41" s="100"/>
      <c r="M41" s="97"/>
      <c r="N41" s="818"/>
      <c r="O41" s="70"/>
      <c r="P41" s="95"/>
      <c r="Q41" s="100"/>
      <c r="R41" s="97"/>
      <c r="S41" s="98"/>
      <c r="T41" s="99"/>
      <c r="U41" s="100"/>
      <c r="V41" s="97"/>
      <c r="W41" s="98"/>
      <c r="X41" s="99"/>
      <c r="Y41" s="100"/>
      <c r="Z41" s="97"/>
      <c r="AA41" s="818"/>
      <c r="AB41" s="270"/>
      <c r="AC41" s="270"/>
      <c r="AD41" s="270"/>
      <c r="AE41" s="270"/>
      <c r="AF41" s="270"/>
      <c r="AG41" s="270"/>
    </row>
    <row r="42" ht="30" customHeight="1" collapsed="1">
      <c r="A42" s="55"/>
      <c r="B42" s="55"/>
      <c r="C42" s="113"/>
      <c r="D42" s="113"/>
      <c r="E42" s="113"/>
      <c r="F42" s="113"/>
      <c r="G42" s="113"/>
      <c r="H42" s="113"/>
      <c r="I42" s="113"/>
      <c r="J42" s="113"/>
      <c r="K42" s="113"/>
      <c r="L42" s="113"/>
      <c r="M42" s="113"/>
      <c r="N42" s="113"/>
      <c r="O42" s="70"/>
      <c r="P42" s="113"/>
      <c r="Q42" s="113"/>
      <c r="R42" s="113"/>
      <c r="S42" s="113"/>
      <c r="T42" s="113"/>
      <c r="U42" s="113"/>
      <c r="V42" s="113"/>
      <c r="W42" s="113"/>
      <c r="X42" s="113"/>
      <c r="Y42" s="113"/>
      <c r="Z42" s="113"/>
      <c r="AA42" s="113"/>
      <c r="AB42" s="270"/>
      <c r="AC42" s="270"/>
      <c r="AD42" s="270"/>
      <c r="AE42" s="270"/>
      <c r="AF42" s="270"/>
      <c r="AG42" s="270"/>
    </row>
    <row r="43" ht="30" customHeight="1">
      <c r="A43" s="23"/>
      <c r="B43" s="14"/>
      <c r="C43" s="14"/>
      <c r="D43" s="14"/>
      <c r="E43" s="14"/>
      <c r="F43" s="14"/>
      <c r="G43" s="14"/>
      <c r="H43" s="14"/>
      <c r="I43" s="14"/>
      <c r="J43" s="14"/>
      <c r="K43" s="14"/>
      <c r="L43" s="14"/>
      <c r="M43" s="14"/>
      <c r="N43" s="14"/>
      <c r="O43" s="14"/>
      <c r="P43" s="14"/>
      <c r="Q43" s="14"/>
      <c r="R43" s="14"/>
      <c r="S43" s="14"/>
      <c r="T43" s="14"/>
      <c r="U43" s="14"/>
      <c r="V43" s="14"/>
      <c r="W43" s="14"/>
      <c r="X43" s="14"/>
      <c r="Y43" s="14"/>
      <c r="Z43" s="14"/>
      <c r="AA43" s="15"/>
      <c r="AB43" s="15"/>
      <c r="AC43" s="15"/>
      <c r="AD43" s="15"/>
      <c r="AE43" s="15"/>
      <c r="AF43" s="15"/>
      <c r="AG43" s="15"/>
      <c r="AH43" s="15"/>
      <c r="AI43" s="15"/>
      <c r="AJ43" s="15"/>
      <c r="AK43" s="15"/>
    </row>
    <row r="44" ht="32.25" customHeight="1">
      <c r="A44" s="13"/>
      <c r="B44" s="14"/>
      <c r="C44" s="24" t="str">
        <f t="shared" ref="C44:C45" si="188">C7</f>
        <v xml:space="preserve">Depuis 'Annemasse'</v>
      </c>
      <c r="D44" s="384"/>
      <c r="E44" s="25"/>
      <c r="F44" s="25"/>
      <c r="G44" s="25"/>
      <c r="H44" s="25"/>
      <c r="I44" s="25"/>
      <c r="J44" s="25"/>
      <c r="K44" s="25"/>
      <c r="L44" s="25"/>
      <c r="M44" s="25"/>
      <c r="N44" s="27"/>
      <c r="O44" s="819"/>
      <c r="P44" s="24" t="str">
        <f t="shared" ref="P44:P45" si="189">P7</f>
        <v xml:space="preserve">Depuis 'Nangy'</v>
      </c>
      <c r="Q44" s="384"/>
      <c r="R44" s="25"/>
      <c r="S44" s="25"/>
      <c r="T44" s="25"/>
      <c r="U44" s="25"/>
      <c r="V44" s="25"/>
      <c r="W44" s="25"/>
      <c r="X44" s="25"/>
      <c r="Y44" s="25"/>
      <c r="Z44" s="25"/>
      <c r="AA44" s="27"/>
      <c r="AB44" s="13"/>
      <c r="AC44" s="14"/>
      <c r="AD44" s="278" t="s">
        <v>31</v>
      </c>
      <c r="AE44" s="125" t="s">
        <v>32</v>
      </c>
      <c r="AF44" s="125" t="s">
        <v>33</v>
      </c>
      <c r="AG44" s="125" t="s">
        <v>34</v>
      </c>
      <c r="AH44" s="125" t="s">
        <v>58</v>
      </c>
      <c r="AI44" s="125" t="s">
        <v>59</v>
      </c>
      <c r="AJ44" s="126" t="s">
        <v>38</v>
      </c>
      <c r="AK44" s="128"/>
    </row>
    <row r="45" ht="22.699999999999999" customHeight="1">
      <c r="A45" s="13"/>
      <c r="B45" s="14"/>
      <c r="C45" s="813" t="str">
        <f t="shared" si="188"/>
        <v xml:space="preserve">vers 'Reignier'</v>
      </c>
      <c r="D45" s="813"/>
      <c r="E45" s="813"/>
      <c r="F45" s="813"/>
      <c r="G45" s="813" t="str">
        <f>G8</f>
        <v xml:space="preserve">vers 'Nangy'</v>
      </c>
      <c r="H45" s="813"/>
      <c r="I45" s="813"/>
      <c r="J45" s="813"/>
      <c r="K45" s="813" t="str">
        <f>K8</f>
        <v xml:space="preserve">vers 'Rossat'</v>
      </c>
      <c r="L45" s="813"/>
      <c r="M45" s="813"/>
      <c r="N45" s="813"/>
      <c r="O45" s="813"/>
      <c r="P45" s="813" t="str">
        <f t="shared" si="189"/>
        <v xml:space="preserve">vers 'Reignier'</v>
      </c>
      <c r="Q45" s="813"/>
      <c r="R45" s="813"/>
      <c r="S45" s="813"/>
      <c r="T45" s="813" t="str">
        <f>T8</f>
        <v xml:space="preserve">vers 'Annemasse'</v>
      </c>
      <c r="U45" s="813"/>
      <c r="V45" s="813"/>
      <c r="W45" s="813"/>
      <c r="X45" s="813" t="str">
        <f>X8</f>
        <v xml:space="preserve">vers 'Rossat'</v>
      </c>
      <c r="Y45" s="813"/>
      <c r="Z45" s="813"/>
      <c r="AA45" s="813"/>
      <c r="AB45" s="13"/>
      <c r="AC45" s="14"/>
      <c r="AD45" s="281"/>
      <c r="AE45" s="135"/>
      <c r="AF45" s="135"/>
      <c r="AG45" s="135"/>
      <c r="AH45" s="135"/>
      <c r="AI45" s="135"/>
      <c r="AJ45" s="136"/>
      <c r="AK45" s="138"/>
    </row>
    <row r="46" ht="18.600000000000001" customHeight="1">
      <c r="A46" s="13"/>
      <c r="B46" s="14"/>
      <c r="C46" s="33" t="s">
        <v>18</v>
      </c>
      <c r="D46" s="814"/>
      <c r="E46" s="35" t="s">
        <v>19</v>
      </c>
      <c r="F46" s="36"/>
      <c r="G46" s="36" t="s">
        <v>18</v>
      </c>
      <c r="H46" s="37"/>
      <c r="I46" s="35" t="s">
        <v>19</v>
      </c>
      <c r="J46" s="36"/>
      <c r="K46" s="36" t="s">
        <v>18</v>
      </c>
      <c r="L46" s="37"/>
      <c r="M46" s="815" t="s">
        <v>19</v>
      </c>
      <c r="N46" s="816"/>
      <c r="O46" s="41"/>
      <c r="P46" s="33" t="s">
        <v>18</v>
      </c>
      <c r="Q46" s="814"/>
      <c r="R46" s="35" t="s">
        <v>19</v>
      </c>
      <c r="S46" s="36"/>
      <c r="T46" s="36" t="s">
        <v>18</v>
      </c>
      <c r="U46" s="37"/>
      <c r="V46" s="35" t="s">
        <v>19</v>
      </c>
      <c r="W46" s="36"/>
      <c r="X46" s="36" t="s">
        <v>18</v>
      </c>
      <c r="Y46" s="37"/>
      <c r="Z46" s="35" t="s">
        <v>19</v>
      </c>
      <c r="AA46" s="285"/>
      <c r="AB46" s="389"/>
      <c r="AC46" s="14"/>
      <c r="AD46" s="281"/>
      <c r="AE46" s="135"/>
      <c r="AF46" s="135"/>
      <c r="AG46" s="135"/>
      <c r="AH46" s="135"/>
      <c r="AI46" s="135"/>
      <c r="AJ46" s="136"/>
      <c r="AK46" s="138"/>
    </row>
    <row r="47" ht="21">
      <c r="A47" s="286" t="s">
        <v>39</v>
      </c>
      <c r="B47" s="287"/>
      <c r="C47" s="45" t="s">
        <v>22</v>
      </c>
      <c r="D47" s="50" t="s">
        <v>23</v>
      </c>
      <c r="E47" s="47" t="s">
        <v>22</v>
      </c>
      <c r="F47" s="48" t="s">
        <v>23</v>
      </c>
      <c r="G47" s="49" t="s">
        <v>22</v>
      </c>
      <c r="H47" s="50" t="s">
        <v>23</v>
      </c>
      <c r="I47" s="47" t="s">
        <v>22</v>
      </c>
      <c r="J47" s="48" t="s">
        <v>23</v>
      </c>
      <c r="K47" s="49" t="s">
        <v>22</v>
      </c>
      <c r="L47" s="50" t="s">
        <v>23</v>
      </c>
      <c r="M47" s="47" t="s">
        <v>22</v>
      </c>
      <c r="N47" s="390" t="s">
        <v>23</v>
      </c>
      <c r="O47" s="288"/>
      <c r="P47" s="45" t="s">
        <v>22</v>
      </c>
      <c r="Q47" s="50" t="s">
        <v>23</v>
      </c>
      <c r="R47" s="47" t="s">
        <v>22</v>
      </c>
      <c r="S47" s="48" t="s">
        <v>23</v>
      </c>
      <c r="T47" s="49" t="s">
        <v>22</v>
      </c>
      <c r="U47" s="50" t="s">
        <v>23</v>
      </c>
      <c r="V47" s="47" t="s">
        <v>22</v>
      </c>
      <c r="W47" s="48" t="s">
        <v>23</v>
      </c>
      <c r="X47" s="49" t="s">
        <v>22</v>
      </c>
      <c r="Y47" s="50" t="s">
        <v>23</v>
      </c>
      <c r="Z47" s="47" t="s">
        <v>22</v>
      </c>
      <c r="AA47" s="390" t="s">
        <v>23</v>
      </c>
      <c r="AB47" s="289" t="s">
        <v>39</v>
      </c>
      <c r="AC47" s="290"/>
      <c r="AD47" s="281"/>
      <c r="AE47" s="154"/>
      <c r="AF47" s="154"/>
      <c r="AG47" s="154"/>
      <c r="AH47" s="154"/>
      <c r="AI47" s="154"/>
      <c r="AJ47" s="155"/>
      <c r="AK47" s="157"/>
    </row>
    <row r="48" ht="54.950000000000003" customHeight="1">
      <c r="A48" s="293" t="s">
        <v>40</v>
      </c>
      <c r="B48" s="294"/>
      <c r="C48" s="391">
        <f t="shared" ref="C48:AA48" si="190">SUM(C11:C14)</f>
        <v>0</v>
      </c>
      <c r="D48" s="392">
        <f t="shared" si="190"/>
        <v>0</v>
      </c>
      <c r="E48" s="393">
        <f t="shared" si="190"/>
        <v>0</v>
      </c>
      <c r="F48" s="820">
        <f t="shared" si="190"/>
        <v>0</v>
      </c>
      <c r="G48" s="821">
        <f t="shared" si="190"/>
        <v>0</v>
      </c>
      <c r="H48" s="392">
        <f t="shared" si="190"/>
        <v>0</v>
      </c>
      <c r="I48" s="393">
        <f t="shared" si="190"/>
        <v>0</v>
      </c>
      <c r="J48" s="820">
        <f t="shared" si="190"/>
        <v>0</v>
      </c>
      <c r="K48" s="821">
        <f t="shared" si="190"/>
        <v>0</v>
      </c>
      <c r="L48" s="392">
        <f t="shared" si="190"/>
        <v>0</v>
      </c>
      <c r="M48" s="393">
        <f t="shared" si="190"/>
        <v>0</v>
      </c>
      <c r="N48" s="394">
        <f t="shared" si="190"/>
        <v>0</v>
      </c>
      <c r="O48" s="395"/>
      <c r="P48" s="391">
        <f t="shared" si="190"/>
        <v>0</v>
      </c>
      <c r="Q48" s="392">
        <f t="shared" si="190"/>
        <v>0</v>
      </c>
      <c r="R48" s="393">
        <f t="shared" si="190"/>
        <v>0</v>
      </c>
      <c r="S48" s="820">
        <f t="shared" si="190"/>
        <v>0</v>
      </c>
      <c r="T48" s="821">
        <f t="shared" si="190"/>
        <v>3</v>
      </c>
      <c r="U48" s="392">
        <f t="shared" si="190"/>
        <v>3</v>
      </c>
      <c r="V48" s="393">
        <f t="shared" si="190"/>
        <v>0</v>
      </c>
      <c r="W48" s="820">
        <f t="shared" si="190"/>
        <v>1</v>
      </c>
      <c r="X48" s="821">
        <f t="shared" si="190"/>
        <v>0</v>
      </c>
      <c r="Y48" s="392">
        <f t="shared" si="190"/>
        <v>0</v>
      </c>
      <c r="Z48" s="393">
        <f t="shared" si="190"/>
        <v>0</v>
      </c>
      <c r="AA48" s="394">
        <f t="shared" si="190"/>
        <v>0</v>
      </c>
      <c r="AB48" s="822" t="s">
        <v>40</v>
      </c>
      <c r="AC48" s="823"/>
      <c r="AD48" s="824">
        <f t="shared" ref="AD48:AD53" si="191">SUM(C48:AA48)+SUM(C60:AA60)</f>
        <v>12</v>
      </c>
      <c r="AE48" s="169">
        <f t="shared" ref="AE48:AE54" si="192">(C48+E48+G48+I48+K48+M48+P48+R48+T48+V48+X48+Z48+C60+E60+G60+I60+K60+M60+P60+R60+T60+V60+X60+Z60)/AD48</f>
        <v>0.41666666666666669</v>
      </c>
      <c r="AF48" s="169">
        <f t="shared" ref="AF48:AF54" si="193">(E48+F48+I48+J48+M48+N48+R48+S48+V48+W48+Z48+AA48+E60+F60+I60+J60+M60+N60+R60+S60+V60+W60+Z60+AA60)/AD48</f>
        <v>0.41666666666666669</v>
      </c>
      <c r="AG48" s="169">
        <f t="shared" ref="AG48:AG54" si="194">(E48+I48+M48+R48+V48+Z48+E60+I60+M60+R60+V60+Z60)/(E48+F48+I48+J48+M48+N48+R48+S48+V48+W48+Z48+AA48+E60+F60+I60+J60+M60+N60+R60+S60+V60+W60+Z60+AA60)</f>
        <v>0.40000000000000002</v>
      </c>
      <c r="AH48" s="169">
        <f t="shared" ref="AH48:AH54" si="195">AI48/AD48</f>
        <v>0.83333333333333337</v>
      </c>
      <c r="AI48" s="239">
        <f t="shared" ref="AI48:AI54" si="196">SUM(T48:W48,K60:N60,X60:AA60)</f>
        <v>10</v>
      </c>
      <c r="AJ48" s="825"/>
      <c r="AK48" s="826"/>
    </row>
    <row r="49" ht="54.950000000000003" customHeight="1">
      <c r="A49" s="300" t="s">
        <v>41</v>
      </c>
      <c r="B49" s="301"/>
      <c r="C49" s="402">
        <f t="shared" ref="C49:AA49" si="197">SUM(C13:C16)</f>
        <v>0</v>
      </c>
      <c r="D49" s="403">
        <f t="shared" si="197"/>
        <v>0</v>
      </c>
      <c r="E49" s="404">
        <f t="shared" si="197"/>
        <v>0</v>
      </c>
      <c r="F49" s="827">
        <f t="shared" si="197"/>
        <v>0</v>
      </c>
      <c r="G49" s="828">
        <f t="shared" si="197"/>
        <v>0</v>
      </c>
      <c r="H49" s="403">
        <f t="shared" si="197"/>
        <v>2</v>
      </c>
      <c r="I49" s="404">
        <f t="shared" si="197"/>
        <v>0</v>
      </c>
      <c r="J49" s="827">
        <f t="shared" si="197"/>
        <v>0</v>
      </c>
      <c r="K49" s="828">
        <f t="shared" si="197"/>
        <v>0</v>
      </c>
      <c r="L49" s="403">
        <f t="shared" si="197"/>
        <v>0</v>
      </c>
      <c r="M49" s="404">
        <f t="shared" si="197"/>
        <v>0</v>
      </c>
      <c r="N49" s="405">
        <f t="shared" si="197"/>
        <v>0</v>
      </c>
      <c r="O49" s="406"/>
      <c r="P49" s="402">
        <f t="shared" si="197"/>
        <v>0</v>
      </c>
      <c r="Q49" s="403">
        <f t="shared" si="197"/>
        <v>0</v>
      </c>
      <c r="R49" s="404">
        <f t="shared" si="197"/>
        <v>0</v>
      </c>
      <c r="S49" s="827">
        <f t="shared" si="197"/>
        <v>0</v>
      </c>
      <c r="T49" s="828">
        <f t="shared" si="197"/>
        <v>6</v>
      </c>
      <c r="U49" s="403">
        <f t="shared" si="197"/>
        <v>5</v>
      </c>
      <c r="V49" s="404">
        <f t="shared" si="197"/>
        <v>1</v>
      </c>
      <c r="W49" s="827">
        <f t="shared" si="197"/>
        <v>2</v>
      </c>
      <c r="X49" s="828">
        <f t="shared" si="197"/>
        <v>0</v>
      </c>
      <c r="Y49" s="403">
        <f t="shared" si="197"/>
        <v>0</v>
      </c>
      <c r="Z49" s="404">
        <f t="shared" si="197"/>
        <v>0</v>
      </c>
      <c r="AA49" s="405">
        <f t="shared" si="197"/>
        <v>0</v>
      </c>
      <c r="AB49" s="829" t="s">
        <v>41</v>
      </c>
      <c r="AC49" s="830"/>
      <c r="AD49" s="831">
        <f t="shared" si="191"/>
        <v>23</v>
      </c>
      <c r="AE49" s="184">
        <f t="shared" si="192"/>
        <v>0.47826086956521741</v>
      </c>
      <c r="AF49" s="184">
        <f t="shared" si="193"/>
        <v>0.30434782608695654</v>
      </c>
      <c r="AG49" s="184">
        <f t="shared" si="194"/>
        <v>0.42857142857142855</v>
      </c>
      <c r="AH49" s="184">
        <f t="shared" si="195"/>
        <v>0.82608695652173914</v>
      </c>
      <c r="AI49" s="241">
        <f t="shared" si="196"/>
        <v>19</v>
      </c>
      <c r="AJ49" s="832"/>
      <c r="AK49" s="833"/>
    </row>
    <row r="50" ht="54.950000000000003" customHeight="1">
      <c r="A50" s="300" t="s">
        <v>42</v>
      </c>
      <c r="B50" s="301"/>
      <c r="C50" s="402">
        <f t="shared" ref="C50:AA50" si="198">SUM(C15:C18)</f>
        <v>0</v>
      </c>
      <c r="D50" s="403">
        <f t="shared" si="198"/>
        <v>0</v>
      </c>
      <c r="E50" s="404">
        <f t="shared" si="198"/>
        <v>0</v>
      </c>
      <c r="F50" s="827">
        <f t="shared" si="198"/>
        <v>0</v>
      </c>
      <c r="G50" s="828">
        <f t="shared" si="198"/>
        <v>1</v>
      </c>
      <c r="H50" s="403">
        <f t="shared" si="198"/>
        <v>3</v>
      </c>
      <c r="I50" s="404">
        <f t="shared" si="198"/>
        <v>0</v>
      </c>
      <c r="J50" s="827">
        <f t="shared" si="198"/>
        <v>0</v>
      </c>
      <c r="K50" s="828">
        <f t="shared" si="198"/>
        <v>0</v>
      </c>
      <c r="L50" s="403">
        <f t="shared" si="198"/>
        <v>0</v>
      </c>
      <c r="M50" s="404">
        <f t="shared" si="198"/>
        <v>0</v>
      </c>
      <c r="N50" s="405">
        <f t="shared" si="198"/>
        <v>0</v>
      </c>
      <c r="O50" s="406"/>
      <c r="P50" s="402">
        <f t="shared" si="198"/>
        <v>0</v>
      </c>
      <c r="Q50" s="403">
        <f t="shared" si="198"/>
        <v>0</v>
      </c>
      <c r="R50" s="404">
        <f t="shared" si="198"/>
        <v>0</v>
      </c>
      <c r="S50" s="827">
        <f t="shared" si="198"/>
        <v>1</v>
      </c>
      <c r="T50" s="828">
        <f t="shared" si="198"/>
        <v>5</v>
      </c>
      <c r="U50" s="403">
        <f t="shared" si="198"/>
        <v>2</v>
      </c>
      <c r="V50" s="404">
        <f t="shared" si="198"/>
        <v>1</v>
      </c>
      <c r="W50" s="827">
        <f t="shared" si="198"/>
        <v>1</v>
      </c>
      <c r="X50" s="828">
        <f t="shared" si="198"/>
        <v>0</v>
      </c>
      <c r="Y50" s="403">
        <f t="shared" si="198"/>
        <v>0</v>
      </c>
      <c r="Z50" s="404">
        <f t="shared" si="198"/>
        <v>0</v>
      </c>
      <c r="AA50" s="405">
        <f t="shared" si="198"/>
        <v>0</v>
      </c>
      <c r="AB50" s="829" t="s">
        <v>42</v>
      </c>
      <c r="AC50" s="830"/>
      <c r="AD50" s="831">
        <f t="shared" si="191"/>
        <v>22</v>
      </c>
      <c r="AE50" s="184">
        <f t="shared" si="192"/>
        <v>0.45454545454545453</v>
      </c>
      <c r="AF50" s="184">
        <f t="shared" si="193"/>
        <v>0.27272727272727271</v>
      </c>
      <c r="AG50" s="184">
        <f t="shared" si="194"/>
        <v>0.16666666666666666</v>
      </c>
      <c r="AH50" s="184">
        <f t="shared" si="195"/>
        <v>0.59090909090909094</v>
      </c>
      <c r="AI50" s="241">
        <f t="shared" si="196"/>
        <v>13</v>
      </c>
      <c r="AJ50" s="832"/>
      <c r="AK50" s="833"/>
    </row>
    <row r="51" ht="54.950000000000003" customHeight="1">
      <c r="A51" s="300" t="s">
        <v>43</v>
      </c>
      <c r="B51" s="301"/>
      <c r="C51" s="402">
        <f t="shared" ref="C51:AA51" si="199">SUM(C17:C20)</f>
        <v>0</v>
      </c>
      <c r="D51" s="403">
        <f t="shared" si="199"/>
        <v>0</v>
      </c>
      <c r="E51" s="404">
        <f t="shared" si="199"/>
        <v>0</v>
      </c>
      <c r="F51" s="827">
        <f t="shared" si="199"/>
        <v>0</v>
      </c>
      <c r="G51" s="828">
        <f t="shared" si="199"/>
        <v>1</v>
      </c>
      <c r="H51" s="403">
        <f t="shared" si="199"/>
        <v>1</v>
      </c>
      <c r="I51" s="404">
        <f t="shared" si="199"/>
        <v>0</v>
      </c>
      <c r="J51" s="827">
        <f t="shared" si="199"/>
        <v>0</v>
      </c>
      <c r="K51" s="828">
        <f t="shared" si="199"/>
        <v>0</v>
      </c>
      <c r="L51" s="403">
        <f t="shared" si="199"/>
        <v>0</v>
      </c>
      <c r="M51" s="404">
        <f t="shared" si="199"/>
        <v>0</v>
      </c>
      <c r="N51" s="405">
        <f t="shared" si="199"/>
        <v>0</v>
      </c>
      <c r="O51" s="406"/>
      <c r="P51" s="402">
        <f t="shared" si="199"/>
        <v>0</v>
      </c>
      <c r="Q51" s="403">
        <f t="shared" si="199"/>
        <v>0</v>
      </c>
      <c r="R51" s="404">
        <f t="shared" si="199"/>
        <v>0</v>
      </c>
      <c r="S51" s="827">
        <f t="shared" si="199"/>
        <v>1</v>
      </c>
      <c r="T51" s="828">
        <f t="shared" si="199"/>
        <v>2</v>
      </c>
      <c r="U51" s="403">
        <f t="shared" si="199"/>
        <v>2</v>
      </c>
      <c r="V51" s="404">
        <f t="shared" si="199"/>
        <v>0</v>
      </c>
      <c r="W51" s="827">
        <f t="shared" si="199"/>
        <v>0</v>
      </c>
      <c r="X51" s="828">
        <f t="shared" si="199"/>
        <v>0</v>
      </c>
      <c r="Y51" s="403">
        <f t="shared" si="199"/>
        <v>0</v>
      </c>
      <c r="Z51" s="404">
        <f t="shared" si="199"/>
        <v>0</v>
      </c>
      <c r="AA51" s="405">
        <f t="shared" si="199"/>
        <v>0</v>
      </c>
      <c r="AB51" s="829" t="s">
        <v>43</v>
      </c>
      <c r="AC51" s="830"/>
      <c r="AD51" s="831">
        <f t="shared" si="191"/>
        <v>14</v>
      </c>
      <c r="AE51" s="184">
        <f t="shared" si="192"/>
        <v>0.2857142857142857</v>
      </c>
      <c r="AF51" s="184">
        <f t="shared" si="193"/>
        <v>0.35714285714285715</v>
      </c>
      <c r="AG51" s="184">
        <f t="shared" si="194"/>
        <v>0</v>
      </c>
      <c r="AH51" s="184">
        <f t="shared" si="195"/>
        <v>0.5</v>
      </c>
      <c r="AI51" s="241">
        <f t="shared" si="196"/>
        <v>7</v>
      </c>
      <c r="AJ51" s="832"/>
      <c r="AK51" s="833"/>
    </row>
    <row r="52" ht="54.950000000000003" customHeight="1">
      <c r="A52" s="307" t="s">
        <v>44</v>
      </c>
      <c r="B52" s="308"/>
      <c r="C52" s="413">
        <f t="shared" ref="C52:AA52" si="200">SUM(C19:C22)</f>
        <v>0</v>
      </c>
      <c r="D52" s="414">
        <f t="shared" si="200"/>
        <v>0</v>
      </c>
      <c r="E52" s="415">
        <f t="shared" si="200"/>
        <v>0</v>
      </c>
      <c r="F52" s="834">
        <f t="shared" si="200"/>
        <v>0</v>
      </c>
      <c r="G52" s="835">
        <f t="shared" si="200"/>
        <v>0</v>
      </c>
      <c r="H52" s="414">
        <f t="shared" si="200"/>
        <v>0</v>
      </c>
      <c r="I52" s="415">
        <f t="shared" si="200"/>
        <v>0</v>
      </c>
      <c r="J52" s="834">
        <f t="shared" si="200"/>
        <v>0</v>
      </c>
      <c r="K52" s="835">
        <f t="shared" si="200"/>
        <v>0</v>
      </c>
      <c r="L52" s="414">
        <f t="shared" si="200"/>
        <v>0</v>
      </c>
      <c r="M52" s="415">
        <f t="shared" si="200"/>
        <v>0</v>
      </c>
      <c r="N52" s="416">
        <f t="shared" si="200"/>
        <v>0</v>
      </c>
      <c r="O52" s="417"/>
      <c r="P52" s="413">
        <f t="shared" si="200"/>
        <v>0</v>
      </c>
      <c r="Q52" s="414">
        <f t="shared" si="200"/>
        <v>0</v>
      </c>
      <c r="R52" s="415">
        <f t="shared" si="200"/>
        <v>0</v>
      </c>
      <c r="S52" s="834">
        <f t="shared" si="200"/>
        <v>0</v>
      </c>
      <c r="T52" s="835">
        <f t="shared" si="200"/>
        <v>0</v>
      </c>
      <c r="U52" s="414">
        <f t="shared" si="200"/>
        <v>2</v>
      </c>
      <c r="V52" s="415">
        <f t="shared" si="200"/>
        <v>0</v>
      </c>
      <c r="W52" s="834">
        <f t="shared" si="200"/>
        <v>0</v>
      </c>
      <c r="X52" s="835">
        <f t="shared" si="200"/>
        <v>0</v>
      </c>
      <c r="Y52" s="414">
        <f t="shared" si="200"/>
        <v>0</v>
      </c>
      <c r="Z52" s="415">
        <f t="shared" si="200"/>
        <v>0</v>
      </c>
      <c r="AA52" s="416">
        <f t="shared" si="200"/>
        <v>0</v>
      </c>
      <c r="AB52" s="836" t="s">
        <v>44</v>
      </c>
      <c r="AC52" s="837"/>
      <c r="AD52" s="838">
        <f t="shared" si="191"/>
        <v>3</v>
      </c>
      <c r="AE52" s="199">
        <f t="shared" si="192"/>
        <v>0</v>
      </c>
      <c r="AF52" s="199">
        <f t="shared" si="193"/>
        <v>0.33333333333333331</v>
      </c>
      <c r="AG52" s="199">
        <f t="shared" si="194"/>
        <v>0</v>
      </c>
      <c r="AH52" s="199">
        <f t="shared" si="195"/>
        <v>1</v>
      </c>
      <c r="AI52" s="243">
        <f t="shared" si="196"/>
        <v>3</v>
      </c>
      <c r="AJ52" s="839"/>
      <c r="AK52" s="840"/>
    </row>
    <row r="53" ht="54.950000000000003" customHeight="1">
      <c r="A53" s="319" t="s">
        <v>31</v>
      </c>
      <c r="B53" s="320"/>
      <c r="C53" s="60">
        <f t="shared" ref="C53:AA53" si="201">SUM(C11:C22)</f>
        <v>0</v>
      </c>
      <c r="D53" s="65">
        <f t="shared" si="201"/>
        <v>0</v>
      </c>
      <c r="E53" s="62">
        <f t="shared" si="201"/>
        <v>0</v>
      </c>
      <c r="F53" s="63">
        <f t="shared" si="201"/>
        <v>0</v>
      </c>
      <c r="G53" s="64">
        <f t="shared" si="201"/>
        <v>1</v>
      </c>
      <c r="H53" s="65">
        <f t="shared" si="201"/>
        <v>3</v>
      </c>
      <c r="I53" s="62">
        <f t="shared" si="201"/>
        <v>0</v>
      </c>
      <c r="J53" s="63">
        <f t="shared" si="201"/>
        <v>0</v>
      </c>
      <c r="K53" s="64">
        <f t="shared" si="201"/>
        <v>0</v>
      </c>
      <c r="L53" s="65">
        <f t="shared" si="201"/>
        <v>0</v>
      </c>
      <c r="M53" s="62">
        <f t="shared" si="201"/>
        <v>0</v>
      </c>
      <c r="N53" s="817">
        <f t="shared" si="201"/>
        <v>0</v>
      </c>
      <c r="O53" s="841"/>
      <c r="P53" s="60">
        <f t="shared" si="201"/>
        <v>0</v>
      </c>
      <c r="Q53" s="65">
        <f t="shared" si="201"/>
        <v>0</v>
      </c>
      <c r="R53" s="62">
        <f t="shared" si="201"/>
        <v>0</v>
      </c>
      <c r="S53" s="63">
        <f t="shared" si="201"/>
        <v>1</v>
      </c>
      <c r="T53" s="64">
        <f t="shared" si="201"/>
        <v>8</v>
      </c>
      <c r="U53" s="65">
        <f t="shared" si="201"/>
        <v>7</v>
      </c>
      <c r="V53" s="62">
        <f t="shared" si="201"/>
        <v>1</v>
      </c>
      <c r="W53" s="63">
        <f t="shared" si="201"/>
        <v>2</v>
      </c>
      <c r="X53" s="64">
        <f t="shared" si="201"/>
        <v>0</v>
      </c>
      <c r="Y53" s="65">
        <f t="shared" si="201"/>
        <v>0</v>
      </c>
      <c r="Z53" s="62">
        <f t="shared" si="201"/>
        <v>0</v>
      </c>
      <c r="AA53" s="817">
        <f t="shared" si="201"/>
        <v>0</v>
      </c>
      <c r="AB53" s="328" t="s">
        <v>31</v>
      </c>
      <c r="AC53" s="329"/>
      <c r="AD53" s="842">
        <f t="shared" si="191"/>
        <v>37</v>
      </c>
      <c r="AE53" s="843">
        <f>IF(AD53=0,0,(C53+E53+G53+I53+K53+M53+P53+R53+T53+V53+X53+Z53+C65+E65+G65+I65+K65+M65+P65+R65+T65+V65+X65+Z65)/AD53)</f>
        <v>0.40540540540540543</v>
      </c>
      <c r="AF53" s="843">
        <f>IF(AD53=0,0,(E53+F53+I53+J53+M53+N53+R53+S53+V53+W53+Z53+AA53+E65+F65+I65+J65+M65+N65+R65+S65+V65+W65+Z65+AA65)/AD53)</f>
        <v>0.32432432432432434</v>
      </c>
      <c r="AG53" s="843">
        <f>IF((E53+I53+M53+R53+V53+Z53+E65+I65+M65+R65+V65+Z65)=0,0,(E53+I53+M53+R53+V53+Z53+E65+I65+M65+R65+V65+Z65)/(E53+F53+I53+J53+M53+N53+R53+S53+V53+W53+Z53+AA53+E65+F65+I65+J65+M65+N65+R65+S65+V65+W65+Z65+AA65))</f>
        <v>0.25</v>
      </c>
      <c r="AH53" s="843">
        <f>IF(AD53=0,0,AI53/AD53)</f>
        <v>0.70270270270270274</v>
      </c>
      <c r="AI53" s="844">
        <f t="shared" si="196"/>
        <v>26</v>
      </c>
      <c r="AJ53" s="845"/>
      <c r="AK53" s="846"/>
    </row>
    <row r="54" ht="54.950000000000003" customHeight="1">
      <c r="A54" s="331" t="str">
        <f>IF($AD$48=MAX($AD$48:$AD$52),A48,IF($AD$49=MAX($AD$48:$AD$52),A49,IF($AD$50=MAX($AD$48:$AD$52),A50,IF($AD$51=MAX($AD$48:$AD$52),A51,A52))))</f>
        <v xml:space="preserve">de 7:00 à 8:00</v>
      </c>
      <c r="B54" s="332"/>
      <c r="C54" s="95">
        <f>IF($AD$48=MAX($AD$48:$AD$52),C48,IF($AD$49=MAX($AD$48:$AD$52),C49,IF($AD$50=MAX($AD$48:$AD$52),C50,IF($AD$51=MAX($AD$48:$AD$52),(C51),C52))))</f>
        <v>0</v>
      </c>
      <c r="D54" s="100">
        <f t="shared" ref="D54:AA54" si="202">IF($AD$48=MAX($AD$48:$AD$52),D48,IF($AD$49=MAX($AD$48:$AD$52),D49,IF($AD$50=MAX($AD$48:$AD$52),D50,IF($AD$51=MAX($AD$48:$AD$52),(D51),D52))))</f>
        <v>0</v>
      </c>
      <c r="E54" s="97">
        <f t="shared" si="202"/>
        <v>0</v>
      </c>
      <c r="F54" s="98">
        <f t="shared" si="202"/>
        <v>0</v>
      </c>
      <c r="G54" s="99">
        <f t="shared" si="202"/>
        <v>0</v>
      </c>
      <c r="H54" s="100">
        <f t="shared" si="202"/>
        <v>2</v>
      </c>
      <c r="I54" s="97">
        <f t="shared" si="202"/>
        <v>0</v>
      </c>
      <c r="J54" s="98">
        <f t="shared" si="202"/>
        <v>0</v>
      </c>
      <c r="K54" s="99">
        <f t="shared" si="202"/>
        <v>0</v>
      </c>
      <c r="L54" s="100">
        <f t="shared" si="202"/>
        <v>0</v>
      </c>
      <c r="M54" s="97">
        <f t="shared" si="202"/>
        <v>0</v>
      </c>
      <c r="N54" s="818">
        <f t="shared" si="202"/>
        <v>0</v>
      </c>
      <c r="O54" s="847"/>
      <c r="P54" s="95">
        <f t="shared" si="202"/>
        <v>0</v>
      </c>
      <c r="Q54" s="100">
        <f t="shared" si="202"/>
        <v>0</v>
      </c>
      <c r="R54" s="97">
        <f t="shared" si="202"/>
        <v>0</v>
      </c>
      <c r="S54" s="98">
        <f t="shared" si="202"/>
        <v>0</v>
      </c>
      <c r="T54" s="99">
        <f t="shared" si="202"/>
        <v>6</v>
      </c>
      <c r="U54" s="100">
        <f t="shared" si="202"/>
        <v>5</v>
      </c>
      <c r="V54" s="97">
        <f t="shared" si="202"/>
        <v>1</v>
      </c>
      <c r="W54" s="98">
        <f t="shared" si="202"/>
        <v>2</v>
      </c>
      <c r="X54" s="99">
        <f t="shared" si="202"/>
        <v>0</v>
      </c>
      <c r="Y54" s="100">
        <f t="shared" si="202"/>
        <v>0</v>
      </c>
      <c r="Z54" s="97">
        <f t="shared" si="202"/>
        <v>0</v>
      </c>
      <c r="AA54" s="818">
        <f t="shared" si="202"/>
        <v>0</v>
      </c>
      <c r="AB54" s="340" t="str">
        <f>IF($AD$48=MAX($AD$48:$AD$52),A48,IF($AD$49=MAX($AD$48:$AD$52),A49,IF($AD$50=MAX($AD$48:$AD$52),A50,IF($AD$51=MAX($AD$48:$AD$52),A51,A52))))</f>
        <v xml:space="preserve">de 7:00 à 8:00</v>
      </c>
      <c r="AC54" s="341"/>
      <c r="AD54" s="435">
        <f>IF($AD$48=MAX($AD$48:$AD$52),AD48,IF($AD$49=MAX($AD$48:$AD$52),AD49,IF($AD$50=MAX($AD$48:$AD$52),AD50,IF($AD$51=MAX($AD$48:$AD$52),(AD51),AD52))))</f>
        <v>23</v>
      </c>
      <c r="AE54" s="848">
        <f t="shared" si="192"/>
        <v>0.47826086956521741</v>
      </c>
      <c r="AF54" s="848">
        <f t="shared" si="193"/>
        <v>0.30434782608695654</v>
      </c>
      <c r="AG54" s="848">
        <f t="shared" si="194"/>
        <v>0.42857142857142855</v>
      </c>
      <c r="AH54" s="848">
        <f t="shared" si="195"/>
        <v>0.82608695652173914</v>
      </c>
      <c r="AI54" s="849">
        <f t="shared" si="196"/>
        <v>19</v>
      </c>
      <c r="AJ54" s="850"/>
      <c r="AK54" s="851"/>
    </row>
    <row r="55" ht="12.75" customHeight="1">
      <c r="A55" s="852"/>
      <c r="B55" s="853"/>
      <c r="C55" s="853"/>
      <c r="D55" s="853"/>
      <c r="E55" s="853"/>
      <c r="F55" s="853"/>
      <c r="G55" s="853"/>
      <c r="H55" s="853"/>
      <c r="I55" s="853"/>
      <c r="J55" s="853"/>
      <c r="K55" s="853"/>
      <c r="L55" s="853"/>
      <c r="M55" s="853"/>
      <c r="N55" s="853"/>
      <c r="O55" s="853"/>
      <c r="P55" s="853"/>
      <c r="Q55" s="853"/>
      <c r="R55" s="853"/>
      <c r="S55" s="853"/>
      <c r="T55" s="853"/>
      <c r="U55" s="853"/>
      <c r="V55" s="853"/>
      <c r="W55" s="853"/>
      <c r="X55" s="853"/>
      <c r="Y55" s="853"/>
      <c r="Z55" s="853"/>
      <c r="AA55" s="854"/>
      <c r="AB55" s="855"/>
      <c r="AC55" s="855"/>
      <c r="AD55" s="856"/>
      <c r="AE55" s="857"/>
      <c r="AF55" s="857"/>
      <c r="AG55" s="857"/>
      <c r="AH55" s="857"/>
      <c r="AI55" s="858"/>
      <c r="AJ55" s="858"/>
      <c r="AK55" s="858"/>
    </row>
    <row r="56" ht="32.25" customHeight="1">
      <c r="A56" s="13"/>
      <c r="B56" s="14"/>
      <c r="C56" s="24" t="str">
        <f t="shared" ref="C56:C57" si="203">C26</f>
        <v xml:space="preserve">Depuis 'Reignier'</v>
      </c>
      <c r="D56" s="384"/>
      <c r="E56" s="25"/>
      <c r="F56" s="25"/>
      <c r="G56" s="25"/>
      <c r="H56" s="25"/>
      <c r="I56" s="25"/>
      <c r="J56" s="25"/>
      <c r="K56" s="25"/>
      <c r="L56" s="25"/>
      <c r="M56" s="25"/>
      <c r="N56" s="27"/>
      <c r="O56" s="819"/>
      <c r="P56" s="24" t="str">
        <f t="shared" ref="P56:P57" si="204">P26</f>
        <v xml:space="preserve">Depuis 'Rossat'</v>
      </c>
      <c r="Q56" s="384"/>
      <c r="R56" s="25"/>
      <c r="S56" s="25"/>
      <c r="T56" s="25"/>
      <c r="U56" s="25"/>
      <c r="V56" s="25"/>
      <c r="W56" s="25"/>
      <c r="X56" s="25"/>
      <c r="Y56" s="25"/>
      <c r="Z56" s="25"/>
      <c r="AA56" s="27"/>
      <c r="AB56" s="357"/>
      <c r="AC56" s="357"/>
      <c r="AD56" s="446"/>
      <c r="AE56" s="447"/>
      <c r="AF56" s="447"/>
      <c r="AG56" s="447">
        <f>IF((E53+I53+M53+R53+V53+Z53+E65+I65+M65+R65+V65+Z65)=0,0,(E53+I53+M53+R53+V53+Z53+E65+I65+M65+R65+V65+Z65)/(E53+F53+I53+J53+M53+N53+R53+S53+V53+W53+Z53+AA53+E65+F65+I65+J65+M65+N65+R65+S65+V65+W65+Z65+AA65))</f>
        <v>0.25</v>
      </c>
      <c r="AH56" s="447"/>
      <c r="AI56" s="361"/>
      <c r="AJ56" s="361"/>
      <c r="AK56" s="361"/>
    </row>
    <row r="57" ht="22.699999999999999" customHeight="1">
      <c r="A57" s="13"/>
      <c r="B57" s="14"/>
      <c r="C57" s="813" t="str">
        <f t="shared" si="203"/>
        <v xml:space="preserve">vers 'Nangy'</v>
      </c>
      <c r="D57" s="813"/>
      <c r="E57" s="813"/>
      <c r="F57" s="813"/>
      <c r="G57" s="813" t="str">
        <f>G27</f>
        <v xml:space="preserve">vers 'Rossat'</v>
      </c>
      <c r="H57" s="813"/>
      <c r="I57" s="813"/>
      <c r="J57" s="813"/>
      <c r="K57" s="813" t="str">
        <f>K27</f>
        <v xml:space="preserve">vers 'Annemasse'</v>
      </c>
      <c r="L57" s="813"/>
      <c r="M57" s="813"/>
      <c r="N57" s="813"/>
      <c r="O57" s="813"/>
      <c r="P57" s="813" t="str">
        <f t="shared" si="204"/>
        <v xml:space="preserve">vers 'Reignier'</v>
      </c>
      <c r="Q57" s="813"/>
      <c r="R57" s="813"/>
      <c r="S57" s="813"/>
      <c r="T57" s="813" t="str">
        <f>T27</f>
        <v xml:space="preserve">vers 'Nangy'</v>
      </c>
      <c r="U57" s="813"/>
      <c r="V57" s="813"/>
      <c r="W57" s="813"/>
      <c r="X57" s="813" t="str">
        <f>X27</f>
        <v xml:space="preserve">vers 'Annemasse'</v>
      </c>
      <c r="Y57" s="813"/>
      <c r="Z57" s="813"/>
      <c r="AA57" s="813"/>
      <c r="AB57" s="357"/>
      <c r="AC57" s="357"/>
      <c r="AD57" s="446"/>
      <c r="AE57" s="447"/>
      <c r="AF57" s="447"/>
      <c r="AG57" s="447"/>
      <c r="AH57" s="447"/>
      <c r="AI57" s="361"/>
      <c r="AJ57" s="361"/>
      <c r="AK57" s="361"/>
    </row>
    <row r="58" ht="18.600000000000001" customHeight="1">
      <c r="A58" s="13"/>
      <c r="B58" s="14"/>
      <c r="C58" s="33" t="s">
        <v>18</v>
      </c>
      <c r="D58" s="814"/>
      <c r="E58" s="35" t="s">
        <v>19</v>
      </c>
      <c r="F58" s="36"/>
      <c r="G58" s="36" t="s">
        <v>18</v>
      </c>
      <c r="H58" s="37"/>
      <c r="I58" s="35" t="s">
        <v>19</v>
      </c>
      <c r="J58" s="36"/>
      <c r="K58" s="36" t="s">
        <v>18</v>
      </c>
      <c r="L58" s="37"/>
      <c r="M58" s="815" t="s">
        <v>19</v>
      </c>
      <c r="N58" s="816"/>
      <c r="O58" s="41"/>
      <c r="P58" s="33" t="s">
        <v>18</v>
      </c>
      <c r="Q58" s="814"/>
      <c r="R58" s="35" t="s">
        <v>19</v>
      </c>
      <c r="S58" s="36"/>
      <c r="T58" s="36" t="s">
        <v>18</v>
      </c>
      <c r="U58" s="37"/>
      <c r="V58" s="35" t="s">
        <v>19</v>
      </c>
      <c r="W58" s="36"/>
      <c r="X58" s="36" t="s">
        <v>18</v>
      </c>
      <c r="Y58" s="37"/>
      <c r="Z58" s="815" t="s">
        <v>19</v>
      </c>
      <c r="AA58" s="816"/>
      <c r="AB58" s="357"/>
      <c r="AC58" s="357"/>
      <c r="AD58" s="446"/>
      <c r="AE58" s="447"/>
      <c r="AF58" s="447"/>
      <c r="AG58" s="447"/>
      <c r="AH58" s="447"/>
      <c r="AI58" s="361"/>
      <c r="AJ58" s="361"/>
      <c r="AK58" s="361"/>
    </row>
    <row r="59" ht="21.75" customHeight="1">
      <c r="A59" s="286" t="s">
        <v>39</v>
      </c>
      <c r="B59" s="287"/>
      <c r="C59" s="45" t="s">
        <v>22</v>
      </c>
      <c r="D59" s="50" t="s">
        <v>23</v>
      </c>
      <c r="E59" s="47" t="s">
        <v>22</v>
      </c>
      <c r="F59" s="48" t="s">
        <v>23</v>
      </c>
      <c r="G59" s="49" t="s">
        <v>22</v>
      </c>
      <c r="H59" s="50" t="s">
        <v>23</v>
      </c>
      <c r="I59" s="47" t="s">
        <v>22</v>
      </c>
      <c r="J59" s="48" t="s">
        <v>23</v>
      </c>
      <c r="K59" s="49" t="s">
        <v>22</v>
      </c>
      <c r="L59" s="50" t="s">
        <v>23</v>
      </c>
      <c r="M59" s="47" t="s">
        <v>22</v>
      </c>
      <c r="N59" s="390" t="s">
        <v>23</v>
      </c>
      <c r="O59" s="288"/>
      <c r="P59" s="45" t="s">
        <v>22</v>
      </c>
      <c r="Q59" s="50" t="s">
        <v>23</v>
      </c>
      <c r="R59" s="47" t="s">
        <v>22</v>
      </c>
      <c r="S59" s="48" t="s">
        <v>23</v>
      </c>
      <c r="T59" s="49" t="s">
        <v>22</v>
      </c>
      <c r="U59" s="50" t="s">
        <v>23</v>
      </c>
      <c r="V59" s="47" t="s">
        <v>22</v>
      </c>
      <c r="W59" s="48" t="s">
        <v>23</v>
      </c>
      <c r="X59" s="49" t="s">
        <v>22</v>
      </c>
      <c r="Y59" s="50" t="s">
        <v>23</v>
      </c>
      <c r="Z59" s="47" t="s">
        <v>22</v>
      </c>
      <c r="AA59" s="390" t="s">
        <v>23</v>
      </c>
      <c r="AB59" s="357"/>
      <c r="AC59" s="357"/>
      <c r="AD59" s="446"/>
      <c r="AE59" s="447"/>
      <c r="AF59" s="447"/>
      <c r="AG59" s="447"/>
      <c r="AH59" s="447"/>
      <c r="AI59" s="361"/>
      <c r="AJ59" s="361"/>
      <c r="AK59" s="361"/>
    </row>
    <row r="60" ht="54.950000000000003" customHeight="1">
      <c r="A60" s="293" t="s">
        <v>40</v>
      </c>
      <c r="B60" s="294"/>
      <c r="C60" s="391">
        <f t="shared" ref="C60:AA60" si="205">SUM(C30:C33)</f>
        <v>0</v>
      </c>
      <c r="D60" s="392">
        <f t="shared" si="205"/>
        <v>0</v>
      </c>
      <c r="E60" s="393">
        <f t="shared" si="205"/>
        <v>0</v>
      </c>
      <c r="F60" s="820">
        <f t="shared" si="205"/>
        <v>0</v>
      </c>
      <c r="G60" s="821">
        <f t="shared" si="205"/>
        <v>0</v>
      </c>
      <c r="H60" s="392">
        <f t="shared" si="205"/>
        <v>0</v>
      </c>
      <c r="I60" s="393">
        <f t="shared" si="205"/>
        <v>0</v>
      </c>
      <c r="J60" s="820">
        <f t="shared" si="205"/>
        <v>1</v>
      </c>
      <c r="K60" s="821">
        <f t="shared" si="205"/>
        <v>0</v>
      </c>
      <c r="L60" s="392">
        <f t="shared" si="205"/>
        <v>1</v>
      </c>
      <c r="M60" s="393">
        <f t="shared" si="205"/>
        <v>2</v>
      </c>
      <c r="N60" s="394">
        <f t="shared" si="205"/>
        <v>0</v>
      </c>
      <c r="O60" s="395"/>
      <c r="P60" s="391">
        <f t="shared" si="205"/>
        <v>0</v>
      </c>
      <c r="Q60" s="392">
        <f t="shared" si="205"/>
        <v>0</v>
      </c>
      <c r="R60" s="393">
        <f t="shared" si="205"/>
        <v>0</v>
      </c>
      <c r="S60" s="820">
        <f t="shared" si="205"/>
        <v>1</v>
      </c>
      <c r="T60" s="821">
        <f t="shared" si="205"/>
        <v>0</v>
      </c>
      <c r="U60" s="392">
        <f t="shared" si="205"/>
        <v>0</v>
      </c>
      <c r="V60" s="393">
        <f t="shared" si="205"/>
        <v>0</v>
      </c>
      <c r="W60" s="820">
        <f t="shared" si="205"/>
        <v>0</v>
      </c>
      <c r="X60" s="821">
        <f t="shared" si="205"/>
        <v>0</v>
      </c>
      <c r="Y60" s="392">
        <f t="shared" si="205"/>
        <v>0</v>
      </c>
      <c r="Z60" s="393">
        <f t="shared" si="205"/>
        <v>0</v>
      </c>
      <c r="AA60" s="394">
        <f t="shared" si="205"/>
        <v>0</v>
      </c>
      <c r="AB60" s="357"/>
      <c r="AC60" s="357"/>
      <c r="AD60" s="446"/>
      <c r="AE60" s="447"/>
      <c r="AF60" s="447"/>
      <c r="AG60" s="447"/>
      <c r="AH60" s="447"/>
      <c r="AI60" s="361"/>
      <c r="AJ60" s="361"/>
      <c r="AK60" s="361"/>
    </row>
    <row r="61" ht="54.950000000000003" customHeight="1">
      <c r="A61" s="300" t="s">
        <v>41</v>
      </c>
      <c r="B61" s="301"/>
      <c r="C61" s="402">
        <f t="shared" ref="C61:AA61" si="206">SUM(C32:C35)</f>
        <v>0</v>
      </c>
      <c r="D61" s="403">
        <f t="shared" si="206"/>
        <v>0</v>
      </c>
      <c r="E61" s="404">
        <f t="shared" si="206"/>
        <v>0</v>
      </c>
      <c r="F61" s="827">
        <f t="shared" si="206"/>
        <v>0</v>
      </c>
      <c r="G61" s="828">
        <f t="shared" si="206"/>
        <v>0</v>
      </c>
      <c r="H61" s="403">
        <f t="shared" si="206"/>
        <v>0</v>
      </c>
      <c r="I61" s="404">
        <f t="shared" si="206"/>
        <v>0</v>
      </c>
      <c r="J61" s="827">
        <f t="shared" si="206"/>
        <v>1</v>
      </c>
      <c r="K61" s="828">
        <f t="shared" si="206"/>
        <v>1</v>
      </c>
      <c r="L61" s="403">
        <f t="shared" si="206"/>
        <v>1</v>
      </c>
      <c r="M61" s="404">
        <f t="shared" si="206"/>
        <v>2</v>
      </c>
      <c r="N61" s="405">
        <f t="shared" si="206"/>
        <v>0</v>
      </c>
      <c r="O61" s="406"/>
      <c r="P61" s="402">
        <f t="shared" si="206"/>
        <v>0</v>
      </c>
      <c r="Q61" s="403">
        <f t="shared" si="206"/>
        <v>0</v>
      </c>
      <c r="R61" s="404">
        <f t="shared" si="206"/>
        <v>0</v>
      </c>
      <c r="S61" s="827">
        <f t="shared" si="206"/>
        <v>1</v>
      </c>
      <c r="T61" s="828">
        <f t="shared" si="206"/>
        <v>0</v>
      </c>
      <c r="U61" s="403">
        <f t="shared" si="206"/>
        <v>0</v>
      </c>
      <c r="V61" s="404">
        <f t="shared" si="206"/>
        <v>0</v>
      </c>
      <c r="W61" s="827">
        <f t="shared" si="206"/>
        <v>0</v>
      </c>
      <c r="X61" s="828">
        <f t="shared" si="206"/>
        <v>1</v>
      </c>
      <c r="Y61" s="403">
        <f t="shared" si="206"/>
        <v>0</v>
      </c>
      <c r="Z61" s="404">
        <f t="shared" si="206"/>
        <v>0</v>
      </c>
      <c r="AA61" s="405">
        <f t="shared" si="206"/>
        <v>0</v>
      </c>
      <c r="AB61" s="357"/>
      <c r="AC61" s="357"/>
      <c r="AD61" s="446"/>
      <c r="AE61" s="447"/>
      <c r="AF61" s="447"/>
      <c r="AG61" s="447"/>
      <c r="AH61" s="447"/>
      <c r="AI61" s="361"/>
      <c r="AJ61" s="361"/>
      <c r="AK61" s="361"/>
    </row>
    <row r="62" ht="54.950000000000003" customHeight="1">
      <c r="A62" s="300" t="s">
        <v>42</v>
      </c>
      <c r="B62" s="301"/>
      <c r="C62" s="402">
        <f t="shared" ref="C62:AA62" si="207">SUM(C34:C37)</f>
        <v>0</v>
      </c>
      <c r="D62" s="403">
        <f t="shared" si="207"/>
        <v>0</v>
      </c>
      <c r="E62" s="404">
        <f t="shared" si="207"/>
        <v>0</v>
      </c>
      <c r="F62" s="827">
        <f t="shared" si="207"/>
        <v>0</v>
      </c>
      <c r="G62" s="828">
        <f t="shared" si="207"/>
        <v>0</v>
      </c>
      <c r="H62" s="403">
        <f t="shared" si="207"/>
        <v>1</v>
      </c>
      <c r="I62" s="404">
        <f t="shared" si="207"/>
        <v>0</v>
      </c>
      <c r="J62" s="827">
        <f t="shared" si="207"/>
        <v>1</v>
      </c>
      <c r="K62" s="828">
        <f t="shared" si="207"/>
        <v>2</v>
      </c>
      <c r="L62" s="403">
        <f t="shared" si="207"/>
        <v>1</v>
      </c>
      <c r="M62" s="404">
        <f t="shared" si="207"/>
        <v>0</v>
      </c>
      <c r="N62" s="405">
        <f t="shared" si="207"/>
        <v>0</v>
      </c>
      <c r="O62" s="406"/>
      <c r="P62" s="402">
        <f t="shared" si="207"/>
        <v>0</v>
      </c>
      <c r="Q62" s="403">
        <f t="shared" si="207"/>
        <v>0</v>
      </c>
      <c r="R62" s="404">
        <f t="shared" si="207"/>
        <v>0</v>
      </c>
      <c r="S62" s="827">
        <f t="shared" si="207"/>
        <v>2</v>
      </c>
      <c r="T62" s="828">
        <f t="shared" si="207"/>
        <v>0</v>
      </c>
      <c r="U62" s="403">
        <f t="shared" si="207"/>
        <v>0</v>
      </c>
      <c r="V62" s="404">
        <f t="shared" si="207"/>
        <v>0</v>
      </c>
      <c r="W62" s="827">
        <f t="shared" si="207"/>
        <v>0</v>
      </c>
      <c r="X62" s="828">
        <f t="shared" si="207"/>
        <v>1</v>
      </c>
      <c r="Y62" s="403">
        <f t="shared" si="207"/>
        <v>0</v>
      </c>
      <c r="Z62" s="404">
        <f t="shared" si="207"/>
        <v>0</v>
      </c>
      <c r="AA62" s="405">
        <f t="shared" si="207"/>
        <v>0</v>
      </c>
      <c r="AB62" s="357"/>
      <c r="AC62" s="357"/>
      <c r="AD62" s="446"/>
      <c r="AE62" s="447"/>
      <c r="AF62" s="447"/>
      <c r="AG62" s="447"/>
      <c r="AH62" s="447"/>
      <c r="AI62" s="361"/>
      <c r="AJ62" s="361"/>
      <c r="AK62" s="361"/>
    </row>
    <row r="63" ht="54.950000000000003" customHeight="1">
      <c r="A63" s="300" t="s">
        <v>43</v>
      </c>
      <c r="B63" s="301"/>
      <c r="C63" s="402">
        <f t="shared" ref="C63:AA63" si="208">SUM(C36:C39)</f>
        <v>0</v>
      </c>
      <c r="D63" s="403">
        <f t="shared" si="208"/>
        <v>0</v>
      </c>
      <c r="E63" s="404">
        <f t="shared" si="208"/>
        <v>0</v>
      </c>
      <c r="F63" s="827">
        <f t="shared" si="208"/>
        <v>0</v>
      </c>
      <c r="G63" s="828">
        <f t="shared" si="208"/>
        <v>0</v>
      </c>
      <c r="H63" s="403">
        <f t="shared" si="208"/>
        <v>1</v>
      </c>
      <c r="I63" s="404">
        <f t="shared" si="208"/>
        <v>0</v>
      </c>
      <c r="J63" s="827">
        <f t="shared" si="208"/>
        <v>1</v>
      </c>
      <c r="K63" s="828">
        <f t="shared" si="208"/>
        <v>1</v>
      </c>
      <c r="L63" s="403">
        <f t="shared" si="208"/>
        <v>1</v>
      </c>
      <c r="M63" s="404">
        <f t="shared" si="208"/>
        <v>0</v>
      </c>
      <c r="N63" s="405">
        <f t="shared" si="208"/>
        <v>1</v>
      </c>
      <c r="O63" s="406"/>
      <c r="P63" s="402">
        <f t="shared" si="208"/>
        <v>0</v>
      </c>
      <c r="Q63" s="403">
        <f t="shared" si="208"/>
        <v>0</v>
      </c>
      <c r="R63" s="404">
        <f t="shared" si="208"/>
        <v>0</v>
      </c>
      <c r="S63" s="827">
        <f t="shared" si="208"/>
        <v>2</v>
      </c>
      <c r="T63" s="828">
        <f t="shared" si="208"/>
        <v>0</v>
      </c>
      <c r="U63" s="403">
        <f t="shared" si="208"/>
        <v>0</v>
      </c>
      <c r="V63" s="404">
        <f t="shared" si="208"/>
        <v>0</v>
      </c>
      <c r="W63" s="827">
        <f t="shared" si="208"/>
        <v>0</v>
      </c>
      <c r="X63" s="828">
        <f t="shared" si="208"/>
        <v>0</v>
      </c>
      <c r="Y63" s="403">
        <f t="shared" si="208"/>
        <v>0</v>
      </c>
      <c r="Z63" s="404">
        <f t="shared" si="208"/>
        <v>0</v>
      </c>
      <c r="AA63" s="405">
        <f t="shared" si="208"/>
        <v>0</v>
      </c>
      <c r="AB63" s="357"/>
      <c r="AC63" s="357"/>
      <c r="AD63" s="446"/>
      <c r="AE63" s="447"/>
      <c r="AF63" s="447"/>
      <c r="AG63" s="447"/>
      <c r="AH63" s="447"/>
      <c r="AI63" s="361"/>
      <c r="AJ63" s="361"/>
      <c r="AK63" s="361"/>
    </row>
    <row r="64" ht="54.950000000000003" customHeight="1">
      <c r="A64" s="307" t="s">
        <v>44</v>
      </c>
      <c r="B64" s="308"/>
      <c r="C64" s="413">
        <f t="shared" ref="C64:AA64" si="209">SUM(C38:C41)</f>
        <v>0</v>
      </c>
      <c r="D64" s="414">
        <f t="shared" si="209"/>
        <v>0</v>
      </c>
      <c r="E64" s="415">
        <f t="shared" si="209"/>
        <v>0</v>
      </c>
      <c r="F64" s="834">
        <f t="shared" si="209"/>
        <v>0</v>
      </c>
      <c r="G64" s="835">
        <f t="shared" si="209"/>
        <v>0</v>
      </c>
      <c r="H64" s="414">
        <f t="shared" si="209"/>
        <v>0</v>
      </c>
      <c r="I64" s="415">
        <f t="shared" si="209"/>
        <v>0</v>
      </c>
      <c r="J64" s="834">
        <f t="shared" si="209"/>
        <v>0</v>
      </c>
      <c r="K64" s="835">
        <f t="shared" si="209"/>
        <v>0</v>
      </c>
      <c r="L64" s="414">
        <f t="shared" si="209"/>
        <v>0</v>
      </c>
      <c r="M64" s="415">
        <f t="shared" si="209"/>
        <v>0</v>
      </c>
      <c r="N64" s="416">
        <f t="shared" si="209"/>
        <v>1</v>
      </c>
      <c r="O64" s="417"/>
      <c r="P64" s="413">
        <f t="shared" si="209"/>
        <v>0</v>
      </c>
      <c r="Q64" s="414">
        <f t="shared" si="209"/>
        <v>0</v>
      </c>
      <c r="R64" s="415">
        <f t="shared" si="209"/>
        <v>0</v>
      </c>
      <c r="S64" s="834">
        <f t="shared" si="209"/>
        <v>0</v>
      </c>
      <c r="T64" s="835">
        <f t="shared" si="209"/>
        <v>0</v>
      </c>
      <c r="U64" s="414">
        <f t="shared" si="209"/>
        <v>0</v>
      </c>
      <c r="V64" s="415">
        <f t="shared" si="209"/>
        <v>0</v>
      </c>
      <c r="W64" s="834">
        <f t="shared" si="209"/>
        <v>0</v>
      </c>
      <c r="X64" s="835">
        <f t="shared" si="209"/>
        <v>0</v>
      </c>
      <c r="Y64" s="414">
        <f t="shared" si="209"/>
        <v>0</v>
      </c>
      <c r="Z64" s="415">
        <f t="shared" si="209"/>
        <v>0</v>
      </c>
      <c r="AA64" s="416">
        <f t="shared" si="209"/>
        <v>0</v>
      </c>
      <c r="AB64" s="357"/>
      <c r="AC64" s="357"/>
      <c r="AD64" s="446"/>
      <c r="AE64" s="447"/>
      <c r="AF64" s="447"/>
      <c r="AG64" s="447"/>
      <c r="AH64" s="447"/>
      <c r="AI64" s="361"/>
      <c r="AJ64" s="361"/>
      <c r="AK64" s="361"/>
    </row>
    <row r="65" ht="54.950000000000003" customHeight="1">
      <c r="A65" s="319" t="s">
        <v>31</v>
      </c>
      <c r="B65" s="320"/>
      <c r="C65" s="60">
        <f t="shared" ref="C65:AA65" si="210">SUM(C30:C41)</f>
        <v>0</v>
      </c>
      <c r="D65" s="65">
        <f t="shared" si="210"/>
        <v>0</v>
      </c>
      <c r="E65" s="62">
        <f t="shared" si="210"/>
        <v>0</v>
      </c>
      <c r="F65" s="63">
        <f t="shared" si="210"/>
        <v>0</v>
      </c>
      <c r="G65" s="64">
        <f t="shared" si="210"/>
        <v>0</v>
      </c>
      <c r="H65" s="65">
        <f t="shared" si="210"/>
        <v>1</v>
      </c>
      <c r="I65" s="62">
        <f t="shared" si="210"/>
        <v>0</v>
      </c>
      <c r="J65" s="63">
        <f t="shared" si="210"/>
        <v>2</v>
      </c>
      <c r="K65" s="64">
        <f t="shared" si="210"/>
        <v>2</v>
      </c>
      <c r="L65" s="65">
        <f t="shared" si="210"/>
        <v>2</v>
      </c>
      <c r="M65" s="62">
        <f t="shared" si="210"/>
        <v>2</v>
      </c>
      <c r="N65" s="817">
        <f t="shared" si="210"/>
        <v>1</v>
      </c>
      <c r="O65" s="841"/>
      <c r="P65" s="60">
        <f t="shared" si="210"/>
        <v>0</v>
      </c>
      <c r="Q65" s="65">
        <f t="shared" si="210"/>
        <v>0</v>
      </c>
      <c r="R65" s="62">
        <f t="shared" si="210"/>
        <v>0</v>
      </c>
      <c r="S65" s="63">
        <f t="shared" si="210"/>
        <v>3</v>
      </c>
      <c r="T65" s="64">
        <f t="shared" si="210"/>
        <v>0</v>
      </c>
      <c r="U65" s="65">
        <f t="shared" si="210"/>
        <v>0</v>
      </c>
      <c r="V65" s="62">
        <f t="shared" si="210"/>
        <v>0</v>
      </c>
      <c r="W65" s="63">
        <f t="shared" si="210"/>
        <v>0</v>
      </c>
      <c r="X65" s="64">
        <f t="shared" si="210"/>
        <v>1</v>
      </c>
      <c r="Y65" s="65">
        <f t="shared" si="210"/>
        <v>0</v>
      </c>
      <c r="Z65" s="62">
        <f t="shared" si="210"/>
        <v>0</v>
      </c>
      <c r="AA65" s="817">
        <f t="shared" si="210"/>
        <v>0</v>
      </c>
      <c r="AB65" s="346"/>
      <c r="AC65" s="346"/>
      <c r="AD65" s="346"/>
      <c r="AE65" s="346"/>
      <c r="AF65" s="346"/>
      <c r="AG65" s="346"/>
      <c r="AH65" s="346"/>
      <c r="AI65" s="346"/>
      <c r="AJ65" s="346"/>
      <c r="AK65" s="346"/>
    </row>
    <row r="66" ht="54.950000000000003" customHeight="1">
      <c r="A66" s="331" t="str">
        <f>IF($AD$48=MAX($AD$48:$AD$52),A60,IF($AD$49=MAX($AD$48:$AD$52),A61,IF($AD$50=MAX($AD$48:$AD$52),A62,IF($AD$51=MAX($AD$48:$AD$52),A63,A64))))</f>
        <v xml:space="preserve">de 7:00 à 8:00</v>
      </c>
      <c r="B66" s="332"/>
      <c r="C66" s="95">
        <f>IF($AD$48=MAX($AD$48:$AD$52),C60,IF($AD$49=MAX($AD$48:$AD$52),C61,IF($AD$50=MAX($AD$48:$AD$52),C62,IF($AD$51=MAX($AD$48:$AD$52),C63,C64))))</f>
        <v>0</v>
      </c>
      <c r="D66" s="100">
        <f t="shared" ref="D66:AA66" si="211">IF($AD$48=MAX($AD$48:$AD$52),D60,IF($AD$49=MAX($AD$48:$AD$52),D61,IF($AD$50=MAX($AD$48:$AD$52),D62,IF($AD$51=MAX($AD$48:$AD$52),D63,D64))))</f>
        <v>0</v>
      </c>
      <c r="E66" s="97">
        <f t="shared" si="211"/>
        <v>0</v>
      </c>
      <c r="F66" s="98">
        <f t="shared" si="211"/>
        <v>0</v>
      </c>
      <c r="G66" s="99">
        <f t="shared" si="211"/>
        <v>0</v>
      </c>
      <c r="H66" s="100">
        <f t="shared" si="211"/>
        <v>0</v>
      </c>
      <c r="I66" s="97">
        <f t="shared" si="211"/>
        <v>0</v>
      </c>
      <c r="J66" s="98">
        <f t="shared" si="211"/>
        <v>1</v>
      </c>
      <c r="K66" s="99">
        <f t="shared" si="211"/>
        <v>1</v>
      </c>
      <c r="L66" s="100">
        <f t="shared" si="211"/>
        <v>1</v>
      </c>
      <c r="M66" s="97">
        <f t="shared" si="211"/>
        <v>2</v>
      </c>
      <c r="N66" s="818">
        <f t="shared" si="211"/>
        <v>0</v>
      </c>
      <c r="O66" s="847"/>
      <c r="P66" s="95">
        <f t="shared" si="211"/>
        <v>0</v>
      </c>
      <c r="Q66" s="100">
        <f t="shared" si="211"/>
        <v>0</v>
      </c>
      <c r="R66" s="97">
        <f t="shared" si="211"/>
        <v>0</v>
      </c>
      <c r="S66" s="98">
        <f t="shared" si="211"/>
        <v>1</v>
      </c>
      <c r="T66" s="99">
        <f t="shared" si="211"/>
        <v>0</v>
      </c>
      <c r="U66" s="100">
        <f t="shared" si="211"/>
        <v>0</v>
      </c>
      <c r="V66" s="97">
        <f t="shared" si="211"/>
        <v>0</v>
      </c>
      <c r="W66" s="98">
        <f t="shared" si="211"/>
        <v>0</v>
      </c>
      <c r="X66" s="99">
        <f t="shared" si="211"/>
        <v>1</v>
      </c>
      <c r="Y66" s="100">
        <f t="shared" si="211"/>
        <v>0</v>
      </c>
      <c r="Z66" s="97">
        <f t="shared" si="211"/>
        <v>0</v>
      </c>
      <c r="AA66" s="818">
        <f t="shared" si="211"/>
        <v>0</v>
      </c>
      <c r="AB66" s="346"/>
      <c r="AC66" s="346"/>
      <c r="AD66" s="346"/>
      <c r="AE66" s="346"/>
      <c r="AF66" s="346"/>
      <c r="AG66" s="346"/>
      <c r="AH66" s="346"/>
      <c r="AI66" s="346"/>
      <c r="AJ66" s="346"/>
      <c r="AK66" s="346"/>
    </row>
    <row r="67" ht="9" customHeight="1">
      <c r="A67" s="343"/>
      <c r="B67" s="344"/>
      <c r="C67" s="344"/>
      <c r="D67" s="344"/>
      <c r="E67" s="344"/>
      <c r="F67" s="344"/>
      <c r="G67" s="344"/>
      <c r="H67" s="344"/>
      <c r="I67" s="344"/>
      <c r="J67" s="344"/>
      <c r="K67" s="344"/>
      <c r="L67" s="344"/>
      <c r="M67" s="344"/>
      <c r="N67" s="344"/>
      <c r="O67" s="344"/>
      <c r="P67" s="344"/>
      <c r="Q67" s="344"/>
      <c r="R67" s="344"/>
      <c r="S67" s="344"/>
      <c r="T67" s="344"/>
      <c r="U67" s="344"/>
      <c r="V67" s="344"/>
      <c r="W67" s="344"/>
      <c r="X67" s="344"/>
      <c r="Y67" s="344"/>
      <c r="Z67" s="344"/>
      <c r="AA67" s="344"/>
      <c r="AB67" s="347"/>
      <c r="AC67" s="345"/>
      <c r="AD67" s="345"/>
      <c r="AE67" s="345"/>
      <c r="AF67" s="345"/>
      <c r="AG67" s="345"/>
      <c r="AH67" s="345"/>
      <c r="AI67" s="345"/>
      <c r="AJ67" s="345"/>
      <c r="AK67" s="345"/>
      <c r="AL67" s="371"/>
      <c r="AM67" s="372"/>
      <c r="AN67" s="371"/>
      <c r="AO67" s="371"/>
      <c r="AP67" s="371"/>
      <c r="AQ67" s="371"/>
      <c r="AR67" s="371"/>
    </row>
  </sheetData>
  <mergeCells count="125">
    <mergeCell ref="C3:W3"/>
    <mergeCell ref="C26:N26"/>
    <mergeCell ref="P26:AA26"/>
    <mergeCell ref="K27:N27"/>
    <mergeCell ref="M9:N9"/>
    <mergeCell ref="C27:F27"/>
    <mergeCell ref="C7:N7"/>
    <mergeCell ref="P7:AA7"/>
    <mergeCell ref="C8:F8"/>
    <mergeCell ref="G8:J8"/>
    <mergeCell ref="K8:N8"/>
    <mergeCell ref="P8:S8"/>
    <mergeCell ref="T8:W8"/>
    <mergeCell ref="X8:AA8"/>
    <mergeCell ref="P9:Q9"/>
    <mergeCell ref="R9:S9"/>
    <mergeCell ref="T9:U9"/>
    <mergeCell ref="V9:W9"/>
    <mergeCell ref="X9:Y9"/>
    <mergeCell ref="Z9:AA9"/>
    <mergeCell ref="C5:N5"/>
    <mergeCell ref="C24:N24"/>
    <mergeCell ref="R5:AA5"/>
    <mergeCell ref="AF44:AF47"/>
    <mergeCell ref="AG44:AG47"/>
    <mergeCell ref="AH44:AH47"/>
    <mergeCell ref="AI44:AI47"/>
    <mergeCell ref="AJ44:AK47"/>
    <mergeCell ref="K45:N45"/>
    <mergeCell ref="C44:N44"/>
    <mergeCell ref="P44:AA44"/>
    <mergeCell ref="AD44:AD47"/>
    <mergeCell ref="AE44:AE47"/>
    <mergeCell ref="K46:L46"/>
    <mergeCell ref="M46:N46"/>
    <mergeCell ref="G46:H46"/>
    <mergeCell ref="A49:B49"/>
    <mergeCell ref="AB49:AC49"/>
    <mergeCell ref="A50:B50"/>
    <mergeCell ref="AB50:AC50"/>
    <mergeCell ref="A51:B51"/>
    <mergeCell ref="AB51:AC51"/>
    <mergeCell ref="A47:B47"/>
    <mergeCell ref="AB47:AC47"/>
    <mergeCell ref="A48:B48"/>
    <mergeCell ref="AB48:AC48"/>
    <mergeCell ref="AB55:AC55"/>
    <mergeCell ref="C56:N56"/>
    <mergeCell ref="P56:AA56"/>
    <mergeCell ref="AB56:AC56"/>
    <mergeCell ref="K57:N57"/>
    <mergeCell ref="AB57:AC57"/>
    <mergeCell ref="A52:B52"/>
    <mergeCell ref="AB52:AC52"/>
    <mergeCell ref="A53:B53"/>
    <mergeCell ref="AB53:AC53"/>
    <mergeCell ref="A54:B54"/>
    <mergeCell ref="AB54:AC54"/>
    <mergeCell ref="A64:B64"/>
    <mergeCell ref="AB64:AC64"/>
    <mergeCell ref="A65:B65"/>
    <mergeCell ref="A66:B66"/>
    <mergeCell ref="C9:D9"/>
    <mergeCell ref="E9:F9"/>
    <mergeCell ref="G9:H9"/>
    <mergeCell ref="I9:J9"/>
    <mergeCell ref="K9:L9"/>
    <mergeCell ref="A61:B61"/>
    <mergeCell ref="AB61:AC61"/>
    <mergeCell ref="A62:B62"/>
    <mergeCell ref="AB62:AC62"/>
    <mergeCell ref="A63:B63"/>
    <mergeCell ref="AB63:AC63"/>
    <mergeCell ref="AB58:AC58"/>
    <mergeCell ref="A59:B59"/>
    <mergeCell ref="AB59:AC59"/>
    <mergeCell ref="A60:B60"/>
    <mergeCell ref="AB60:AC60"/>
    <mergeCell ref="C58:D58"/>
    <mergeCell ref="E58:F58"/>
    <mergeCell ref="G58:H58"/>
    <mergeCell ref="K58:L58"/>
    <mergeCell ref="X28:Y28"/>
    <mergeCell ref="Z28:AA28"/>
    <mergeCell ref="C45:F45"/>
    <mergeCell ref="G45:J45"/>
    <mergeCell ref="P45:S45"/>
    <mergeCell ref="T45:W45"/>
    <mergeCell ref="X45:AA45"/>
    <mergeCell ref="G27:J27"/>
    <mergeCell ref="P27:S27"/>
    <mergeCell ref="T27:W27"/>
    <mergeCell ref="X27:AA27"/>
    <mergeCell ref="C28:D28"/>
    <mergeCell ref="E28:F28"/>
    <mergeCell ref="G28:H28"/>
    <mergeCell ref="I28:J28"/>
    <mergeCell ref="P28:Q28"/>
    <mergeCell ref="R28:S28"/>
    <mergeCell ref="K28:L28"/>
    <mergeCell ref="M28:N28"/>
    <mergeCell ref="T28:U28"/>
    <mergeCell ref="V28:W28"/>
    <mergeCell ref="V58:W58"/>
    <mergeCell ref="X58:Y58"/>
    <mergeCell ref="Z58:AA58"/>
    <mergeCell ref="Z46:AA46"/>
    <mergeCell ref="C57:F57"/>
    <mergeCell ref="G57:J57"/>
    <mergeCell ref="P57:S57"/>
    <mergeCell ref="T57:W57"/>
    <mergeCell ref="X57:AA57"/>
    <mergeCell ref="I46:J46"/>
    <mergeCell ref="P46:Q46"/>
    <mergeCell ref="R46:S46"/>
    <mergeCell ref="T46:U46"/>
    <mergeCell ref="V46:W46"/>
    <mergeCell ref="X46:Y46"/>
    <mergeCell ref="M58:N58"/>
    <mergeCell ref="I58:J58"/>
    <mergeCell ref="P58:Q58"/>
    <mergeCell ref="R58:S58"/>
    <mergeCell ref="T58:U58"/>
    <mergeCell ref="C46:D46"/>
    <mergeCell ref="E46:F46"/>
  </mergeCells>
  <printOptions headings="0" gridLines="0"/>
  <pageMargins left="0.39370078740157477" right="0.39370078740157477" top="0.39370078740157477" bottom="0.39370078740157477" header="0.59055118110236238" footer="0.59055118110236238"/>
  <pageSetup paperSize="9" scale="38" fitToWidth="1" fitToHeight="0" pageOrder="overThenDown" orientation="landscape" usePrinterDefaults="1" blackAndWhite="0" draft="0" cellComments="none" useFirstPageNumber="1" errors="displayed" horizontalDpi="600" verticalDpi="600" copies="1"/>
  <headerFooter/>
  <rowBreaks count="2" manualBreakCount="2">
    <brk id="39" man="1" max="25"/>
    <brk id="67" man="1" max="27"/>
  </rowBreaks>
  <legacyDrawing r:id="rId3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tabColor rgb="FF7030A0"/>
    <outlinePr applyStyles="0" summaryBelow="1" summaryRight="1" showOutlineSymbols="1"/>
    <pageSetUpPr autoPageBreaks="1" fitToPage="1"/>
  </sheetPr>
  <sheetViews>
    <sheetView view="pageBreakPreview" topLeftCell="A13" zoomScale="40" workbookViewId="0">
      <selection activeCell="AE20" activeCellId="0" sqref="AE20"/>
    </sheetView>
  </sheetViews>
  <sheetFormatPr baseColWidth="10" defaultRowHeight="14.25" outlineLevelRow="1"/>
  <cols>
    <col customWidth="1" min="1" max="1" style="1" width="9.125"/>
    <col customWidth="1" min="2" max="2" style="1" width="13.75"/>
    <col customWidth="1" min="3" max="14" style="1" width="12.875"/>
    <col customWidth="1" min="15" max="15" style="1" width="2.625"/>
    <col customWidth="1" min="16" max="27" style="1" width="12.875"/>
    <col customWidth="1" min="28" max="28" style="1" width="9.125"/>
    <col customWidth="1" min="29" max="29" style="1" width="13.75"/>
    <col customWidth="1" min="30" max="34" style="1" width="21.125"/>
    <col customWidth="1" min="35" max="35" style="1" width="123.625"/>
    <col customWidth="1" min="36" max="36" style="1" width="10.625"/>
    <col min="37" max="16384" style="1" width="11"/>
  </cols>
  <sheetData>
    <row r="1" ht="52.5" customHeight="1">
      <c r="A1" s="859" t="s">
        <v>0</v>
      </c>
      <c r="B1" s="860" t="s">
        <v>108</v>
      </c>
      <c r="C1" s="861"/>
      <c r="D1" s="861"/>
      <c r="E1" s="861"/>
      <c r="F1" s="862"/>
      <c r="G1" s="862"/>
      <c r="H1" s="862"/>
      <c r="I1" s="862"/>
      <c r="J1" s="862"/>
      <c r="K1" s="862"/>
      <c r="L1" s="863"/>
      <c r="M1" s="7" t="s">
        <v>2</v>
      </c>
      <c r="N1" s="8" t="s">
        <v>3</v>
      </c>
      <c r="O1" s="864"/>
      <c r="P1" s="863"/>
      <c r="Q1" s="863"/>
      <c r="R1" s="863"/>
      <c r="S1" s="863"/>
      <c r="T1" s="863"/>
      <c r="U1" s="863"/>
      <c r="V1" s="863"/>
      <c r="W1" s="863"/>
      <c r="X1" s="865"/>
      <c r="Y1" s="865"/>
      <c r="Z1" s="865"/>
      <c r="AA1" s="865"/>
    </row>
    <row r="2" ht="52.5" customHeight="1">
      <c r="A2" s="118" t="s">
        <v>4</v>
      </c>
      <c r="B2" s="14"/>
      <c r="C2" s="14"/>
      <c r="D2" s="14"/>
      <c r="E2" s="14"/>
      <c r="F2" s="860" t="s">
        <v>109</v>
      </c>
      <c r="G2" s="861"/>
      <c r="H2" s="861"/>
      <c r="I2" s="861"/>
      <c r="J2" s="861"/>
      <c r="K2" s="861"/>
      <c r="L2" s="863"/>
      <c r="M2" s="863"/>
      <c r="N2" s="863"/>
      <c r="O2" s="863"/>
      <c r="P2" s="863"/>
      <c r="Q2" s="863"/>
      <c r="R2" s="863"/>
      <c r="S2" s="863"/>
      <c r="T2" s="863"/>
      <c r="U2" s="863"/>
      <c r="V2" s="863"/>
      <c r="W2" s="863"/>
      <c r="X2" s="115"/>
      <c r="Y2" s="115"/>
      <c r="Z2" s="115"/>
      <c r="AA2" s="115"/>
    </row>
    <row r="3" ht="52.5" customHeight="1">
      <c r="A3" s="118" t="s">
        <v>6</v>
      </c>
      <c r="B3" s="14"/>
      <c r="C3" s="3" t="s">
        <v>7</v>
      </c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10"/>
      <c r="X3" s="115"/>
      <c r="Y3" s="115"/>
      <c r="Z3" s="115"/>
      <c r="AA3" s="115"/>
    </row>
    <row r="4" ht="24.949999999999999" customHeight="1">
      <c r="A4" s="118"/>
      <c r="B4" s="115"/>
      <c r="C4" s="115"/>
      <c r="D4" s="115"/>
      <c r="E4" s="115"/>
      <c r="F4" s="115"/>
      <c r="G4" s="115"/>
      <c r="H4" s="115"/>
      <c r="I4" s="115"/>
      <c r="J4" s="115"/>
      <c r="K4" s="115"/>
      <c r="L4" s="115"/>
      <c r="M4" s="115"/>
      <c r="N4" s="115"/>
      <c r="O4" s="115"/>
      <c r="P4" s="115"/>
      <c r="Q4" s="115"/>
      <c r="R4" s="115"/>
      <c r="S4" s="115"/>
      <c r="T4" s="115"/>
      <c r="U4" s="115"/>
      <c r="V4" s="115"/>
      <c r="W4" s="115"/>
      <c r="X4" s="115"/>
      <c r="Y4" s="115"/>
      <c r="Z4" s="115"/>
      <c r="AA4" s="115"/>
    </row>
    <row r="5" s="16" customFormat="1" ht="75" customHeight="1">
      <c r="A5" s="866" t="s">
        <v>8</v>
      </c>
      <c r="B5" s="867"/>
      <c r="C5" s="19" t="s">
        <v>110</v>
      </c>
      <c r="D5" s="20"/>
      <c r="E5" s="20"/>
      <c r="F5" s="20"/>
      <c r="G5" s="20"/>
      <c r="H5" s="20"/>
      <c r="I5" s="20"/>
      <c r="J5" s="20"/>
      <c r="K5" s="20"/>
      <c r="L5" s="20"/>
      <c r="M5" s="20"/>
      <c r="N5" s="20"/>
      <c r="O5" s="21"/>
      <c r="P5" s="22" t="s">
        <v>10</v>
      </c>
      <c r="Q5" s="22"/>
      <c r="R5" s="868" t="s">
        <v>11</v>
      </c>
      <c r="S5" s="868"/>
      <c r="T5" s="868"/>
      <c r="U5" s="868"/>
      <c r="V5" s="868"/>
      <c r="W5" s="868"/>
      <c r="X5" s="868"/>
      <c r="Y5" s="868"/>
      <c r="Z5" s="868"/>
      <c r="AA5" s="868"/>
      <c r="AB5" s="868"/>
    </row>
    <row r="6" ht="8.0999999999999996" customHeight="1">
      <c r="A6" s="114"/>
      <c r="B6" s="115"/>
      <c r="C6" s="115"/>
      <c r="D6" s="115"/>
      <c r="E6" s="115"/>
      <c r="F6" s="115"/>
      <c r="G6" s="115"/>
      <c r="H6" s="115"/>
      <c r="I6" s="115"/>
      <c r="J6" s="115"/>
      <c r="K6" s="115"/>
      <c r="L6" s="115"/>
      <c r="M6" s="115"/>
      <c r="N6" s="115"/>
      <c r="O6" s="115"/>
      <c r="P6" s="115"/>
      <c r="Q6" s="115"/>
      <c r="R6" s="115"/>
      <c r="S6" s="115"/>
      <c r="T6" s="115"/>
      <c r="U6" s="115"/>
      <c r="V6" s="115"/>
      <c r="W6" s="115"/>
      <c r="X6" s="115"/>
      <c r="Y6" s="115"/>
      <c r="Z6" s="115"/>
      <c r="AA6" s="116"/>
    </row>
    <row r="7" ht="32.25" customHeight="1">
      <c r="A7" s="118"/>
      <c r="B7" s="115"/>
      <c r="C7" s="869" t="s">
        <v>111</v>
      </c>
      <c r="D7" s="870"/>
      <c r="E7" s="870"/>
      <c r="F7" s="870"/>
      <c r="G7" s="870"/>
      <c r="H7" s="870"/>
      <c r="I7" s="870"/>
      <c r="J7" s="870"/>
      <c r="K7" s="870"/>
      <c r="L7" s="870"/>
      <c r="M7" s="870"/>
      <c r="N7" s="121"/>
      <c r="O7" s="871"/>
      <c r="P7" s="869" t="s">
        <v>112</v>
      </c>
      <c r="Q7" s="870"/>
      <c r="R7" s="870"/>
      <c r="S7" s="870"/>
      <c r="T7" s="870"/>
      <c r="U7" s="870"/>
      <c r="V7" s="870"/>
      <c r="W7" s="870"/>
      <c r="X7" s="870"/>
      <c r="Y7" s="870"/>
      <c r="Z7" s="870"/>
      <c r="AA7" s="121"/>
    </row>
    <row r="8" ht="22.699999999999999" customHeight="1">
      <c r="A8" s="118"/>
      <c r="B8" s="115"/>
      <c r="C8" s="129" t="s">
        <v>14</v>
      </c>
      <c r="D8" s="130"/>
      <c r="E8" s="130"/>
      <c r="F8" s="130"/>
      <c r="G8" s="131" t="s">
        <v>113</v>
      </c>
      <c r="H8" s="131"/>
      <c r="I8" s="131"/>
      <c r="J8" s="131"/>
      <c r="K8" s="131" t="s">
        <v>114</v>
      </c>
      <c r="L8" s="131"/>
      <c r="M8" s="131"/>
      <c r="N8" s="131"/>
      <c r="O8" s="131"/>
      <c r="P8" s="129" t="s">
        <v>14</v>
      </c>
      <c r="Q8" s="130"/>
      <c r="R8" s="130"/>
      <c r="S8" s="130"/>
      <c r="T8" s="131" t="s">
        <v>113</v>
      </c>
      <c r="U8" s="131"/>
      <c r="V8" s="131"/>
      <c r="W8" s="131"/>
      <c r="X8" s="131" t="s">
        <v>115</v>
      </c>
      <c r="Y8" s="131"/>
      <c r="Z8" s="131"/>
      <c r="AA8" s="131"/>
    </row>
    <row r="9" ht="18.600000000000001" customHeight="1">
      <c r="A9" s="118"/>
      <c r="B9" s="115"/>
      <c r="C9" s="495" t="s">
        <v>18</v>
      </c>
      <c r="D9" s="496"/>
      <c r="E9" s="497" t="s">
        <v>19</v>
      </c>
      <c r="F9" s="498"/>
      <c r="G9" s="499" t="s">
        <v>18</v>
      </c>
      <c r="H9" s="496"/>
      <c r="I9" s="497" t="s">
        <v>19</v>
      </c>
      <c r="J9" s="498"/>
      <c r="K9" s="499" t="s">
        <v>18</v>
      </c>
      <c r="L9" s="496"/>
      <c r="M9" s="497" t="s">
        <v>19</v>
      </c>
      <c r="N9" s="498"/>
      <c r="O9" s="500"/>
      <c r="P9" s="495" t="s">
        <v>18</v>
      </c>
      <c r="Q9" s="496"/>
      <c r="R9" s="497" t="s">
        <v>19</v>
      </c>
      <c r="S9" s="498"/>
      <c r="T9" s="499" t="s">
        <v>18</v>
      </c>
      <c r="U9" s="496"/>
      <c r="V9" s="497" t="s">
        <v>19</v>
      </c>
      <c r="W9" s="498"/>
      <c r="X9" s="499" t="s">
        <v>18</v>
      </c>
      <c r="Y9" s="496"/>
      <c r="Z9" s="497" t="s">
        <v>19</v>
      </c>
      <c r="AA9" s="498"/>
    </row>
    <row r="10" ht="21">
      <c r="A10" s="872" t="s">
        <v>20</v>
      </c>
      <c r="B10" s="873" t="s">
        <v>21</v>
      </c>
      <c r="C10" s="504" t="s">
        <v>22</v>
      </c>
      <c r="D10" s="505" t="s">
        <v>23</v>
      </c>
      <c r="E10" s="506" t="s">
        <v>22</v>
      </c>
      <c r="F10" s="507" t="s">
        <v>23</v>
      </c>
      <c r="G10" s="508" t="s">
        <v>22</v>
      </c>
      <c r="H10" s="505" t="s">
        <v>23</v>
      </c>
      <c r="I10" s="506" t="s">
        <v>22</v>
      </c>
      <c r="J10" s="507" t="s">
        <v>23</v>
      </c>
      <c r="K10" s="508" t="s">
        <v>22</v>
      </c>
      <c r="L10" s="505" t="s">
        <v>23</v>
      </c>
      <c r="M10" s="506" t="s">
        <v>22</v>
      </c>
      <c r="N10" s="507" t="s">
        <v>23</v>
      </c>
      <c r="O10" s="874"/>
      <c r="P10" s="504" t="s">
        <v>22</v>
      </c>
      <c r="Q10" s="505" t="s">
        <v>23</v>
      </c>
      <c r="R10" s="506" t="s">
        <v>22</v>
      </c>
      <c r="S10" s="507" t="s">
        <v>23</v>
      </c>
      <c r="T10" s="508" t="s">
        <v>22</v>
      </c>
      <c r="U10" s="505" t="s">
        <v>23</v>
      </c>
      <c r="V10" s="506" t="s">
        <v>22</v>
      </c>
      <c r="W10" s="507" t="s">
        <v>23</v>
      </c>
      <c r="X10" s="508" t="s">
        <v>22</v>
      </c>
      <c r="Y10" s="505" t="s">
        <v>23</v>
      </c>
      <c r="Z10" s="506" t="s">
        <v>22</v>
      </c>
      <c r="AA10" s="507" t="s">
        <v>23</v>
      </c>
    </row>
    <row r="11" ht="54.950000000000003" hidden="1" customHeight="1" outlineLevel="1">
      <c r="A11" s="875">
        <v>6</v>
      </c>
      <c r="B11" s="876" t="s">
        <v>24</v>
      </c>
      <c r="C11" s="877"/>
      <c r="D11" s="67"/>
      <c r="E11" s="68"/>
      <c r="F11" s="69"/>
      <c r="G11" s="66"/>
      <c r="H11" s="67"/>
      <c r="I11" s="68"/>
      <c r="J11" s="69"/>
      <c r="K11" s="66"/>
      <c r="L11" s="67"/>
      <c r="M11" s="68"/>
      <c r="N11" s="69"/>
      <c r="O11" s="70"/>
      <c r="P11" s="877"/>
      <c r="Q11" s="67"/>
      <c r="R11" s="68"/>
      <c r="S11" s="69"/>
      <c r="T11" s="66"/>
      <c r="U11" s="67"/>
      <c r="V11" s="68"/>
      <c r="W11" s="69"/>
      <c r="X11" s="66"/>
      <c r="Y11" s="67"/>
      <c r="Z11" s="68"/>
      <c r="AA11" s="69"/>
    </row>
    <row r="12" ht="54.950000000000003" hidden="1" customHeight="1" outlineLevel="1">
      <c r="A12" s="875"/>
      <c r="B12" s="876" t="s">
        <v>25</v>
      </c>
      <c r="C12" s="877"/>
      <c r="D12" s="67"/>
      <c r="E12" s="68"/>
      <c r="F12" s="69"/>
      <c r="G12" s="66"/>
      <c r="H12" s="67"/>
      <c r="I12" s="68"/>
      <c r="J12" s="69"/>
      <c r="K12" s="66"/>
      <c r="L12" s="67"/>
      <c r="M12" s="68"/>
      <c r="N12" s="69"/>
      <c r="O12" s="70"/>
      <c r="P12" s="877"/>
      <c r="Q12" s="67"/>
      <c r="R12" s="68"/>
      <c r="S12" s="69"/>
      <c r="T12" s="66"/>
      <c r="U12" s="67"/>
      <c r="V12" s="68"/>
      <c r="W12" s="69"/>
      <c r="X12" s="66"/>
      <c r="Y12" s="67"/>
      <c r="Z12" s="68"/>
      <c r="AA12" s="69"/>
    </row>
    <row r="13" ht="54.950000000000003" customHeight="1" collapsed="1">
      <c r="A13" s="875">
        <v>7</v>
      </c>
      <c r="B13" s="876" t="s">
        <v>26</v>
      </c>
      <c r="C13" s="73"/>
      <c r="D13" s="74"/>
      <c r="E13" s="75"/>
      <c r="F13" s="76"/>
      <c r="G13" s="77"/>
      <c r="H13" s="74"/>
      <c r="I13" s="75"/>
      <c r="J13" s="76"/>
      <c r="K13" s="73"/>
      <c r="L13" s="74"/>
      <c r="M13" s="75"/>
      <c r="N13" s="76"/>
      <c r="O13" s="70"/>
      <c r="P13" s="73"/>
      <c r="Q13" s="74"/>
      <c r="R13" s="75"/>
      <c r="S13" s="76"/>
      <c r="T13" s="77"/>
      <c r="U13" s="74"/>
      <c r="V13" s="75"/>
      <c r="W13" s="76"/>
      <c r="X13" s="73"/>
      <c r="Y13" s="74"/>
      <c r="Z13" s="75"/>
      <c r="AA13" s="76"/>
    </row>
    <row r="14" ht="54.950000000000003" customHeight="1">
      <c r="A14" s="875"/>
      <c r="B14" s="876" t="s">
        <v>27</v>
      </c>
      <c r="C14" s="78"/>
      <c r="D14" s="79"/>
      <c r="E14" s="80"/>
      <c r="F14" s="81"/>
      <c r="G14" s="82"/>
      <c r="H14" s="79"/>
      <c r="I14" s="80"/>
      <c r="J14" s="81"/>
      <c r="K14" s="78"/>
      <c r="L14" s="79"/>
      <c r="M14" s="80"/>
      <c r="N14" s="81"/>
      <c r="O14" s="70"/>
      <c r="P14" s="78"/>
      <c r="Q14" s="79"/>
      <c r="R14" s="80"/>
      <c r="S14" s="81"/>
      <c r="T14" s="82"/>
      <c r="U14" s="79">
        <v>1</v>
      </c>
      <c r="V14" s="80"/>
      <c r="W14" s="81"/>
      <c r="X14" s="78"/>
      <c r="Y14" s="79"/>
      <c r="Z14" s="80"/>
      <c r="AA14" s="81"/>
    </row>
    <row r="15" ht="54.950000000000003" customHeight="1">
      <c r="A15" s="875"/>
      <c r="B15" s="876" t="s">
        <v>24</v>
      </c>
      <c r="C15" s="83"/>
      <c r="D15" s="84"/>
      <c r="E15" s="85"/>
      <c r="F15" s="86"/>
      <c r="G15" s="87"/>
      <c r="H15" s="84"/>
      <c r="I15" s="85"/>
      <c r="J15" s="86"/>
      <c r="K15" s="83"/>
      <c r="L15" s="84"/>
      <c r="M15" s="85"/>
      <c r="N15" s="86"/>
      <c r="O15" s="70"/>
      <c r="P15" s="83">
        <v>1</v>
      </c>
      <c r="Q15" s="84"/>
      <c r="R15" s="85"/>
      <c r="S15" s="86"/>
      <c r="T15" s="87"/>
      <c r="U15" s="84"/>
      <c r="V15" s="85"/>
      <c r="W15" s="86"/>
      <c r="X15" s="83"/>
      <c r="Y15" s="84"/>
      <c r="Z15" s="85"/>
      <c r="AA15" s="86"/>
    </row>
    <row r="16" ht="54.950000000000003" customHeight="1">
      <c r="A16" s="875"/>
      <c r="B16" s="876" t="s">
        <v>25</v>
      </c>
      <c r="C16" s="88"/>
      <c r="D16" s="89"/>
      <c r="E16" s="90"/>
      <c r="F16" s="91"/>
      <c r="G16" s="92"/>
      <c r="H16" s="89">
        <v>1</v>
      </c>
      <c r="I16" s="90"/>
      <c r="J16" s="91"/>
      <c r="K16" s="88"/>
      <c r="L16" s="89"/>
      <c r="M16" s="90"/>
      <c r="N16" s="91"/>
      <c r="O16" s="70"/>
      <c r="P16" s="88"/>
      <c r="Q16" s="89"/>
      <c r="R16" s="90"/>
      <c r="S16" s="91"/>
      <c r="T16" s="92"/>
      <c r="U16" s="89"/>
      <c r="V16" s="90"/>
      <c r="W16" s="91"/>
      <c r="X16" s="88"/>
      <c r="Y16" s="89"/>
      <c r="Z16" s="90"/>
      <c r="AA16" s="91"/>
    </row>
    <row r="17" ht="54.950000000000003" customHeight="1">
      <c r="A17" s="875">
        <v>8</v>
      </c>
      <c r="B17" s="876" t="s">
        <v>26</v>
      </c>
      <c r="C17" s="73"/>
      <c r="D17" s="74">
        <v>1</v>
      </c>
      <c r="E17" s="75"/>
      <c r="F17" s="76"/>
      <c r="G17" s="77"/>
      <c r="H17" s="74">
        <v>1</v>
      </c>
      <c r="I17" s="75"/>
      <c r="J17" s="76"/>
      <c r="K17" s="73"/>
      <c r="L17" s="74"/>
      <c r="M17" s="75"/>
      <c r="N17" s="76"/>
      <c r="O17" s="70"/>
      <c r="P17" s="73"/>
      <c r="Q17" s="74"/>
      <c r="R17" s="75"/>
      <c r="S17" s="76"/>
      <c r="T17" s="77"/>
      <c r="U17" s="74"/>
      <c r="V17" s="75"/>
      <c r="W17" s="76"/>
      <c r="X17" s="73"/>
      <c r="Y17" s="74"/>
      <c r="Z17" s="75"/>
      <c r="AA17" s="76"/>
    </row>
    <row r="18" ht="54.950000000000003" customHeight="1">
      <c r="A18" s="875"/>
      <c r="B18" s="876" t="s">
        <v>27</v>
      </c>
      <c r="C18" s="78"/>
      <c r="D18" s="79"/>
      <c r="E18" s="80"/>
      <c r="F18" s="81"/>
      <c r="G18" s="82"/>
      <c r="H18" s="79">
        <v>2</v>
      </c>
      <c r="I18" s="80"/>
      <c r="J18" s="81"/>
      <c r="K18" s="78"/>
      <c r="L18" s="79"/>
      <c r="M18" s="80"/>
      <c r="N18" s="81"/>
      <c r="O18" s="70"/>
      <c r="P18" s="78"/>
      <c r="Q18" s="79"/>
      <c r="R18" s="80"/>
      <c r="S18" s="81"/>
      <c r="T18" s="82"/>
      <c r="U18" s="79"/>
      <c r="V18" s="80"/>
      <c r="W18" s="81"/>
      <c r="X18" s="78"/>
      <c r="Y18" s="79"/>
      <c r="Z18" s="80"/>
      <c r="AA18" s="81"/>
    </row>
    <row r="19" ht="54.950000000000003" customHeight="1">
      <c r="A19" s="875"/>
      <c r="B19" s="876" t="s">
        <v>24</v>
      </c>
      <c r="C19" s="83"/>
      <c r="D19" s="84"/>
      <c r="E19" s="85"/>
      <c r="F19" s="86"/>
      <c r="G19" s="87"/>
      <c r="H19" s="84"/>
      <c r="I19" s="85"/>
      <c r="J19" s="86"/>
      <c r="K19" s="83"/>
      <c r="L19" s="84"/>
      <c r="M19" s="85"/>
      <c r="N19" s="86"/>
      <c r="O19" s="70"/>
      <c r="P19" s="83"/>
      <c r="Q19" s="84"/>
      <c r="R19" s="85"/>
      <c r="S19" s="86"/>
      <c r="T19" s="87"/>
      <c r="U19" s="84"/>
      <c r="V19" s="85">
        <v>1</v>
      </c>
      <c r="W19" s="86"/>
      <c r="X19" s="83"/>
      <c r="Y19" s="84"/>
      <c r="Z19" s="85"/>
      <c r="AA19" s="86"/>
    </row>
    <row r="20" ht="54.950000000000003" customHeight="1">
      <c r="A20" s="875"/>
      <c r="B20" s="876" t="s">
        <v>25</v>
      </c>
      <c r="C20" s="88"/>
      <c r="D20" s="89"/>
      <c r="E20" s="90"/>
      <c r="F20" s="91"/>
      <c r="G20" s="92"/>
      <c r="H20" s="89">
        <v>1</v>
      </c>
      <c r="I20" s="90"/>
      <c r="J20" s="91"/>
      <c r="K20" s="88"/>
      <c r="L20" s="89"/>
      <c r="M20" s="90"/>
      <c r="N20" s="91"/>
      <c r="O20" s="70"/>
      <c r="P20" s="88"/>
      <c r="Q20" s="89"/>
      <c r="R20" s="90"/>
      <c r="S20" s="91"/>
      <c r="T20" s="92"/>
      <c r="U20" s="89"/>
      <c r="V20" s="90"/>
      <c r="W20" s="91"/>
      <c r="X20" s="88"/>
      <c r="Y20" s="89"/>
      <c r="Z20" s="90"/>
      <c r="AA20" s="91"/>
    </row>
    <row r="21" ht="54.950000000000003" hidden="1" customHeight="1" outlineLevel="1">
      <c r="A21" s="875">
        <v>9</v>
      </c>
      <c r="B21" s="876" t="s">
        <v>26</v>
      </c>
      <c r="C21" s="877"/>
      <c r="D21" s="67"/>
      <c r="E21" s="68"/>
      <c r="F21" s="69"/>
      <c r="G21" s="66"/>
      <c r="H21" s="67"/>
      <c r="I21" s="68"/>
      <c r="J21" s="69"/>
      <c r="K21" s="66"/>
      <c r="L21" s="67"/>
      <c r="M21" s="68"/>
      <c r="N21" s="69"/>
      <c r="O21" s="70"/>
      <c r="P21" s="877"/>
      <c r="Q21" s="67"/>
      <c r="R21" s="68"/>
      <c r="S21" s="69"/>
      <c r="T21" s="66"/>
      <c r="U21" s="67"/>
      <c r="V21" s="68"/>
      <c r="W21" s="69"/>
      <c r="X21" s="66"/>
      <c r="Y21" s="67"/>
      <c r="Z21" s="68"/>
      <c r="AA21" s="69"/>
    </row>
    <row r="22" ht="54.950000000000003" hidden="1" customHeight="1" outlineLevel="1">
      <c r="A22" s="878"/>
      <c r="B22" s="879" t="s">
        <v>27</v>
      </c>
      <c r="C22" s="880"/>
      <c r="D22" s="102"/>
      <c r="E22" s="103"/>
      <c r="F22" s="104"/>
      <c r="G22" s="101"/>
      <c r="H22" s="102"/>
      <c r="I22" s="103"/>
      <c r="J22" s="104"/>
      <c r="K22" s="101"/>
      <c r="L22" s="102"/>
      <c r="M22" s="103"/>
      <c r="N22" s="104"/>
      <c r="O22" s="70"/>
      <c r="P22" s="880"/>
      <c r="Q22" s="102"/>
      <c r="R22" s="103"/>
      <c r="S22" s="104"/>
      <c r="T22" s="101"/>
      <c r="U22" s="102"/>
      <c r="V22" s="103"/>
      <c r="W22" s="104"/>
      <c r="X22" s="101"/>
      <c r="Y22" s="102"/>
      <c r="Z22" s="103"/>
      <c r="AA22" s="104"/>
    </row>
    <row r="23" ht="24.949999999999999" customHeight="1" collapsed="1">
      <c r="A23" s="106"/>
      <c r="B23" s="106"/>
      <c r="C23" s="107"/>
      <c r="D23" s="107"/>
      <c r="E23" s="107"/>
      <c r="F23" s="107"/>
      <c r="G23" s="107"/>
      <c r="H23" s="107"/>
      <c r="I23" s="107"/>
      <c r="J23" s="107"/>
      <c r="K23" s="107"/>
      <c r="L23" s="107"/>
      <c r="M23" s="107"/>
      <c r="N23" s="107"/>
      <c r="O23" s="70"/>
      <c r="P23" s="107"/>
      <c r="Q23" s="107"/>
      <c r="R23" s="107"/>
      <c r="S23" s="107"/>
      <c r="T23" s="107"/>
      <c r="U23" s="107"/>
      <c r="V23" s="107"/>
      <c r="W23" s="107"/>
      <c r="X23" s="107"/>
      <c r="Y23" s="107"/>
      <c r="Z23" s="107"/>
      <c r="AA23" s="107"/>
      <c r="AB23" s="72"/>
      <c r="AC23" s="72"/>
      <c r="AD23" s="72"/>
      <c r="AE23" s="72"/>
      <c r="AF23" s="72"/>
      <c r="AG23" s="72"/>
    </row>
    <row r="24" ht="75" customHeight="1">
      <c r="A24" s="866" t="s">
        <v>8</v>
      </c>
      <c r="B24" s="867"/>
      <c r="C24" s="19" t="s">
        <v>116</v>
      </c>
      <c r="D24" s="20"/>
      <c r="E24" s="20"/>
      <c r="F24" s="20"/>
      <c r="G24" s="20"/>
      <c r="H24" s="20"/>
      <c r="I24" s="20"/>
      <c r="J24" s="20"/>
      <c r="K24" s="20"/>
      <c r="L24" s="20"/>
      <c r="M24" s="20"/>
      <c r="N24" s="20"/>
      <c r="O24" s="18"/>
      <c r="P24" s="14"/>
      <c r="Q24" s="14"/>
      <c r="R24" s="14"/>
      <c r="S24" s="14"/>
      <c r="T24" s="14"/>
      <c r="U24" s="14"/>
      <c r="V24" s="14"/>
      <c r="W24" s="14"/>
      <c r="X24" s="14"/>
      <c r="Y24" s="14"/>
      <c r="Z24" s="14"/>
      <c r="AA24" s="15"/>
    </row>
    <row r="25" ht="6" hidden="1" customHeight="1" outlineLevel="1">
      <c r="A25" s="23"/>
      <c r="B25" s="14"/>
      <c r="C25" s="108"/>
      <c r="D25" s="108"/>
      <c r="E25" s="108"/>
      <c r="F25" s="108"/>
      <c r="G25" s="108"/>
      <c r="H25" s="108"/>
      <c r="I25" s="108"/>
      <c r="J25" s="108"/>
      <c r="K25" s="108"/>
      <c r="L25" s="108"/>
      <c r="M25" s="108"/>
      <c r="N25" s="108"/>
      <c r="O25" s="14"/>
      <c r="P25" s="108"/>
      <c r="Q25" s="108"/>
      <c r="R25" s="108"/>
      <c r="S25" s="108"/>
      <c r="T25" s="108"/>
      <c r="U25" s="108"/>
      <c r="V25" s="108"/>
      <c r="W25" s="108"/>
      <c r="X25" s="108"/>
      <c r="Y25" s="108"/>
      <c r="Z25" s="108"/>
      <c r="AA25" s="109"/>
    </row>
    <row r="26" ht="32.25" customHeight="1" collapsed="1">
      <c r="A26" s="118"/>
      <c r="B26" s="115"/>
      <c r="C26" s="869" t="s">
        <v>29</v>
      </c>
      <c r="D26" s="870"/>
      <c r="E26" s="870"/>
      <c r="F26" s="870"/>
      <c r="G26" s="870"/>
      <c r="H26" s="870"/>
      <c r="I26" s="870"/>
      <c r="J26" s="870"/>
      <c r="K26" s="870"/>
      <c r="L26" s="870"/>
      <c r="M26" s="870"/>
      <c r="N26" s="121"/>
      <c r="O26" s="871"/>
      <c r="P26" s="869" t="s">
        <v>117</v>
      </c>
      <c r="Q26" s="870"/>
      <c r="R26" s="870"/>
      <c r="S26" s="870"/>
      <c r="T26" s="870"/>
      <c r="U26" s="870"/>
      <c r="V26" s="870"/>
      <c r="W26" s="870"/>
      <c r="X26" s="870"/>
      <c r="Y26" s="870"/>
      <c r="Z26" s="870"/>
      <c r="AA26" s="121"/>
    </row>
    <row r="27" ht="22.699999999999999" customHeight="1">
      <c r="A27" s="118"/>
      <c r="B27" s="115"/>
      <c r="C27" s="129" t="s">
        <v>115</v>
      </c>
      <c r="D27" s="130"/>
      <c r="E27" s="130"/>
      <c r="F27" s="130"/>
      <c r="G27" s="131" t="s">
        <v>118</v>
      </c>
      <c r="H27" s="131"/>
      <c r="I27" s="131"/>
      <c r="J27" s="131"/>
      <c r="K27" s="131" t="s">
        <v>113</v>
      </c>
      <c r="L27" s="131"/>
      <c r="M27" s="131"/>
      <c r="N27" s="131"/>
      <c r="O27" s="131"/>
      <c r="P27" s="129" t="s">
        <v>115</v>
      </c>
      <c r="Q27" s="130"/>
      <c r="R27" s="130"/>
      <c r="S27" s="130"/>
      <c r="T27" s="131" t="s">
        <v>118</v>
      </c>
      <c r="U27" s="131"/>
      <c r="V27" s="131"/>
      <c r="W27" s="131"/>
      <c r="X27" s="131" t="s">
        <v>14</v>
      </c>
      <c r="Y27" s="131"/>
      <c r="Z27" s="131"/>
      <c r="AA27" s="131"/>
    </row>
    <row r="28" ht="18.600000000000001" customHeight="1">
      <c r="A28" s="118"/>
      <c r="B28" s="115"/>
      <c r="C28" s="495" t="s">
        <v>18</v>
      </c>
      <c r="D28" s="496"/>
      <c r="E28" s="497" t="s">
        <v>19</v>
      </c>
      <c r="F28" s="498"/>
      <c r="G28" s="499" t="s">
        <v>18</v>
      </c>
      <c r="H28" s="496"/>
      <c r="I28" s="497" t="s">
        <v>19</v>
      </c>
      <c r="J28" s="498"/>
      <c r="K28" s="499" t="s">
        <v>18</v>
      </c>
      <c r="L28" s="496"/>
      <c r="M28" s="497" t="s">
        <v>19</v>
      </c>
      <c r="N28" s="498"/>
      <c r="O28" s="500"/>
      <c r="P28" s="495" t="s">
        <v>18</v>
      </c>
      <c r="Q28" s="496"/>
      <c r="R28" s="497" t="s">
        <v>19</v>
      </c>
      <c r="S28" s="498"/>
      <c r="T28" s="499" t="s">
        <v>18</v>
      </c>
      <c r="U28" s="496"/>
      <c r="V28" s="497" t="s">
        <v>19</v>
      </c>
      <c r="W28" s="498"/>
      <c r="X28" s="499" t="s">
        <v>18</v>
      </c>
      <c r="Y28" s="496"/>
      <c r="Z28" s="497" t="s">
        <v>19</v>
      </c>
      <c r="AA28" s="498"/>
    </row>
    <row r="29" ht="21">
      <c r="A29" s="872" t="s">
        <v>20</v>
      </c>
      <c r="B29" s="873" t="s">
        <v>21</v>
      </c>
      <c r="C29" s="504" t="s">
        <v>22</v>
      </c>
      <c r="D29" s="505" t="s">
        <v>23</v>
      </c>
      <c r="E29" s="506" t="s">
        <v>22</v>
      </c>
      <c r="F29" s="507" t="s">
        <v>23</v>
      </c>
      <c r="G29" s="508" t="s">
        <v>22</v>
      </c>
      <c r="H29" s="505" t="s">
        <v>23</v>
      </c>
      <c r="I29" s="506" t="s">
        <v>22</v>
      </c>
      <c r="J29" s="507" t="s">
        <v>23</v>
      </c>
      <c r="K29" s="508" t="s">
        <v>22</v>
      </c>
      <c r="L29" s="505" t="s">
        <v>23</v>
      </c>
      <c r="M29" s="506" t="s">
        <v>22</v>
      </c>
      <c r="N29" s="507" t="s">
        <v>23</v>
      </c>
      <c r="O29" s="874"/>
      <c r="P29" s="504" t="s">
        <v>22</v>
      </c>
      <c r="Q29" s="505" t="s">
        <v>23</v>
      </c>
      <c r="R29" s="506" t="s">
        <v>22</v>
      </c>
      <c r="S29" s="507" t="s">
        <v>23</v>
      </c>
      <c r="T29" s="508" t="s">
        <v>22</v>
      </c>
      <c r="U29" s="505" t="s">
        <v>23</v>
      </c>
      <c r="V29" s="506" t="s">
        <v>22</v>
      </c>
      <c r="W29" s="507" t="s">
        <v>23</v>
      </c>
      <c r="X29" s="508" t="s">
        <v>22</v>
      </c>
      <c r="Y29" s="505" t="s">
        <v>23</v>
      </c>
      <c r="Z29" s="506" t="s">
        <v>22</v>
      </c>
      <c r="AA29" s="507" t="s">
        <v>23</v>
      </c>
    </row>
    <row r="30" ht="54.950000000000003" hidden="1" customHeight="1" outlineLevel="1">
      <c r="A30" s="875">
        <v>6</v>
      </c>
      <c r="B30" s="876" t="s">
        <v>24</v>
      </c>
      <c r="C30" s="877"/>
      <c r="D30" s="67"/>
      <c r="E30" s="68"/>
      <c r="F30" s="69"/>
      <c r="G30" s="66"/>
      <c r="H30" s="67"/>
      <c r="I30" s="68"/>
      <c r="J30" s="69"/>
      <c r="K30" s="66"/>
      <c r="L30" s="67"/>
      <c r="M30" s="68"/>
      <c r="N30" s="69"/>
      <c r="O30" s="70"/>
      <c r="P30" s="877"/>
      <c r="Q30" s="67"/>
      <c r="R30" s="68"/>
      <c r="S30" s="69"/>
      <c r="T30" s="66"/>
      <c r="U30" s="67"/>
      <c r="V30" s="68"/>
      <c r="W30" s="69"/>
      <c r="X30" s="66"/>
      <c r="Y30" s="67"/>
      <c r="Z30" s="68"/>
      <c r="AA30" s="69"/>
    </row>
    <row r="31" ht="54.950000000000003" hidden="1" customHeight="1" outlineLevel="1">
      <c r="A31" s="875"/>
      <c r="B31" s="876" t="s">
        <v>25</v>
      </c>
      <c r="C31" s="877"/>
      <c r="D31" s="67"/>
      <c r="E31" s="68"/>
      <c r="F31" s="69"/>
      <c r="G31" s="66"/>
      <c r="H31" s="67"/>
      <c r="I31" s="68"/>
      <c r="J31" s="69"/>
      <c r="K31" s="66"/>
      <c r="L31" s="67"/>
      <c r="M31" s="68"/>
      <c r="N31" s="69"/>
      <c r="O31" s="70"/>
      <c r="P31" s="877"/>
      <c r="Q31" s="67"/>
      <c r="R31" s="68"/>
      <c r="S31" s="69"/>
      <c r="T31" s="66"/>
      <c r="U31" s="67"/>
      <c r="V31" s="68"/>
      <c r="W31" s="69"/>
      <c r="X31" s="66"/>
      <c r="Y31" s="67"/>
      <c r="Z31" s="68"/>
      <c r="AA31" s="69"/>
    </row>
    <row r="32" ht="54.950000000000003" customHeight="1" collapsed="1">
      <c r="A32" s="875">
        <v>7</v>
      </c>
      <c r="B32" s="876" t="s">
        <v>26</v>
      </c>
      <c r="C32" s="73">
        <v>1</v>
      </c>
      <c r="D32" s="74">
        <v>2</v>
      </c>
      <c r="E32" s="75"/>
      <c r="F32" s="76"/>
      <c r="G32" s="77">
        <v>2</v>
      </c>
      <c r="H32" s="74"/>
      <c r="I32" s="75"/>
      <c r="J32" s="76">
        <v>2</v>
      </c>
      <c r="K32" s="73"/>
      <c r="L32" s="74"/>
      <c r="M32" s="75"/>
      <c r="N32" s="76"/>
      <c r="O32" s="70"/>
      <c r="P32" s="73"/>
      <c r="Q32" s="74">
        <v>1</v>
      </c>
      <c r="R32" s="75">
        <v>1</v>
      </c>
      <c r="S32" s="76"/>
      <c r="T32" s="77">
        <v>2</v>
      </c>
      <c r="U32" s="74">
        <v>1</v>
      </c>
      <c r="V32" s="75"/>
      <c r="W32" s="76"/>
      <c r="X32" s="73"/>
      <c r="Y32" s="74"/>
      <c r="Z32" s="75"/>
      <c r="AA32" s="76"/>
    </row>
    <row r="33" ht="54.950000000000003" customHeight="1">
      <c r="A33" s="875"/>
      <c r="B33" s="876" t="s">
        <v>27</v>
      </c>
      <c r="C33" s="78">
        <v>1</v>
      </c>
      <c r="D33" s="79">
        <v>2</v>
      </c>
      <c r="E33" s="80">
        <v>2</v>
      </c>
      <c r="F33" s="81"/>
      <c r="G33" s="82">
        <v>2</v>
      </c>
      <c r="H33" s="79">
        <v>1</v>
      </c>
      <c r="I33" s="80"/>
      <c r="J33" s="81"/>
      <c r="K33" s="78"/>
      <c r="L33" s="79"/>
      <c r="M33" s="80"/>
      <c r="N33" s="81"/>
      <c r="O33" s="70"/>
      <c r="P33" s="78">
        <v>1</v>
      </c>
      <c r="Q33" s="79"/>
      <c r="R33" s="80">
        <v>1</v>
      </c>
      <c r="S33" s="81"/>
      <c r="T33" s="82">
        <v>1</v>
      </c>
      <c r="U33" s="79">
        <v>3</v>
      </c>
      <c r="V33" s="80">
        <v>1</v>
      </c>
      <c r="W33" s="81"/>
      <c r="X33" s="78"/>
      <c r="Y33" s="79"/>
      <c r="Z33" s="80"/>
      <c r="AA33" s="81"/>
    </row>
    <row r="34" ht="54.950000000000003" customHeight="1">
      <c r="A34" s="875"/>
      <c r="B34" s="876" t="s">
        <v>24</v>
      </c>
      <c r="C34" s="83">
        <v>2</v>
      </c>
      <c r="D34" s="84">
        <v>1</v>
      </c>
      <c r="E34" s="85">
        <v>2</v>
      </c>
      <c r="F34" s="86"/>
      <c r="G34" s="87">
        <v>2</v>
      </c>
      <c r="H34" s="84">
        <v>1</v>
      </c>
      <c r="I34" s="85">
        <v>1</v>
      </c>
      <c r="J34" s="86"/>
      <c r="K34" s="83"/>
      <c r="L34" s="84"/>
      <c r="M34" s="85"/>
      <c r="N34" s="86"/>
      <c r="O34" s="70"/>
      <c r="P34" s="83"/>
      <c r="Q34" s="84"/>
      <c r="R34" s="85">
        <v>1</v>
      </c>
      <c r="S34" s="86">
        <v>1</v>
      </c>
      <c r="T34" s="87">
        <v>1</v>
      </c>
      <c r="U34" s="84">
        <v>1</v>
      </c>
      <c r="V34" s="85">
        <v>1</v>
      </c>
      <c r="W34" s="86">
        <v>1</v>
      </c>
      <c r="X34" s="83"/>
      <c r="Y34" s="84"/>
      <c r="Z34" s="85"/>
      <c r="AA34" s="86"/>
    </row>
    <row r="35" ht="54.950000000000003" customHeight="1">
      <c r="A35" s="875"/>
      <c r="B35" s="876" t="s">
        <v>25</v>
      </c>
      <c r="C35" s="88">
        <v>1</v>
      </c>
      <c r="D35" s="89"/>
      <c r="E35" s="90"/>
      <c r="F35" s="91"/>
      <c r="G35" s="92">
        <v>1</v>
      </c>
      <c r="H35" s="89"/>
      <c r="I35" s="90">
        <v>1</v>
      </c>
      <c r="J35" s="91"/>
      <c r="K35" s="88"/>
      <c r="L35" s="89"/>
      <c r="M35" s="90"/>
      <c r="N35" s="91"/>
      <c r="O35" s="70"/>
      <c r="P35" s="88"/>
      <c r="Q35" s="89">
        <v>1</v>
      </c>
      <c r="R35" s="90"/>
      <c r="S35" s="91"/>
      <c r="T35" s="92">
        <v>3</v>
      </c>
      <c r="U35" s="89">
        <v>1</v>
      </c>
      <c r="V35" s="90">
        <v>1</v>
      </c>
      <c r="W35" s="91"/>
      <c r="X35" s="88"/>
      <c r="Y35" s="89"/>
      <c r="Z35" s="90"/>
      <c r="AA35" s="91"/>
    </row>
    <row r="36" ht="54.950000000000003" customHeight="1">
      <c r="A36" s="875">
        <v>8</v>
      </c>
      <c r="B36" s="876" t="s">
        <v>26</v>
      </c>
      <c r="C36" s="73"/>
      <c r="D36" s="74"/>
      <c r="E36" s="75">
        <v>1</v>
      </c>
      <c r="F36" s="76"/>
      <c r="G36" s="77">
        <v>2</v>
      </c>
      <c r="H36" s="74"/>
      <c r="I36" s="75">
        <v>2</v>
      </c>
      <c r="J36" s="76"/>
      <c r="K36" s="73"/>
      <c r="L36" s="74"/>
      <c r="M36" s="75"/>
      <c r="N36" s="76"/>
      <c r="O36" s="70"/>
      <c r="P36" s="73"/>
      <c r="Q36" s="74"/>
      <c r="R36" s="75">
        <v>1</v>
      </c>
      <c r="S36" s="76">
        <v>1</v>
      </c>
      <c r="T36" s="77">
        <v>1</v>
      </c>
      <c r="U36" s="74"/>
      <c r="V36" s="75"/>
      <c r="W36" s="76"/>
      <c r="X36" s="73"/>
      <c r="Y36" s="74"/>
      <c r="Z36" s="75"/>
      <c r="AA36" s="76"/>
    </row>
    <row r="37" ht="54.950000000000003" customHeight="1">
      <c r="A37" s="875"/>
      <c r="B37" s="876" t="s">
        <v>27</v>
      </c>
      <c r="C37" s="78"/>
      <c r="D37" s="79"/>
      <c r="E37" s="80">
        <v>1</v>
      </c>
      <c r="F37" s="81"/>
      <c r="G37" s="82"/>
      <c r="H37" s="79">
        <v>1</v>
      </c>
      <c r="I37" s="80"/>
      <c r="J37" s="81"/>
      <c r="K37" s="78"/>
      <c r="L37" s="79"/>
      <c r="M37" s="80"/>
      <c r="N37" s="81"/>
      <c r="O37" s="70"/>
      <c r="P37" s="78"/>
      <c r="Q37" s="79"/>
      <c r="R37" s="80"/>
      <c r="S37" s="81"/>
      <c r="T37" s="82">
        <v>3</v>
      </c>
      <c r="U37" s="79">
        <v>1</v>
      </c>
      <c r="V37" s="80">
        <v>1</v>
      </c>
      <c r="W37" s="81"/>
      <c r="X37" s="78"/>
      <c r="Y37" s="79"/>
      <c r="Z37" s="80"/>
      <c r="AA37" s="81"/>
    </row>
    <row r="38" ht="54.950000000000003" customHeight="1">
      <c r="A38" s="875"/>
      <c r="B38" s="876" t="s">
        <v>24</v>
      </c>
      <c r="C38" s="83"/>
      <c r="D38" s="84">
        <v>1</v>
      </c>
      <c r="E38" s="85"/>
      <c r="F38" s="86"/>
      <c r="G38" s="87"/>
      <c r="H38" s="84">
        <v>1</v>
      </c>
      <c r="I38" s="85"/>
      <c r="J38" s="86"/>
      <c r="K38" s="83"/>
      <c r="L38" s="84"/>
      <c r="M38" s="85"/>
      <c r="N38" s="86"/>
      <c r="O38" s="70"/>
      <c r="P38" s="83"/>
      <c r="Q38" s="84"/>
      <c r="R38" s="85"/>
      <c r="S38" s="86"/>
      <c r="T38" s="87"/>
      <c r="U38" s="84"/>
      <c r="V38" s="85">
        <v>1</v>
      </c>
      <c r="W38" s="86"/>
      <c r="X38" s="83"/>
      <c r="Y38" s="84"/>
      <c r="Z38" s="85"/>
      <c r="AA38" s="86"/>
    </row>
    <row r="39" ht="54.950000000000003" customHeight="1">
      <c r="A39" s="875"/>
      <c r="B39" s="876" t="s">
        <v>25</v>
      </c>
      <c r="C39" s="88"/>
      <c r="D39" s="89">
        <v>1</v>
      </c>
      <c r="E39" s="90"/>
      <c r="F39" s="91"/>
      <c r="G39" s="92"/>
      <c r="H39" s="89"/>
      <c r="I39" s="90"/>
      <c r="J39" s="91"/>
      <c r="K39" s="88"/>
      <c r="L39" s="89"/>
      <c r="M39" s="90"/>
      <c r="N39" s="91"/>
      <c r="O39" s="70"/>
      <c r="P39" s="88">
        <v>1</v>
      </c>
      <c r="Q39" s="89"/>
      <c r="R39" s="90"/>
      <c r="S39" s="91"/>
      <c r="T39" s="92"/>
      <c r="U39" s="89">
        <v>1</v>
      </c>
      <c r="V39" s="90"/>
      <c r="W39" s="91"/>
      <c r="X39" s="88"/>
      <c r="Y39" s="89"/>
      <c r="Z39" s="90"/>
      <c r="AA39" s="91"/>
    </row>
    <row r="40" ht="54.950000000000003" hidden="1" customHeight="1" outlineLevel="1">
      <c r="A40" s="875">
        <v>9</v>
      </c>
      <c r="B40" s="876" t="s">
        <v>26</v>
      </c>
      <c r="C40" s="877"/>
      <c r="D40" s="67"/>
      <c r="E40" s="68"/>
      <c r="F40" s="69"/>
      <c r="G40" s="66"/>
      <c r="H40" s="67"/>
      <c r="I40" s="68"/>
      <c r="J40" s="69"/>
      <c r="K40" s="66"/>
      <c r="L40" s="67"/>
      <c r="M40" s="68"/>
      <c r="N40" s="69"/>
      <c r="O40" s="70"/>
      <c r="P40" s="877"/>
      <c r="Q40" s="67"/>
      <c r="R40" s="68"/>
      <c r="S40" s="69"/>
      <c r="T40" s="66"/>
      <c r="U40" s="67"/>
      <c r="V40" s="68"/>
      <c r="W40" s="69"/>
      <c r="X40" s="66"/>
      <c r="Y40" s="67"/>
      <c r="Z40" s="68"/>
      <c r="AA40" s="69"/>
    </row>
    <row r="41" ht="54.950000000000003" hidden="1" customHeight="1" outlineLevel="1">
      <c r="A41" s="878"/>
      <c r="B41" s="879" t="s">
        <v>27</v>
      </c>
      <c r="C41" s="880"/>
      <c r="D41" s="102"/>
      <c r="E41" s="103"/>
      <c r="F41" s="104"/>
      <c r="G41" s="101"/>
      <c r="H41" s="102"/>
      <c r="I41" s="103"/>
      <c r="J41" s="104"/>
      <c r="K41" s="101"/>
      <c r="L41" s="102"/>
      <c r="M41" s="103"/>
      <c r="N41" s="104"/>
      <c r="O41" s="70"/>
      <c r="P41" s="880"/>
      <c r="Q41" s="102"/>
      <c r="R41" s="103"/>
      <c r="S41" s="104"/>
      <c r="T41" s="101"/>
      <c r="U41" s="102"/>
      <c r="V41" s="103"/>
      <c r="W41" s="104"/>
      <c r="X41" s="101"/>
      <c r="Y41" s="102"/>
      <c r="Z41" s="103"/>
      <c r="AA41" s="104"/>
    </row>
    <row r="42" ht="30" customHeight="1" collapsed="1">
      <c r="A42" s="874"/>
      <c r="B42" s="874"/>
      <c r="C42" s="604"/>
      <c r="D42" s="604"/>
      <c r="E42" s="604"/>
      <c r="F42" s="604"/>
      <c r="G42" s="604"/>
      <c r="H42" s="604"/>
      <c r="I42" s="604"/>
      <c r="J42" s="604"/>
      <c r="K42" s="604"/>
      <c r="L42" s="604"/>
      <c r="M42" s="604"/>
      <c r="N42" s="604"/>
      <c r="O42" s="881"/>
      <c r="P42" s="604"/>
      <c r="Q42" s="604"/>
      <c r="R42" s="604"/>
      <c r="S42" s="604"/>
      <c r="T42" s="72"/>
      <c r="U42" s="72"/>
      <c r="V42" s="72"/>
      <c r="W42" s="72"/>
      <c r="X42" s="72"/>
      <c r="Y42" s="72"/>
    </row>
    <row r="43" ht="30" customHeight="1">
      <c r="A43" s="114"/>
      <c r="B43" s="115"/>
      <c r="C43" s="115"/>
      <c r="D43" s="115"/>
      <c r="E43" s="115"/>
      <c r="F43" s="115"/>
      <c r="G43" s="115"/>
      <c r="H43" s="115"/>
      <c r="I43" s="115"/>
      <c r="J43" s="115"/>
      <c r="K43" s="115"/>
      <c r="L43" s="115"/>
      <c r="M43" s="115"/>
      <c r="N43" s="115"/>
      <c r="O43" s="115"/>
      <c r="P43" s="115"/>
      <c r="Q43" s="115"/>
      <c r="R43" s="115"/>
      <c r="S43" s="115"/>
      <c r="T43" s="115"/>
      <c r="U43" s="115"/>
      <c r="V43" s="115"/>
      <c r="W43" s="115"/>
      <c r="X43" s="115"/>
      <c r="Y43" s="115"/>
      <c r="Z43" s="115"/>
      <c r="AA43" s="116"/>
      <c r="AB43" s="114"/>
      <c r="AC43" s="115"/>
      <c r="AD43" s="115"/>
      <c r="AE43" s="115"/>
      <c r="AF43" s="115"/>
      <c r="AG43" s="115"/>
      <c r="AH43" s="115"/>
      <c r="AI43" s="115"/>
      <c r="AJ43" s="115"/>
      <c r="AK43" s="115"/>
    </row>
    <row r="44" ht="32.25" customHeight="1">
      <c r="A44" s="13"/>
      <c r="B44" s="14"/>
      <c r="C44" s="24" t="str">
        <f t="shared" ref="C44:C45" si="212">C7</f>
        <v xml:space="preserve">Depuis 'Château d'Etrembières'</v>
      </c>
      <c r="D44" s="384"/>
      <c r="E44" s="25"/>
      <c r="F44" s="25"/>
      <c r="G44" s="25"/>
      <c r="H44" s="25"/>
      <c r="I44" s="25"/>
      <c r="J44" s="25"/>
      <c r="K44" s="25"/>
      <c r="L44" s="25"/>
      <c r="M44" s="25"/>
      <c r="N44" s="27"/>
      <c r="O44" s="819"/>
      <c r="P44" s="24" t="str">
        <f t="shared" ref="P44:P45" si="213">P7</f>
        <v xml:space="preserve">Depuis 'Etrembières - Autoroute'</v>
      </c>
      <c r="Q44" s="384"/>
      <c r="R44" s="25"/>
      <c r="S44" s="25"/>
      <c r="T44" s="25"/>
      <c r="U44" s="25"/>
      <c r="V44" s="25"/>
      <c r="W44" s="25"/>
      <c r="X44" s="25"/>
      <c r="Y44" s="25"/>
      <c r="Z44" s="25"/>
      <c r="AA44" s="27"/>
      <c r="AB44" s="118"/>
      <c r="AC44" s="115"/>
      <c r="AD44" s="123" t="s">
        <v>31</v>
      </c>
      <c r="AE44" s="124" t="s">
        <v>32</v>
      </c>
      <c r="AF44" s="124" t="s">
        <v>33</v>
      </c>
      <c r="AG44" s="124" t="s">
        <v>34</v>
      </c>
      <c r="AH44" s="124" t="s">
        <v>58</v>
      </c>
      <c r="AI44" s="450" t="s">
        <v>38</v>
      </c>
      <c r="AJ44" s="451"/>
      <c r="AK44" s="452"/>
    </row>
    <row r="45" ht="22.699999999999999" customHeight="1">
      <c r="A45" s="13"/>
      <c r="B45" s="14"/>
      <c r="C45" s="813" t="str">
        <f t="shared" si="212"/>
        <v xml:space="preserve">vers 'Reignier'</v>
      </c>
      <c r="D45" s="813"/>
      <c r="E45" s="813"/>
      <c r="F45" s="813"/>
      <c r="G45" s="813" t="str">
        <f>G8</f>
        <v xml:space="preserve">vers 'Monnetier - La Muraz'</v>
      </c>
      <c r="H45" s="813"/>
      <c r="I45" s="813"/>
      <c r="J45" s="813"/>
      <c r="K45" s="813" t="str">
        <f>K8</f>
        <v xml:space="preserve">vers 'Etrembères - Autoroute'</v>
      </c>
      <c r="L45" s="813"/>
      <c r="M45" s="813"/>
      <c r="N45" s="813"/>
      <c r="O45" s="813"/>
      <c r="P45" s="813" t="str">
        <f t="shared" si="213"/>
        <v xml:space="preserve">vers 'Reignier'</v>
      </c>
      <c r="Q45" s="813"/>
      <c r="R45" s="813"/>
      <c r="S45" s="813"/>
      <c r="T45" s="813" t="str">
        <f>T8</f>
        <v xml:space="preserve">vers 'Monnetier - La Muraz'</v>
      </c>
      <c r="U45" s="813"/>
      <c r="V45" s="813"/>
      <c r="W45" s="813"/>
      <c r="X45" s="813" t="str">
        <f>X8</f>
        <v xml:space="preserve">vers 'Château d'Etrembières'</v>
      </c>
      <c r="Y45" s="813"/>
      <c r="Z45" s="813"/>
      <c r="AA45" s="813"/>
      <c r="AB45" s="118"/>
      <c r="AC45" s="115"/>
      <c r="AD45" s="133"/>
      <c r="AE45" s="134"/>
      <c r="AF45" s="134"/>
      <c r="AG45" s="134"/>
      <c r="AH45" s="134"/>
      <c r="AI45" s="453"/>
      <c r="AJ45" s="454"/>
      <c r="AK45" s="455"/>
    </row>
    <row r="46" ht="18.600000000000001" customHeight="1">
      <c r="A46" s="13"/>
      <c r="B46" s="14"/>
      <c r="C46" s="33" t="s">
        <v>18</v>
      </c>
      <c r="D46" s="814"/>
      <c r="E46" s="35" t="s">
        <v>19</v>
      </c>
      <c r="F46" s="36"/>
      <c r="G46" s="36" t="s">
        <v>18</v>
      </c>
      <c r="H46" s="37"/>
      <c r="I46" s="35" t="s">
        <v>19</v>
      </c>
      <c r="J46" s="36"/>
      <c r="K46" s="36" t="s">
        <v>18</v>
      </c>
      <c r="L46" s="37"/>
      <c r="M46" s="35" t="s">
        <v>19</v>
      </c>
      <c r="N46" s="36"/>
      <c r="O46" s="41"/>
      <c r="P46" s="33" t="s">
        <v>18</v>
      </c>
      <c r="Q46" s="814"/>
      <c r="R46" s="35" t="s">
        <v>19</v>
      </c>
      <c r="S46" s="36"/>
      <c r="T46" s="36" t="s">
        <v>18</v>
      </c>
      <c r="U46" s="37"/>
      <c r="V46" s="35" t="s">
        <v>19</v>
      </c>
      <c r="W46" s="36"/>
      <c r="X46" s="36" t="s">
        <v>18</v>
      </c>
      <c r="Y46" s="37"/>
      <c r="Z46" s="35" t="s">
        <v>19</v>
      </c>
      <c r="AA46" s="36"/>
      <c r="AB46" s="143"/>
      <c r="AC46" s="115"/>
      <c r="AD46" s="133"/>
      <c r="AE46" s="134"/>
      <c r="AF46" s="134"/>
      <c r="AG46" s="134"/>
      <c r="AH46" s="134"/>
      <c r="AI46" s="453"/>
      <c r="AJ46" s="454"/>
      <c r="AK46" s="455"/>
    </row>
    <row r="47" ht="21">
      <c r="A47" s="286" t="s">
        <v>39</v>
      </c>
      <c r="B47" s="287"/>
      <c r="C47" s="45" t="s">
        <v>22</v>
      </c>
      <c r="D47" s="50" t="s">
        <v>23</v>
      </c>
      <c r="E47" s="47" t="s">
        <v>22</v>
      </c>
      <c r="F47" s="48" t="s">
        <v>23</v>
      </c>
      <c r="G47" s="49" t="s">
        <v>22</v>
      </c>
      <c r="H47" s="50" t="s">
        <v>23</v>
      </c>
      <c r="I47" s="47" t="s">
        <v>22</v>
      </c>
      <c r="J47" s="48" t="s">
        <v>23</v>
      </c>
      <c r="K47" s="49" t="s">
        <v>22</v>
      </c>
      <c r="L47" s="50" t="s">
        <v>23</v>
      </c>
      <c r="M47" s="47" t="s">
        <v>22</v>
      </c>
      <c r="N47" s="48" t="s">
        <v>23</v>
      </c>
      <c r="O47" s="288"/>
      <c r="P47" s="45" t="s">
        <v>22</v>
      </c>
      <c r="Q47" s="50" t="s">
        <v>23</v>
      </c>
      <c r="R47" s="47" t="s">
        <v>22</v>
      </c>
      <c r="S47" s="48" t="s">
        <v>23</v>
      </c>
      <c r="T47" s="49" t="s">
        <v>22</v>
      </c>
      <c r="U47" s="50" t="s">
        <v>23</v>
      </c>
      <c r="V47" s="47" t="s">
        <v>22</v>
      </c>
      <c r="W47" s="48" t="s">
        <v>23</v>
      </c>
      <c r="X47" s="49" t="s">
        <v>22</v>
      </c>
      <c r="Y47" s="50" t="s">
        <v>23</v>
      </c>
      <c r="Z47" s="47" t="s">
        <v>22</v>
      </c>
      <c r="AA47" s="48" t="s">
        <v>23</v>
      </c>
      <c r="AB47" s="151" t="s">
        <v>39</v>
      </c>
      <c r="AC47" s="152"/>
      <c r="AD47" s="133"/>
      <c r="AE47" s="153"/>
      <c r="AF47" s="153"/>
      <c r="AG47" s="153"/>
      <c r="AH47" s="153"/>
      <c r="AI47" s="456"/>
      <c r="AJ47" s="457"/>
      <c r="AK47" s="458"/>
    </row>
    <row r="48" ht="54.950000000000003" customHeight="1">
      <c r="A48" s="293" t="s">
        <v>40</v>
      </c>
      <c r="B48" s="294"/>
      <c r="C48" s="391">
        <f t="shared" ref="C48:AA48" si="214">SUM(C11:C14)</f>
        <v>0</v>
      </c>
      <c r="D48" s="392">
        <f t="shared" si="214"/>
        <v>0</v>
      </c>
      <c r="E48" s="393">
        <f t="shared" si="214"/>
        <v>0</v>
      </c>
      <c r="F48" s="820">
        <f t="shared" si="214"/>
        <v>0</v>
      </c>
      <c r="G48" s="821">
        <f t="shared" si="214"/>
        <v>0</v>
      </c>
      <c r="H48" s="392">
        <f t="shared" si="214"/>
        <v>0</v>
      </c>
      <c r="I48" s="393">
        <f t="shared" si="214"/>
        <v>0</v>
      </c>
      <c r="J48" s="820">
        <f t="shared" si="214"/>
        <v>0</v>
      </c>
      <c r="K48" s="821">
        <f t="shared" si="214"/>
        <v>0</v>
      </c>
      <c r="L48" s="392">
        <f t="shared" si="214"/>
        <v>0</v>
      </c>
      <c r="M48" s="393">
        <f t="shared" si="214"/>
        <v>0</v>
      </c>
      <c r="N48" s="820">
        <f t="shared" si="214"/>
        <v>0</v>
      </c>
      <c r="O48" s="395"/>
      <c r="P48" s="391">
        <f t="shared" si="214"/>
        <v>0</v>
      </c>
      <c r="Q48" s="392">
        <f t="shared" si="214"/>
        <v>0</v>
      </c>
      <c r="R48" s="393">
        <f t="shared" si="214"/>
        <v>0</v>
      </c>
      <c r="S48" s="820">
        <f t="shared" si="214"/>
        <v>0</v>
      </c>
      <c r="T48" s="821">
        <f t="shared" si="214"/>
        <v>0</v>
      </c>
      <c r="U48" s="392">
        <f t="shared" si="214"/>
        <v>1</v>
      </c>
      <c r="V48" s="393">
        <f t="shared" si="214"/>
        <v>0</v>
      </c>
      <c r="W48" s="820">
        <f t="shared" si="214"/>
        <v>0</v>
      </c>
      <c r="X48" s="821">
        <f t="shared" si="214"/>
        <v>0</v>
      </c>
      <c r="Y48" s="392">
        <f t="shared" si="214"/>
        <v>0</v>
      </c>
      <c r="Z48" s="393">
        <f t="shared" si="214"/>
        <v>0</v>
      </c>
      <c r="AA48" s="394">
        <f t="shared" si="214"/>
        <v>0</v>
      </c>
      <c r="AB48" s="165" t="s">
        <v>40</v>
      </c>
      <c r="AC48" s="166"/>
      <c r="AD48" s="167">
        <f t="shared" ref="AD48:AD53" si="215">SUM(C48:AA48)+SUM(C60:AA60)</f>
        <v>28</v>
      </c>
      <c r="AE48" s="168">
        <f t="shared" ref="AE48:AE54" si="216">IF(AD48=0,0,AE60/AD48)</f>
        <v>0.5357142857142857</v>
      </c>
      <c r="AF48" s="168">
        <f t="shared" ref="AF48:AF54" si="217">IF(AD48=0,0,AF60/AD48)</f>
        <v>0.25</v>
      </c>
      <c r="AG48" s="168">
        <f t="shared" ref="AG48:AG54" si="218">IF(AF60=0,0,AG60/AF60)</f>
        <v>0.7142857142857143</v>
      </c>
      <c r="AH48" s="168">
        <f t="shared" ref="AH48:AH54" si="219">IF(AD48=0,0,AH60/AD48)</f>
        <v>0.39285714285714285</v>
      </c>
      <c r="AI48" s="459"/>
      <c r="AJ48" s="460"/>
      <c r="AK48" s="461"/>
    </row>
    <row r="49" ht="54.950000000000003" customHeight="1">
      <c r="A49" s="300" t="s">
        <v>41</v>
      </c>
      <c r="B49" s="301"/>
      <c r="C49" s="402">
        <f t="shared" ref="C49:AA49" si="220">SUM(C13:C16)</f>
        <v>0</v>
      </c>
      <c r="D49" s="403">
        <f t="shared" si="220"/>
        <v>0</v>
      </c>
      <c r="E49" s="404">
        <f t="shared" si="220"/>
        <v>0</v>
      </c>
      <c r="F49" s="827">
        <f t="shared" si="220"/>
        <v>0</v>
      </c>
      <c r="G49" s="828">
        <f t="shared" si="220"/>
        <v>0</v>
      </c>
      <c r="H49" s="403">
        <f t="shared" si="220"/>
        <v>1</v>
      </c>
      <c r="I49" s="404">
        <f t="shared" si="220"/>
        <v>0</v>
      </c>
      <c r="J49" s="827">
        <f t="shared" si="220"/>
        <v>0</v>
      </c>
      <c r="K49" s="828">
        <f t="shared" si="220"/>
        <v>0</v>
      </c>
      <c r="L49" s="403">
        <f t="shared" si="220"/>
        <v>0</v>
      </c>
      <c r="M49" s="404">
        <f t="shared" si="220"/>
        <v>0</v>
      </c>
      <c r="N49" s="827">
        <f t="shared" si="220"/>
        <v>0</v>
      </c>
      <c r="O49" s="406"/>
      <c r="P49" s="402">
        <f t="shared" si="220"/>
        <v>1</v>
      </c>
      <c r="Q49" s="403">
        <f t="shared" si="220"/>
        <v>0</v>
      </c>
      <c r="R49" s="404">
        <f t="shared" si="220"/>
        <v>0</v>
      </c>
      <c r="S49" s="827">
        <f t="shared" si="220"/>
        <v>0</v>
      </c>
      <c r="T49" s="828">
        <f t="shared" si="220"/>
        <v>0</v>
      </c>
      <c r="U49" s="403">
        <f t="shared" si="220"/>
        <v>1</v>
      </c>
      <c r="V49" s="404">
        <f t="shared" si="220"/>
        <v>0</v>
      </c>
      <c r="W49" s="827">
        <f t="shared" si="220"/>
        <v>0</v>
      </c>
      <c r="X49" s="828">
        <f t="shared" si="220"/>
        <v>0</v>
      </c>
      <c r="Y49" s="403">
        <f t="shared" si="220"/>
        <v>0</v>
      </c>
      <c r="Z49" s="404">
        <f t="shared" si="220"/>
        <v>0</v>
      </c>
      <c r="AA49" s="405">
        <f t="shared" si="220"/>
        <v>0</v>
      </c>
      <c r="AB49" s="180" t="s">
        <v>41</v>
      </c>
      <c r="AC49" s="181"/>
      <c r="AD49" s="182">
        <f t="shared" si="215"/>
        <v>54</v>
      </c>
      <c r="AE49" s="183">
        <f t="shared" si="216"/>
        <v>0.61111111111111116</v>
      </c>
      <c r="AF49" s="183">
        <f t="shared" si="217"/>
        <v>0.29629629629629628</v>
      </c>
      <c r="AG49" s="183">
        <f t="shared" si="218"/>
        <v>0.75</v>
      </c>
      <c r="AH49" s="183">
        <f t="shared" si="219"/>
        <v>0.37037037037037035</v>
      </c>
      <c r="AI49" s="462"/>
      <c r="AJ49" s="463"/>
      <c r="AK49" s="464"/>
    </row>
    <row r="50" ht="54.950000000000003" customHeight="1">
      <c r="A50" s="300" t="s">
        <v>42</v>
      </c>
      <c r="B50" s="301"/>
      <c r="C50" s="402">
        <f t="shared" ref="C50:AA50" si="221">SUM(C15:C18)</f>
        <v>0</v>
      </c>
      <c r="D50" s="403">
        <f t="shared" si="221"/>
        <v>1</v>
      </c>
      <c r="E50" s="404">
        <f t="shared" si="221"/>
        <v>0</v>
      </c>
      <c r="F50" s="827">
        <f t="shared" si="221"/>
        <v>0</v>
      </c>
      <c r="G50" s="828">
        <f t="shared" si="221"/>
        <v>0</v>
      </c>
      <c r="H50" s="403">
        <f t="shared" si="221"/>
        <v>4</v>
      </c>
      <c r="I50" s="404">
        <f t="shared" si="221"/>
        <v>0</v>
      </c>
      <c r="J50" s="827">
        <f t="shared" si="221"/>
        <v>0</v>
      </c>
      <c r="K50" s="828">
        <f t="shared" si="221"/>
        <v>0</v>
      </c>
      <c r="L50" s="403">
        <f t="shared" si="221"/>
        <v>0</v>
      </c>
      <c r="M50" s="404">
        <f t="shared" si="221"/>
        <v>0</v>
      </c>
      <c r="N50" s="827">
        <f t="shared" si="221"/>
        <v>0</v>
      </c>
      <c r="O50" s="406"/>
      <c r="P50" s="402">
        <f t="shared" si="221"/>
        <v>1</v>
      </c>
      <c r="Q50" s="403">
        <f t="shared" si="221"/>
        <v>0</v>
      </c>
      <c r="R50" s="404">
        <f t="shared" si="221"/>
        <v>0</v>
      </c>
      <c r="S50" s="827">
        <f t="shared" si="221"/>
        <v>0</v>
      </c>
      <c r="T50" s="828">
        <f t="shared" si="221"/>
        <v>0</v>
      </c>
      <c r="U50" s="403">
        <f t="shared" si="221"/>
        <v>0</v>
      </c>
      <c r="V50" s="404">
        <f t="shared" si="221"/>
        <v>0</v>
      </c>
      <c r="W50" s="827">
        <f t="shared" si="221"/>
        <v>0</v>
      </c>
      <c r="X50" s="828">
        <f t="shared" si="221"/>
        <v>0</v>
      </c>
      <c r="Y50" s="403">
        <f t="shared" si="221"/>
        <v>0</v>
      </c>
      <c r="Z50" s="404">
        <f t="shared" si="221"/>
        <v>0</v>
      </c>
      <c r="AA50" s="405">
        <f t="shared" si="221"/>
        <v>0</v>
      </c>
      <c r="AB50" s="180" t="s">
        <v>42</v>
      </c>
      <c r="AC50" s="181"/>
      <c r="AD50" s="182">
        <f t="shared" si="215"/>
        <v>45</v>
      </c>
      <c r="AE50" s="183">
        <f t="shared" si="216"/>
        <v>0.66666666666666663</v>
      </c>
      <c r="AF50" s="183">
        <f t="shared" si="217"/>
        <v>0.35555555555555557</v>
      </c>
      <c r="AG50" s="183">
        <f t="shared" si="218"/>
        <v>0.8125</v>
      </c>
      <c r="AH50" s="183">
        <f t="shared" si="219"/>
        <v>0.35555555555555557</v>
      </c>
      <c r="AI50" s="462"/>
      <c r="AJ50" s="463"/>
      <c r="AK50" s="464"/>
    </row>
    <row r="51" ht="54.950000000000003" customHeight="1">
      <c r="A51" s="300" t="s">
        <v>43</v>
      </c>
      <c r="B51" s="301"/>
      <c r="C51" s="402">
        <f t="shared" ref="C51:AA51" si="222">SUM(C17:C20)</f>
        <v>0</v>
      </c>
      <c r="D51" s="403">
        <f t="shared" si="222"/>
        <v>1</v>
      </c>
      <c r="E51" s="404">
        <f t="shared" si="222"/>
        <v>0</v>
      </c>
      <c r="F51" s="827">
        <f t="shared" si="222"/>
        <v>0</v>
      </c>
      <c r="G51" s="828">
        <f t="shared" si="222"/>
        <v>0</v>
      </c>
      <c r="H51" s="403">
        <f t="shared" si="222"/>
        <v>4</v>
      </c>
      <c r="I51" s="404">
        <f t="shared" si="222"/>
        <v>0</v>
      </c>
      <c r="J51" s="827">
        <f t="shared" si="222"/>
        <v>0</v>
      </c>
      <c r="K51" s="828">
        <f t="shared" si="222"/>
        <v>0</v>
      </c>
      <c r="L51" s="403">
        <f t="shared" si="222"/>
        <v>0</v>
      </c>
      <c r="M51" s="404">
        <f t="shared" si="222"/>
        <v>0</v>
      </c>
      <c r="N51" s="827">
        <f t="shared" si="222"/>
        <v>0</v>
      </c>
      <c r="O51" s="406"/>
      <c r="P51" s="402">
        <f t="shared" si="222"/>
        <v>0</v>
      </c>
      <c r="Q51" s="403">
        <f t="shared" si="222"/>
        <v>0</v>
      </c>
      <c r="R51" s="404">
        <f t="shared" si="222"/>
        <v>0</v>
      </c>
      <c r="S51" s="827">
        <f t="shared" si="222"/>
        <v>0</v>
      </c>
      <c r="T51" s="828">
        <f t="shared" si="222"/>
        <v>0</v>
      </c>
      <c r="U51" s="403">
        <f t="shared" si="222"/>
        <v>0</v>
      </c>
      <c r="V51" s="404">
        <f t="shared" si="222"/>
        <v>1</v>
      </c>
      <c r="W51" s="827">
        <f t="shared" si="222"/>
        <v>0</v>
      </c>
      <c r="X51" s="828">
        <f t="shared" si="222"/>
        <v>0</v>
      </c>
      <c r="Y51" s="403">
        <f t="shared" si="222"/>
        <v>0</v>
      </c>
      <c r="Z51" s="404">
        <f t="shared" si="222"/>
        <v>0</v>
      </c>
      <c r="AA51" s="405">
        <f t="shared" si="222"/>
        <v>0</v>
      </c>
      <c r="AB51" s="180" t="s">
        <v>43</v>
      </c>
      <c r="AC51" s="181"/>
      <c r="AD51" s="182">
        <f t="shared" si="215"/>
        <v>27</v>
      </c>
      <c r="AE51" s="183">
        <f t="shared" si="216"/>
        <v>0.55555555555555558</v>
      </c>
      <c r="AF51" s="183">
        <f t="shared" si="217"/>
        <v>0.33333333333333331</v>
      </c>
      <c r="AG51" s="183">
        <f t="shared" si="218"/>
        <v>0.88888888888888884</v>
      </c>
      <c r="AH51" s="183">
        <f t="shared" si="219"/>
        <v>0.33333333333333331</v>
      </c>
      <c r="AI51" s="462"/>
      <c r="AJ51" s="463"/>
      <c r="AK51" s="464"/>
    </row>
    <row r="52" ht="54.950000000000003" customHeight="1">
      <c r="A52" s="307" t="s">
        <v>44</v>
      </c>
      <c r="B52" s="308"/>
      <c r="C52" s="413">
        <f t="shared" ref="C52:AA52" si="223">SUM(C19:C22)</f>
        <v>0</v>
      </c>
      <c r="D52" s="414">
        <f t="shared" si="223"/>
        <v>0</v>
      </c>
      <c r="E52" s="415">
        <f t="shared" si="223"/>
        <v>0</v>
      </c>
      <c r="F52" s="834">
        <f t="shared" si="223"/>
        <v>0</v>
      </c>
      <c r="G52" s="835">
        <f t="shared" si="223"/>
        <v>0</v>
      </c>
      <c r="H52" s="414">
        <f t="shared" si="223"/>
        <v>1</v>
      </c>
      <c r="I52" s="415">
        <f t="shared" si="223"/>
        <v>0</v>
      </c>
      <c r="J52" s="834">
        <f t="shared" si="223"/>
        <v>0</v>
      </c>
      <c r="K52" s="835">
        <f t="shared" si="223"/>
        <v>0</v>
      </c>
      <c r="L52" s="414">
        <f t="shared" si="223"/>
        <v>0</v>
      </c>
      <c r="M52" s="415">
        <f t="shared" si="223"/>
        <v>0</v>
      </c>
      <c r="N52" s="834">
        <f t="shared" si="223"/>
        <v>0</v>
      </c>
      <c r="O52" s="417"/>
      <c r="P52" s="413">
        <f t="shared" si="223"/>
        <v>0</v>
      </c>
      <c r="Q52" s="414">
        <f t="shared" si="223"/>
        <v>0</v>
      </c>
      <c r="R52" s="415">
        <f t="shared" si="223"/>
        <v>0</v>
      </c>
      <c r="S52" s="834">
        <f t="shared" si="223"/>
        <v>0</v>
      </c>
      <c r="T52" s="835">
        <f t="shared" si="223"/>
        <v>0</v>
      </c>
      <c r="U52" s="414">
        <f t="shared" si="223"/>
        <v>0</v>
      </c>
      <c r="V52" s="415">
        <f t="shared" si="223"/>
        <v>1</v>
      </c>
      <c r="W52" s="834">
        <f t="shared" si="223"/>
        <v>0</v>
      </c>
      <c r="X52" s="835">
        <f t="shared" si="223"/>
        <v>0</v>
      </c>
      <c r="Y52" s="414">
        <f t="shared" si="223"/>
        <v>0</v>
      </c>
      <c r="Z52" s="415">
        <f t="shared" si="223"/>
        <v>0</v>
      </c>
      <c r="AA52" s="416">
        <f t="shared" si="223"/>
        <v>0</v>
      </c>
      <c r="AB52" s="195" t="s">
        <v>44</v>
      </c>
      <c r="AC52" s="196"/>
      <c r="AD52" s="197">
        <f t="shared" si="215"/>
        <v>8</v>
      </c>
      <c r="AE52" s="198">
        <f t="shared" si="216"/>
        <v>0.375</v>
      </c>
      <c r="AF52" s="198">
        <f t="shared" si="217"/>
        <v>0.25</v>
      </c>
      <c r="AG52" s="198">
        <f t="shared" si="218"/>
        <v>1</v>
      </c>
      <c r="AH52" s="198">
        <f t="shared" si="219"/>
        <v>0.25</v>
      </c>
      <c r="AI52" s="465"/>
      <c r="AJ52" s="466"/>
      <c r="AK52" s="467"/>
    </row>
    <row r="53" ht="54.950000000000003" customHeight="1">
      <c r="A53" s="319" t="s">
        <v>31</v>
      </c>
      <c r="B53" s="320"/>
      <c r="C53" s="60">
        <f t="shared" ref="C53:AA53" si="224">SUM(C11:C22)</f>
        <v>0</v>
      </c>
      <c r="D53" s="65">
        <f t="shared" si="224"/>
        <v>1</v>
      </c>
      <c r="E53" s="62">
        <f t="shared" si="224"/>
        <v>0</v>
      </c>
      <c r="F53" s="63">
        <f t="shared" si="224"/>
        <v>0</v>
      </c>
      <c r="G53" s="64">
        <f t="shared" si="224"/>
        <v>0</v>
      </c>
      <c r="H53" s="65">
        <f t="shared" si="224"/>
        <v>5</v>
      </c>
      <c r="I53" s="62">
        <f t="shared" si="224"/>
        <v>0</v>
      </c>
      <c r="J53" s="63">
        <f t="shared" si="224"/>
        <v>0</v>
      </c>
      <c r="K53" s="64">
        <f t="shared" si="224"/>
        <v>0</v>
      </c>
      <c r="L53" s="65">
        <f t="shared" si="224"/>
        <v>0</v>
      </c>
      <c r="M53" s="62">
        <f t="shared" si="224"/>
        <v>0</v>
      </c>
      <c r="N53" s="63">
        <f t="shared" si="224"/>
        <v>0</v>
      </c>
      <c r="O53" s="841"/>
      <c r="P53" s="60">
        <f t="shared" si="224"/>
        <v>1</v>
      </c>
      <c r="Q53" s="65">
        <f t="shared" si="224"/>
        <v>0</v>
      </c>
      <c r="R53" s="62">
        <f t="shared" si="224"/>
        <v>0</v>
      </c>
      <c r="S53" s="63">
        <f t="shared" si="224"/>
        <v>0</v>
      </c>
      <c r="T53" s="64">
        <f t="shared" si="224"/>
        <v>0</v>
      </c>
      <c r="U53" s="65">
        <f t="shared" si="224"/>
        <v>1</v>
      </c>
      <c r="V53" s="62">
        <f t="shared" si="224"/>
        <v>1</v>
      </c>
      <c r="W53" s="63">
        <f t="shared" si="224"/>
        <v>0</v>
      </c>
      <c r="X53" s="64">
        <f t="shared" si="224"/>
        <v>0</v>
      </c>
      <c r="Y53" s="65">
        <f t="shared" si="224"/>
        <v>0</v>
      </c>
      <c r="Z53" s="62">
        <f t="shared" si="224"/>
        <v>0</v>
      </c>
      <c r="AA53" s="817">
        <f t="shared" si="224"/>
        <v>0</v>
      </c>
      <c r="AB53" s="210" t="s">
        <v>31</v>
      </c>
      <c r="AC53" s="211"/>
      <c r="AD53" s="212">
        <f t="shared" si="215"/>
        <v>81</v>
      </c>
      <c r="AE53" s="213">
        <f t="shared" si="216"/>
        <v>0.59259259259259256</v>
      </c>
      <c r="AF53" s="213">
        <f t="shared" si="217"/>
        <v>0.30864197530864196</v>
      </c>
      <c r="AG53" s="213">
        <f t="shared" si="218"/>
        <v>0.80000000000000004</v>
      </c>
      <c r="AH53" s="213">
        <f t="shared" si="219"/>
        <v>0.35802469135802467</v>
      </c>
      <c r="AI53" s="468"/>
      <c r="AJ53" s="469"/>
      <c r="AK53" s="470"/>
    </row>
    <row r="54" ht="54.950000000000003" customHeight="1">
      <c r="A54" s="331" t="str">
        <f>IF($AD$48=MAX($AD$48:$AD$52),A48,IF($AD$49=MAX($AD$48:$AD$52),A49,IF($AD$50=MAX($AD$48:$AD$52),A50,IF($AD$51=MAX($AD$48:$AD$52),A51,A52))))</f>
        <v xml:space="preserve">de 7:00 à 8:00</v>
      </c>
      <c r="B54" s="332"/>
      <c r="C54" s="95">
        <f t="shared" ref="C54:N54" si="225">IF($AD$48=MAX($AD$48:$AD$52),C48,IF($AD$49=MAX($AD$48:$AD$52),C49,IF($AD$50=MAX($AD$48:$AD$52),C50,IF($AD$51=MAX($AD$48:$AD$52),(C51),C52))))</f>
        <v>0</v>
      </c>
      <c r="D54" s="100">
        <f t="shared" si="225"/>
        <v>0</v>
      </c>
      <c r="E54" s="97">
        <f t="shared" si="225"/>
        <v>0</v>
      </c>
      <c r="F54" s="98">
        <f t="shared" si="225"/>
        <v>0</v>
      </c>
      <c r="G54" s="99">
        <f t="shared" si="225"/>
        <v>0</v>
      </c>
      <c r="H54" s="100">
        <f t="shared" si="225"/>
        <v>1</v>
      </c>
      <c r="I54" s="97">
        <f t="shared" si="225"/>
        <v>0</v>
      </c>
      <c r="J54" s="98">
        <f t="shared" si="225"/>
        <v>0</v>
      </c>
      <c r="K54" s="99">
        <f t="shared" si="225"/>
        <v>0</v>
      </c>
      <c r="L54" s="100">
        <f t="shared" si="225"/>
        <v>0</v>
      </c>
      <c r="M54" s="97">
        <f t="shared" si="225"/>
        <v>0</v>
      </c>
      <c r="N54" s="98">
        <f t="shared" si="225"/>
        <v>0</v>
      </c>
      <c r="O54" s="847"/>
      <c r="P54" s="95">
        <f t="shared" ref="P54:W54" si="226">IF($AD$48=MAX($AD$48:$AD$52),P48,IF($AD$49=MAX($AD$48:$AD$52),P49,IF($AD$50=MAX($AD$48:$AD$52),P50,IF($AD$51=MAX($AD$48:$AD$52),(P51),P52))))</f>
        <v>1</v>
      </c>
      <c r="Q54" s="100">
        <f t="shared" si="226"/>
        <v>0</v>
      </c>
      <c r="R54" s="97">
        <f t="shared" si="226"/>
        <v>0</v>
      </c>
      <c r="S54" s="98">
        <f t="shared" si="226"/>
        <v>0</v>
      </c>
      <c r="T54" s="99">
        <f t="shared" si="226"/>
        <v>0</v>
      </c>
      <c r="U54" s="100">
        <f t="shared" si="226"/>
        <v>1</v>
      </c>
      <c r="V54" s="97">
        <f t="shared" si="226"/>
        <v>0</v>
      </c>
      <c r="W54" s="98">
        <f t="shared" si="226"/>
        <v>0</v>
      </c>
      <c r="X54" s="99">
        <f t="shared" ref="X54:AA54" si="227">IF($AD$48=MAX($AD$48:$AD$52),X48,IF($AD$49=MAX($AD$48:$AD$52),X49,IF($AD$50=MAX($AD$48:$AD$52),X50,IF($AD$51=MAX($AD$48:$AD$52),(X51),X52))))</f>
        <v>0</v>
      </c>
      <c r="Y54" s="100">
        <f t="shared" si="227"/>
        <v>0</v>
      </c>
      <c r="Z54" s="97">
        <f t="shared" si="227"/>
        <v>0</v>
      </c>
      <c r="AA54" s="818">
        <f t="shared" si="227"/>
        <v>0</v>
      </c>
      <c r="AB54" s="225" t="str">
        <f>IF($AD$48=MAX($AD$48:$AD$52),A48,IF($AD$49=MAX($AD$48:$AD$52),A49,IF($AD$50=MAX($AD$48:$AD$52),A50,IF($AD$51=MAX($AD$48:$AD$52),A51,A52))))</f>
        <v xml:space="preserve">de 7:00 à 8:00</v>
      </c>
      <c r="AC54" s="226"/>
      <c r="AD54" s="227">
        <f>IF($AD$48=MAX($AD$48:$AD$52),AD48,IF($AD$49=MAX($AD$48:$AD$52),AD49,IF($AD$50=MAX($AD$48:$AD$52),AD50,IF($AD$51=MAX($AD$48:$AD$52),(AD51),AD52))))</f>
        <v>54</v>
      </c>
      <c r="AE54" s="228">
        <f t="shared" si="216"/>
        <v>0.61111111111111116</v>
      </c>
      <c r="AF54" s="228">
        <f t="shared" si="217"/>
        <v>0.29629629629629628</v>
      </c>
      <c r="AG54" s="228">
        <f t="shared" si="218"/>
        <v>0.75</v>
      </c>
      <c r="AH54" s="228">
        <f t="shared" si="219"/>
        <v>0.37037037037037035</v>
      </c>
      <c r="AI54" s="471"/>
      <c r="AJ54" s="472"/>
      <c r="AK54" s="473"/>
    </row>
    <row r="55" ht="12.75" customHeight="1">
      <c r="A55" s="852"/>
      <c r="B55" s="853"/>
      <c r="C55" s="853"/>
      <c r="D55" s="853"/>
      <c r="E55" s="853"/>
      <c r="F55" s="853"/>
      <c r="G55" s="853"/>
      <c r="H55" s="853"/>
      <c r="I55" s="853"/>
      <c r="J55" s="853"/>
      <c r="K55" s="853"/>
      <c r="L55" s="853"/>
      <c r="M55" s="853"/>
      <c r="N55" s="853"/>
      <c r="O55" s="853"/>
      <c r="P55" s="853"/>
      <c r="Q55" s="853"/>
      <c r="R55" s="853"/>
      <c r="S55" s="853"/>
      <c r="T55" s="853"/>
      <c r="U55" s="853"/>
      <c r="V55" s="853"/>
      <c r="W55" s="853"/>
      <c r="X55" s="853"/>
      <c r="Y55" s="853"/>
      <c r="Z55" s="853"/>
      <c r="AA55" s="854"/>
      <c r="AB55" s="233"/>
      <c r="AC55" s="233"/>
      <c r="AD55" s="234"/>
      <c r="AE55" s="235"/>
      <c r="AF55" s="235"/>
      <c r="AG55" s="235"/>
      <c r="AH55" s="235"/>
      <c r="AI55" s="236"/>
      <c r="AJ55" s="236"/>
      <c r="AK55" s="236"/>
    </row>
    <row r="56" ht="32.25" customHeight="1">
      <c r="A56" s="13"/>
      <c r="B56" s="14"/>
      <c r="C56" s="24" t="str">
        <f t="shared" ref="C56:C57" si="228">C26</f>
        <v xml:space="preserve">Depuis 'Reignier'</v>
      </c>
      <c r="D56" s="384"/>
      <c r="E56" s="25"/>
      <c r="F56" s="25"/>
      <c r="G56" s="25"/>
      <c r="H56" s="25"/>
      <c r="I56" s="25"/>
      <c r="J56" s="25"/>
      <c r="K56" s="25"/>
      <c r="L56" s="25"/>
      <c r="M56" s="25"/>
      <c r="N56" s="27"/>
      <c r="O56" s="819"/>
      <c r="P56" s="24" t="str">
        <f t="shared" ref="P56:P57" si="229">P26</f>
        <v xml:space="preserve">Depuis 'Monnetier - La Muraz'</v>
      </c>
      <c r="Q56" s="384"/>
      <c r="R56" s="25"/>
      <c r="S56" s="25"/>
      <c r="T56" s="25"/>
      <c r="U56" s="25"/>
      <c r="V56" s="25"/>
      <c r="W56" s="25"/>
      <c r="X56" s="25"/>
      <c r="Y56" s="25"/>
      <c r="Z56" s="25"/>
      <c r="AA56" s="27"/>
      <c r="AB56" s="233"/>
      <c r="AC56" s="233"/>
      <c r="AD56" s="234"/>
      <c r="AE56" s="124" t="s">
        <v>45</v>
      </c>
      <c r="AF56" s="124" t="s">
        <v>46</v>
      </c>
      <c r="AG56" s="124" t="s">
        <v>47</v>
      </c>
      <c r="AH56" s="125" t="s">
        <v>59</v>
      </c>
      <c r="AI56" s="236"/>
      <c r="AJ56" s="236"/>
      <c r="AK56" s="236"/>
    </row>
    <row r="57" ht="22.699999999999999" customHeight="1">
      <c r="A57" s="13"/>
      <c r="B57" s="14"/>
      <c r="C57" s="813" t="str">
        <f t="shared" si="228"/>
        <v xml:space="preserve">vers 'Château d'Etrembières'</v>
      </c>
      <c r="D57" s="813"/>
      <c r="E57" s="813"/>
      <c r="F57" s="813"/>
      <c r="G57" s="813" t="str">
        <f>G27</f>
        <v xml:space="preserve">vers 'Etrembières - Autoroute'</v>
      </c>
      <c r="H57" s="813"/>
      <c r="I57" s="813"/>
      <c r="J57" s="813"/>
      <c r="K57" s="813" t="str">
        <f>K27</f>
        <v xml:space="preserve">vers 'Monnetier - La Muraz'</v>
      </c>
      <c r="L57" s="813"/>
      <c r="M57" s="813"/>
      <c r="N57" s="813"/>
      <c r="O57" s="813"/>
      <c r="P57" s="813" t="str">
        <f t="shared" si="229"/>
        <v xml:space="preserve">vers 'Château d'Etrembières'</v>
      </c>
      <c r="Q57" s="813"/>
      <c r="R57" s="813"/>
      <c r="S57" s="813"/>
      <c r="T57" s="813" t="str">
        <f>T27</f>
        <v xml:space="preserve">vers 'Etrembières - Autoroute'</v>
      </c>
      <c r="U57" s="813"/>
      <c r="V57" s="813"/>
      <c r="W57" s="813"/>
      <c r="X57" s="813" t="str">
        <f>X27</f>
        <v xml:space="preserve">vers 'Reignier'</v>
      </c>
      <c r="Y57" s="813"/>
      <c r="Z57" s="813"/>
      <c r="AA57" s="813"/>
      <c r="AB57" s="233"/>
      <c r="AC57" s="233"/>
      <c r="AD57" s="234"/>
      <c r="AE57" s="134"/>
      <c r="AF57" s="134"/>
      <c r="AG57" s="134"/>
      <c r="AH57" s="135"/>
      <c r="AI57" s="236"/>
      <c r="AJ57" s="236"/>
      <c r="AK57" s="236"/>
    </row>
    <row r="58" ht="18.600000000000001" customHeight="1">
      <c r="A58" s="13"/>
      <c r="B58" s="14"/>
      <c r="C58" s="33" t="s">
        <v>18</v>
      </c>
      <c r="D58" s="814"/>
      <c r="E58" s="35" t="s">
        <v>19</v>
      </c>
      <c r="F58" s="36"/>
      <c r="G58" s="36" t="s">
        <v>18</v>
      </c>
      <c r="H58" s="37"/>
      <c r="I58" s="35" t="s">
        <v>19</v>
      </c>
      <c r="J58" s="36"/>
      <c r="K58" s="36" t="s">
        <v>18</v>
      </c>
      <c r="L58" s="37"/>
      <c r="M58" s="35" t="s">
        <v>19</v>
      </c>
      <c r="N58" s="36"/>
      <c r="O58" s="41"/>
      <c r="P58" s="33" t="s">
        <v>18</v>
      </c>
      <c r="Q58" s="814"/>
      <c r="R58" s="35" t="s">
        <v>19</v>
      </c>
      <c r="S58" s="36"/>
      <c r="T58" s="36" t="s">
        <v>18</v>
      </c>
      <c r="U58" s="37"/>
      <c r="V58" s="35" t="s">
        <v>19</v>
      </c>
      <c r="W58" s="36"/>
      <c r="X58" s="36" t="s">
        <v>18</v>
      </c>
      <c r="Y58" s="37"/>
      <c r="Z58" s="35" t="s">
        <v>19</v>
      </c>
      <c r="AA58" s="36"/>
      <c r="AB58" s="233"/>
      <c r="AC58" s="233"/>
      <c r="AD58" s="234"/>
      <c r="AE58" s="134"/>
      <c r="AF58" s="134"/>
      <c r="AG58" s="134"/>
      <c r="AH58" s="135"/>
      <c r="AI58" s="236"/>
      <c r="AJ58" s="236"/>
      <c r="AK58" s="236"/>
    </row>
    <row r="59" ht="21.75" customHeight="1">
      <c r="A59" s="286" t="s">
        <v>39</v>
      </c>
      <c r="B59" s="287"/>
      <c r="C59" s="45" t="s">
        <v>22</v>
      </c>
      <c r="D59" s="50" t="s">
        <v>23</v>
      </c>
      <c r="E59" s="47" t="s">
        <v>22</v>
      </c>
      <c r="F59" s="48" t="s">
        <v>23</v>
      </c>
      <c r="G59" s="49" t="s">
        <v>22</v>
      </c>
      <c r="H59" s="50" t="s">
        <v>23</v>
      </c>
      <c r="I59" s="47" t="s">
        <v>22</v>
      </c>
      <c r="J59" s="48" t="s">
        <v>23</v>
      </c>
      <c r="K59" s="49" t="s">
        <v>22</v>
      </c>
      <c r="L59" s="50" t="s">
        <v>23</v>
      </c>
      <c r="M59" s="47" t="s">
        <v>22</v>
      </c>
      <c r="N59" s="48" t="s">
        <v>23</v>
      </c>
      <c r="O59" s="288"/>
      <c r="P59" s="45" t="s">
        <v>22</v>
      </c>
      <c r="Q59" s="50" t="s">
        <v>23</v>
      </c>
      <c r="R59" s="47" t="s">
        <v>22</v>
      </c>
      <c r="S59" s="48" t="s">
        <v>23</v>
      </c>
      <c r="T59" s="49" t="s">
        <v>22</v>
      </c>
      <c r="U59" s="50" t="s">
        <v>23</v>
      </c>
      <c r="V59" s="47" t="s">
        <v>22</v>
      </c>
      <c r="W59" s="48" t="s">
        <v>23</v>
      </c>
      <c r="X59" s="49" t="s">
        <v>22</v>
      </c>
      <c r="Y59" s="50" t="s">
        <v>23</v>
      </c>
      <c r="Z59" s="47" t="s">
        <v>22</v>
      </c>
      <c r="AA59" s="48" t="s">
        <v>23</v>
      </c>
      <c r="AB59" s="233"/>
      <c r="AC59" s="233"/>
      <c r="AD59" s="234"/>
      <c r="AE59" s="153"/>
      <c r="AF59" s="153"/>
      <c r="AG59" s="153"/>
      <c r="AH59" s="154"/>
      <c r="AI59" s="236"/>
      <c r="AJ59" s="236"/>
      <c r="AK59" s="236"/>
    </row>
    <row r="60" ht="54.950000000000003" customHeight="1">
      <c r="A60" s="293" t="s">
        <v>40</v>
      </c>
      <c r="B60" s="294"/>
      <c r="C60" s="391">
        <f>SUM(C30:C33)</f>
        <v>2</v>
      </c>
      <c r="D60" s="392">
        <f t="shared" ref="D60:J60" si="230">SUM(D30:D33)</f>
        <v>4</v>
      </c>
      <c r="E60" s="393">
        <f t="shared" si="230"/>
        <v>2</v>
      </c>
      <c r="F60" s="820">
        <f t="shared" si="230"/>
        <v>0</v>
      </c>
      <c r="G60" s="821">
        <f t="shared" si="230"/>
        <v>4</v>
      </c>
      <c r="H60" s="392">
        <f t="shared" si="230"/>
        <v>1</v>
      </c>
      <c r="I60" s="393">
        <f t="shared" si="230"/>
        <v>0</v>
      </c>
      <c r="J60" s="820">
        <f t="shared" si="230"/>
        <v>2</v>
      </c>
      <c r="K60" s="821">
        <f t="shared" ref="K60:N60" si="231">SUM(K30:K33)</f>
        <v>0</v>
      </c>
      <c r="L60" s="392">
        <f t="shared" si="231"/>
        <v>0</v>
      </c>
      <c r="M60" s="393">
        <f t="shared" si="231"/>
        <v>0</v>
      </c>
      <c r="N60" s="394">
        <f t="shared" si="231"/>
        <v>0</v>
      </c>
      <c r="O60" s="395"/>
      <c r="P60" s="391">
        <f t="shared" ref="P60:W60" si="232">SUM(P30:P33)</f>
        <v>1</v>
      </c>
      <c r="Q60" s="392">
        <f t="shared" si="232"/>
        <v>1</v>
      </c>
      <c r="R60" s="393">
        <f t="shared" si="232"/>
        <v>2</v>
      </c>
      <c r="S60" s="820">
        <f t="shared" si="232"/>
        <v>0</v>
      </c>
      <c r="T60" s="821">
        <f t="shared" si="232"/>
        <v>3</v>
      </c>
      <c r="U60" s="392">
        <f t="shared" si="232"/>
        <v>4</v>
      </c>
      <c r="V60" s="393">
        <f t="shared" si="232"/>
        <v>1</v>
      </c>
      <c r="W60" s="820">
        <f t="shared" si="232"/>
        <v>0</v>
      </c>
      <c r="X60" s="821">
        <f t="shared" ref="X60:AA60" si="233">SUM(X30:X33)</f>
        <v>0</v>
      </c>
      <c r="Y60" s="392">
        <f t="shared" si="233"/>
        <v>0</v>
      </c>
      <c r="Z60" s="393">
        <f t="shared" si="233"/>
        <v>0</v>
      </c>
      <c r="AA60" s="394">
        <f t="shared" si="233"/>
        <v>0</v>
      </c>
      <c r="AB60" s="233"/>
      <c r="AC60" s="233"/>
      <c r="AD60" s="234"/>
      <c r="AE60" s="238">
        <f t="shared" ref="AE60:AE66" si="234">(C48+E48+G48+I48+K48+M48+P48+R48+T48+V48+X48+Z48+C60+E60+G60+I60+K60+M60+P60+R60+T60+V60+X60+Z60)</f>
        <v>15</v>
      </c>
      <c r="AF60" s="238">
        <f t="shared" ref="AF60:AF66" si="235">(E48+F48+I48+J48+M48+N48+R48+S48+V48+W48+Z48+AA48+E60+F60+I60+J60+M60+N60+R60+S60+V60+W60+Z60+AA60)</f>
        <v>7</v>
      </c>
      <c r="AG60" s="238">
        <f t="shared" ref="AG60:AG66" si="236">(E48+I48+M48+R48+V48+Z48+E60+I60+M60+R60+V60+Z60)</f>
        <v>5</v>
      </c>
      <c r="AH60" s="239">
        <f t="shared" ref="AH60:AH66" si="237">SUM(K48:N48,X48:AA48,P60:S60,G60:J60)</f>
        <v>11</v>
      </c>
      <c r="AI60" s="236"/>
      <c r="AJ60" s="236"/>
      <c r="AK60" s="236"/>
    </row>
    <row r="61" ht="54.950000000000003" customHeight="1">
      <c r="A61" s="300" t="s">
        <v>41</v>
      </c>
      <c r="B61" s="301"/>
      <c r="C61" s="402">
        <f>SUM(C32:C35)</f>
        <v>5</v>
      </c>
      <c r="D61" s="403">
        <f t="shared" ref="D61:J61" si="238">SUM(D32:D35)</f>
        <v>5</v>
      </c>
      <c r="E61" s="404">
        <f t="shared" si="238"/>
        <v>4</v>
      </c>
      <c r="F61" s="827">
        <f t="shared" si="238"/>
        <v>0</v>
      </c>
      <c r="G61" s="828">
        <f t="shared" si="238"/>
        <v>7</v>
      </c>
      <c r="H61" s="403">
        <f t="shared" si="238"/>
        <v>2</v>
      </c>
      <c r="I61" s="404">
        <f t="shared" si="238"/>
        <v>2</v>
      </c>
      <c r="J61" s="827">
        <f t="shared" si="238"/>
        <v>2</v>
      </c>
      <c r="K61" s="828">
        <f t="shared" ref="K61:N61" si="239">SUM(K32:K35)</f>
        <v>0</v>
      </c>
      <c r="L61" s="403">
        <f t="shared" si="239"/>
        <v>0</v>
      </c>
      <c r="M61" s="404">
        <f t="shared" si="239"/>
        <v>0</v>
      </c>
      <c r="N61" s="405">
        <f t="shared" si="239"/>
        <v>0</v>
      </c>
      <c r="O61" s="406"/>
      <c r="P61" s="402">
        <f t="shared" ref="P61:W61" si="240">SUM(P32:P35)</f>
        <v>1</v>
      </c>
      <c r="Q61" s="403">
        <f t="shared" si="240"/>
        <v>2</v>
      </c>
      <c r="R61" s="404">
        <f t="shared" si="240"/>
        <v>3</v>
      </c>
      <c r="S61" s="827">
        <f t="shared" si="240"/>
        <v>1</v>
      </c>
      <c r="T61" s="828">
        <f t="shared" si="240"/>
        <v>7</v>
      </c>
      <c r="U61" s="403">
        <f t="shared" si="240"/>
        <v>6</v>
      </c>
      <c r="V61" s="404">
        <f t="shared" si="240"/>
        <v>3</v>
      </c>
      <c r="W61" s="827">
        <f t="shared" si="240"/>
        <v>1</v>
      </c>
      <c r="X61" s="828">
        <f t="shared" ref="X61:AA61" si="241">SUM(X32:X35)</f>
        <v>0</v>
      </c>
      <c r="Y61" s="403">
        <f t="shared" si="241"/>
        <v>0</v>
      </c>
      <c r="Z61" s="404">
        <f t="shared" si="241"/>
        <v>0</v>
      </c>
      <c r="AA61" s="405">
        <f t="shared" si="241"/>
        <v>0</v>
      </c>
      <c r="AB61" s="233"/>
      <c r="AC61" s="233"/>
      <c r="AD61" s="234"/>
      <c r="AE61" s="882">
        <f t="shared" si="234"/>
        <v>33</v>
      </c>
      <c r="AF61" s="882">
        <f t="shared" si="235"/>
        <v>16</v>
      </c>
      <c r="AG61" s="882">
        <f t="shared" si="236"/>
        <v>12</v>
      </c>
      <c r="AH61" s="882">
        <f t="shared" si="237"/>
        <v>20</v>
      </c>
      <c r="AI61" s="236"/>
      <c r="AJ61" s="236"/>
      <c r="AK61" s="236"/>
    </row>
    <row r="62" ht="54.950000000000003" customHeight="1">
      <c r="A62" s="300" t="s">
        <v>42</v>
      </c>
      <c r="B62" s="301"/>
      <c r="C62" s="402">
        <f>SUM(C34:C37)</f>
        <v>3</v>
      </c>
      <c r="D62" s="403">
        <f t="shared" ref="D62:J62" si="242">SUM(D34:D37)</f>
        <v>1</v>
      </c>
      <c r="E62" s="404">
        <f t="shared" si="242"/>
        <v>4</v>
      </c>
      <c r="F62" s="827">
        <f t="shared" si="242"/>
        <v>0</v>
      </c>
      <c r="G62" s="828">
        <f t="shared" si="242"/>
        <v>5</v>
      </c>
      <c r="H62" s="403">
        <f t="shared" si="242"/>
        <v>2</v>
      </c>
      <c r="I62" s="404">
        <f t="shared" si="242"/>
        <v>4</v>
      </c>
      <c r="J62" s="827">
        <f t="shared" si="242"/>
        <v>0</v>
      </c>
      <c r="K62" s="828">
        <f t="shared" ref="K62:N62" si="243">SUM(K34:K37)</f>
        <v>0</v>
      </c>
      <c r="L62" s="403">
        <f t="shared" si="243"/>
        <v>0</v>
      </c>
      <c r="M62" s="404">
        <f t="shared" si="243"/>
        <v>0</v>
      </c>
      <c r="N62" s="405">
        <f t="shared" si="243"/>
        <v>0</v>
      </c>
      <c r="O62" s="406"/>
      <c r="P62" s="402">
        <f t="shared" ref="P62:W62" si="244">SUM(P34:P37)</f>
        <v>0</v>
      </c>
      <c r="Q62" s="403">
        <f t="shared" si="244"/>
        <v>1</v>
      </c>
      <c r="R62" s="404">
        <f t="shared" si="244"/>
        <v>2</v>
      </c>
      <c r="S62" s="827">
        <f t="shared" si="244"/>
        <v>2</v>
      </c>
      <c r="T62" s="828">
        <f t="shared" si="244"/>
        <v>8</v>
      </c>
      <c r="U62" s="403">
        <f t="shared" si="244"/>
        <v>3</v>
      </c>
      <c r="V62" s="404">
        <f t="shared" si="244"/>
        <v>3</v>
      </c>
      <c r="W62" s="827">
        <f t="shared" si="244"/>
        <v>1</v>
      </c>
      <c r="X62" s="828">
        <f t="shared" ref="X62:AA62" si="245">SUM(X34:X37)</f>
        <v>0</v>
      </c>
      <c r="Y62" s="403">
        <f t="shared" si="245"/>
        <v>0</v>
      </c>
      <c r="Z62" s="404">
        <f t="shared" si="245"/>
        <v>0</v>
      </c>
      <c r="AA62" s="405">
        <f t="shared" si="245"/>
        <v>0</v>
      </c>
      <c r="AB62" s="233"/>
      <c r="AC62" s="233"/>
      <c r="AD62" s="234"/>
      <c r="AE62" s="882">
        <f t="shared" si="234"/>
        <v>30</v>
      </c>
      <c r="AF62" s="882">
        <f t="shared" si="235"/>
        <v>16</v>
      </c>
      <c r="AG62" s="882">
        <f t="shared" si="236"/>
        <v>13</v>
      </c>
      <c r="AH62" s="882">
        <f t="shared" si="237"/>
        <v>16</v>
      </c>
      <c r="AI62" s="236"/>
      <c r="AJ62" s="236"/>
      <c r="AK62" s="236"/>
    </row>
    <row r="63" ht="54.950000000000003" customHeight="1">
      <c r="A63" s="300" t="s">
        <v>43</v>
      </c>
      <c r="B63" s="301"/>
      <c r="C63" s="402">
        <f>SUM(C36:C39)</f>
        <v>0</v>
      </c>
      <c r="D63" s="403">
        <f t="shared" ref="D63:J63" si="246">SUM(D36:D39)</f>
        <v>2</v>
      </c>
      <c r="E63" s="404">
        <f t="shared" si="246"/>
        <v>2</v>
      </c>
      <c r="F63" s="827">
        <f t="shared" si="246"/>
        <v>0</v>
      </c>
      <c r="G63" s="828">
        <f t="shared" si="246"/>
        <v>2</v>
      </c>
      <c r="H63" s="403">
        <f t="shared" si="246"/>
        <v>2</v>
      </c>
      <c r="I63" s="404">
        <f t="shared" si="246"/>
        <v>2</v>
      </c>
      <c r="J63" s="827">
        <f t="shared" si="246"/>
        <v>0</v>
      </c>
      <c r="K63" s="828">
        <f t="shared" ref="K63:N63" si="247">SUM(K36:K39)</f>
        <v>0</v>
      </c>
      <c r="L63" s="403">
        <f t="shared" si="247"/>
        <v>0</v>
      </c>
      <c r="M63" s="404">
        <f t="shared" si="247"/>
        <v>0</v>
      </c>
      <c r="N63" s="405">
        <f t="shared" si="247"/>
        <v>0</v>
      </c>
      <c r="O63" s="406"/>
      <c r="P63" s="402">
        <f t="shared" ref="P63:W63" si="248">SUM(P36:P39)</f>
        <v>1</v>
      </c>
      <c r="Q63" s="403">
        <f t="shared" si="248"/>
        <v>0</v>
      </c>
      <c r="R63" s="404">
        <f t="shared" si="248"/>
        <v>1</v>
      </c>
      <c r="S63" s="827">
        <f t="shared" si="248"/>
        <v>1</v>
      </c>
      <c r="T63" s="828">
        <f t="shared" si="248"/>
        <v>4</v>
      </c>
      <c r="U63" s="403">
        <f t="shared" si="248"/>
        <v>2</v>
      </c>
      <c r="V63" s="404">
        <f t="shared" si="248"/>
        <v>2</v>
      </c>
      <c r="W63" s="827">
        <f t="shared" si="248"/>
        <v>0</v>
      </c>
      <c r="X63" s="828">
        <f t="shared" ref="X63:AA63" si="249">SUM(X36:X39)</f>
        <v>0</v>
      </c>
      <c r="Y63" s="403">
        <f t="shared" si="249"/>
        <v>0</v>
      </c>
      <c r="Z63" s="404">
        <f t="shared" si="249"/>
        <v>0</v>
      </c>
      <c r="AA63" s="405">
        <f t="shared" si="249"/>
        <v>0</v>
      </c>
      <c r="AB63" s="233"/>
      <c r="AC63" s="233"/>
      <c r="AD63" s="234"/>
      <c r="AE63" s="882">
        <f t="shared" si="234"/>
        <v>15</v>
      </c>
      <c r="AF63" s="882">
        <f t="shared" si="235"/>
        <v>9</v>
      </c>
      <c r="AG63" s="882">
        <f t="shared" si="236"/>
        <v>8</v>
      </c>
      <c r="AH63" s="882">
        <f t="shared" si="237"/>
        <v>9</v>
      </c>
      <c r="AI63" s="236"/>
      <c r="AJ63" s="236"/>
      <c r="AK63" s="236"/>
    </row>
    <row r="64" ht="54.950000000000003" customHeight="1">
      <c r="A64" s="307" t="s">
        <v>44</v>
      </c>
      <c r="B64" s="308"/>
      <c r="C64" s="413">
        <f>SUM(C38:C41)</f>
        <v>0</v>
      </c>
      <c r="D64" s="414">
        <f t="shared" ref="D64:J64" si="250">SUM(D38:D41)</f>
        <v>2</v>
      </c>
      <c r="E64" s="415">
        <f t="shared" si="250"/>
        <v>0</v>
      </c>
      <c r="F64" s="834">
        <f t="shared" si="250"/>
        <v>0</v>
      </c>
      <c r="G64" s="835">
        <f t="shared" si="250"/>
        <v>0</v>
      </c>
      <c r="H64" s="414">
        <f t="shared" si="250"/>
        <v>1</v>
      </c>
      <c r="I64" s="415">
        <f t="shared" si="250"/>
        <v>0</v>
      </c>
      <c r="J64" s="834">
        <f t="shared" si="250"/>
        <v>0</v>
      </c>
      <c r="K64" s="835">
        <f t="shared" ref="K64:N64" si="251">SUM(K38:K41)</f>
        <v>0</v>
      </c>
      <c r="L64" s="414">
        <f t="shared" si="251"/>
        <v>0</v>
      </c>
      <c r="M64" s="415">
        <f t="shared" si="251"/>
        <v>0</v>
      </c>
      <c r="N64" s="416">
        <f t="shared" si="251"/>
        <v>0</v>
      </c>
      <c r="O64" s="417"/>
      <c r="P64" s="413">
        <f t="shared" ref="P64:W64" si="252">SUM(P38:P41)</f>
        <v>1</v>
      </c>
      <c r="Q64" s="414">
        <f t="shared" si="252"/>
        <v>0</v>
      </c>
      <c r="R64" s="415">
        <f t="shared" si="252"/>
        <v>0</v>
      </c>
      <c r="S64" s="834">
        <f t="shared" si="252"/>
        <v>0</v>
      </c>
      <c r="T64" s="835">
        <f t="shared" si="252"/>
        <v>0</v>
      </c>
      <c r="U64" s="414">
        <f t="shared" si="252"/>
        <v>1</v>
      </c>
      <c r="V64" s="415">
        <f t="shared" si="252"/>
        <v>1</v>
      </c>
      <c r="W64" s="834">
        <f t="shared" si="252"/>
        <v>0</v>
      </c>
      <c r="X64" s="835">
        <f t="shared" ref="X64:AA64" si="253">SUM(X38:X41)</f>
        <v>0</v>
      </c>
      <c r="Y64" s="414">
        <f t="shared" si="253"/>
        <v>0</v>
      </c>
      <c r="Z64" s="415">
        <f t="shared" si="253"/>
        <v>0</v>
      </c>
      <c r="AA64" s="416">
        <f t="shared" si="253"/>
        <v>0</v>
      </c>
      <c r="AB64" s="233"/>
      <c r="AC64" s="233"/>
      <c r="AD64" s="234"/>
      <c r="AE64" s="883">
        <f t="shared" si="234"/>
        <v>3</v>
      </c>
      <c r="AF64" s="883">
        <f t="shared" si="235"/>
        <v>2</v>
      </c>
      <c r="AG64" s="883">
        <f t="shared" si="236"/>
        <v>2</v>
      </c>
      <c r="AH64" s="883">
        <f t="shared" si="237"/>
        <v>2</v>
      </c>
      <c r="AI64" s="236"/>
      <c r="AJ64" s="236"/>
      <c r="AK64" s="236"/>
    </row>
    <row r="65" ht="54.950000000000003" customHeight="1">
      <c r="A65" s="319" t="s">
        <v>31</v>
      </c>
      <c r="B65" s="320"/>
      <c r="C65" s="60">
        <f>SUM(C30:C41)</f>
        <v>5</v>
      </c>
      <c r="D65" s="65">
        <f t="shared" ref="D65:J65" si="254">SUM(D30:D41)</f>
        <v>7</v>
      </c>
      <c r="E65" s="62">
        <f t="shared" si="254"/>
        <v>6</v>
      </c>
      <c r="F65" s="63">
        <f t="shared" si="254"/>
        <v>0</v>
      </c>
      <c r="G65" s="64">
        <f t="shared" si="254"/>
        <v>9</v>
      </c>
      <c r="H65" s="65">
        <f t="shared" si="254"/>
        <v>4</v>
      </c>
      <c r="I65" s="62">
        <f t="shared" si="254"/>
        <v>4</v>
      </c>
      <c r="J65" s="63">
        <f t="shared" si="254"/>
        <v>2</v>
      </c>
      <c r="K65" s="64">
        <f t="shared" ref="K65:N65" si="255">SUM(K30:K41)</f>
        <v>0</v>
      </c>
      <c r="L65" s="65">
        <f t="shared" si="255"/>
        <v>0</v>
      </c>
      <c r="M65" s="62">
        <f t="shared" si="255"/>
        <v>0</v>
      </c>
      <c r="N65" s="817">
        <f t="shared" si="255"/>
        <v>0</v>
      </c>
      <c r="O65" s="841"/>
      <c r="P65" s="60">
        <f t="shared" ref="P65:W65" si="256">SUM(P30:P41)</f>
        <v>2</v>
      </c>
      <c r="Q65" s="65">
        <f t="shared" si="256"/>
        <v>2</v>
      </c>
      <c r="R65" s="62">
        <f t="shared" si="256"/>
        <v>4</v>
      </c>
      <c r="S65" s="63">
        <f t="shared" si="256"/>
        <v>2</v>
      </c>
      <c r="T65" s="64">
        <f t="shared" si="256"/>
        <v>11</v>
      </c>
      <c r="U65" s="65">
        <f t="shared" si="256"/>
        <v>8</v>
      </c>
      <c r="V65" s="62">
        <f t="shared" si="256"/>
        <v>5</v>
      </c>
      <c r="W65" s="63">
        <f t="shared" si="256"/>
        <v>1</v>
      </c>
      <c r="X65" s="64">
        <f t="shared" ref="X65:AA65" si="257">SUM(X30:X41)</f>
        <v>0</v>
      </c>
      <c r="Y65" s="65">
        <f t="shared" si="257"/>
        <v>0</v>
      </c>
      <c r="Z65" s="62">
        <f t="shared" si="257"/>
        <v>0</v>
      </c>
      <c r="AA65" s="817">
        <f t="shared" si="257"/>
        <v>0</v>
      </c>
      <c r="AB65" s="237"/>
      <c r="AC65" s="237"/>
      <c r="AD65" s="237"/>
      <c r="AE65" s="884">
        <f t="shared" si="234"/>
        <v>48</v>
      </c>
      <c r="AF65" s="884">
        <f t="shared" si="235"/>
        <v>25</v>
      </c>
      <c r="AG65" s="884">
        <f t="shared" si="236"/>
        <v>20</v>
      </c>
      <c r="AH65" s="884">
        <f t="shared" si="237"/>
        <v>29</v>
      </c>
      <c r="AI65" s="237"/>
      <c r="AJ65" s="237"/>
      <c r="AK65" s="237"/>
    </row>
    <row r="66" ht="54.950000000000003" customHeight="1">
      <c r="A66" s="331" t="str">
        <f>IF($AD$48=MAX($AD$48:$AD$52),A60,IF($AD$49=MAX($AD$48:$AD$52),A61,IF($AD$50=MAX($AD$48:$AD$52),A62,IF($AD$51=MAX($AD$48:$AD$52),A63,A64))))</f>
        <v xml:space="preserve">de 7:00 à 8:00</v>
      </c>
      <c r="B66" s="332"/>
      <c r="C66" s="95">
        <f t="shared" ref="C66:N66" si="258">IF($AD$48=MAX($AD$48:$AD$52),C60,IF($AD$49=MAX($AD$48:$AD$52),C61,IF($AD$50=MAX($AD$48:$AD$52),C62,IF($AD$51=MAX($AD$48:$AD$52),C63,C64))))</f>
        <v>5</v>
      </c>
      <c r="D66" s="100">
        <f t="shared" si="258"/>
        <v>5</v>
      </c>
      <c r="E66" s="97">
        <f t="shared" si="258"/>
        <v>4</v>
      </c>
      <c r="F66" s="98">
        <f t="shared" si="258"/>
        <v>0</v>
      </c>
      <c r="G66" s="99">
        <f t="shared" si="258"/>
        <v>7</v>
      </c>
      <c r="H66" s="100">
        <f t="shared" si="258"/>
        <v>2</v>
      </c>
      <c r="I66" s="97">
        <f t="shared" si="258"/>
        <v>2</v>
      </c>
      <c r="J66" s="98">
        <f t="shared" si="258"/>
        <v>2</v>
      </c>
      <c r="K66" s="99">
        <f t="shared" si="258"/>
        <v>0</v>
      </c>
      <c r="L66" s="100">
        <f t="shared" si="258"/>
        <v>0</v>
      </c>
      <c r="M66" s="97">
        <f t="shared" si="258"/>
        <v>0</v>
      </c>
      <c r="N66" s="818">
        <f t="shared" si="258"/>
        <v>0</v>
      </c>
      <c r="O66" s="847"/>
      <c r="P66" s="95">
        <f t="shared" ref="P66:W66" si="259">IF($AD$48=MAX($AD$48:$AD$52),P60,IF($AD$49=MAX($AD$48:$AD$52),P61,IF($AD$50=MAX($AD$48:$AD$52),P62,IF($AD$51=MAX($AD$48:$AD$52),P63,P64))))</f>
        <v>1</v>
      </c>
      <c r="Q66" s="100">
        <f t="shared" si="259"/>
        <v>2</v>
      </c>
      <c r="R66" s="97">
        <f t="shared" si="259"/>
        <v>3</v>
      </c>
      <c r="S66" s="98">
        <f t="shared" si="259"/>
        <v>1</v>
      </c>
      <c r="T66" s="99">
        <f t="shared" si="259"/>
        <v>7</v>
      </c>
      <c r="U66" s="100">
        <f t="shared" si="259"/>
        <v>6</v>
      </c>
      <c r="V66" s="97">
        <f t="shared" si="259"/>
        <v>3</v>
      </c>
      <c r="W66" s="98">
        <f t="shared" si="259"/>
        <v>1</v>
      </c>
      <c r="X66" s="99">
        <f t="shared" ref="X66:AA66" si="260">IF($AD$48=MAX($AD$48:$AD$52),X60,IF($AD$49=MAX($AD$48:$AD$52),X61,IF($AD$50=MAX($AD$48:$AD$52),X62,IF($AD$51=MAX($AD$48:$AD$52),X63,X64))))</f>
        <v>0</v>
      </c>
      <c r="Y66" s="100">
        <f t="shared" si="260"/>
        <v>0</v>
      </c>
      <c r="Z66" s="97">
        <f t="shared" si="260"/>
        <v>0</v>
      </c>
      <c r="AA66" s="818">
        <f t="shared" si="260"/>
        <v>0</v>
      </c>
      <c r="AB66" s="237"/>
      <c r="AC66" s="237"/>
      <c r="AD66" s="237"/>
      <c r="AE66" s="885">
        <f t="shared" si="234"/>
        <v>33</v>
      </c>
      <c r="AF66" s="885">
        <f t="shared" si="235"/>
        <v>16</v>
      </c>
      <c r="AG66" s="885">
        <f t="shared" si="236"/>
        <v>12</v>
      </c>
      <c r="AH66" s="885">
        <f t="shared" si="237"/>
        <v>20</v>
      </c>
      <c r="AI66" s="237"/>
      <c r="AJ66" s="237"/>
      <c r="AK66" s="237"/>
    </row>
    <row r="67" ht="9" customHeight="1">
      <c r="A67" s="248"/>
      <c r="B67" s="249"/>
      <c r="C67" s="249"/>
      <c r="D67" s="249"/>
      <c r="E67" s="249"/>
      <c r="F67" s="249"/>
      <c r="G67" s="249"/>
      <c r="H67" s="249"/>
      <c r="I67" s="249"/>
      <c r="J67" s="249"/>
      <c r="K67" s="249"/>
      <c r="L67" s="249"/>
      <c r="M67" s="249"/>
      <c r="N67" s="249"/>
      <c r="O67" s="249"/>
      <c r="P67" s="249"/>
      <c r="Q67" s="249"/>
      <c r="R67" s="249"/>
      <c r="S67" s="249"/>
      <c r="T67" s="249"/>
      <c r="U67" s="249"/>
      <c r="V67" s="249"/>
      <c r="W67" s="249"/>
      <c r="X67" s="249"/>
      <c r="Y67" s="249"/>
      <c r="Z67" s="249"/>
      <c r="AA67" s="249"/>
      <c r="AB67" s="248"/>
      <c r="AC67" s="249"/>
      <c r="AD67" s="249"/>
      <c r="AE67" s="249"/>
      <c r="AF67" s="249"/>
      <c r="AG67" s="249"/>
      <c r="AH67" s="249"/>
      <c r="AI67" s="249"/>
      <c r="AJ67" s="249"/>
      <c r="AK67" s="249"/>
      <c r="AL67" s="250"/>
      <c r="AM67" s="479"/>
      <c r="AN67" s="250"/>
      <c r="AO67" s="250"/>
      <c r="AP67" s="250"/>
      <c r="AQ67" s="250"/>
      <c r="AR67" s="250"/>
    </row>
    <row r="69" ht="15" customHeight="1"/>
    <row r="70" ht="14.25" customHeight="1"/>
    <row r="71" ht="14.25" customHeight="1"/>
    <row r="72" ht="14.25" customHeight="1"/>
  </sheetData>
  <mergeCells count="128">
    <mergeCell ref="C3:W3"/>
    <mergeCell ref="K57:N57"/>
    <mergeCell ref="X57:AA57"/>
    <mergeCell ref="K58:L58"/>
    <mergeCell ref="M58:N58"/>
    <mergeCell ref="X58:Y58"/>
    <mergeCell ref="Z58:AA58"/>
    <mergeCell ref="X45:AA45"/>
    <mergeCell ref="K46:L46"/>
    <mergeCell ref="M46:N46"/>
    <mergeCell ref="X46:Y46"/>
    <mergeCell ref="Z46:AA46"/>
    <mergeCell ref="C56:N56"/>
    <mergeCell ref="P56:AA56"/>
    <mergeCell ref="X9:Y9"/>
    <mergeCell ref="Z9:AA9"/>
    <mergeCell ref="C26:N26"/>
    <mergeCell ref="K27:N27"/>
    <mergeCell ref="K28:L28"/>
    <mergeCell ref="M28:N28"/>
    <mergeCell ref="P26:AA26"/>
    <mergeCell ref="X27:AA27"/>
    <mergeCell ref="T46:U46"/>
    <mergeCell ref="V46:W46"/>
    <mergeCell ref="A64:B64"/>
    <mergeCell ref="AB64:AC64"/>
    <mergeCell ref="A65:B65"/>
    <mergeCell ref="A66:B66"/>
    <mergeCell ref="K8:N8"/>
    <mergeCell ref="K9:L9"/>
    <mergeCell ref="M9:N9"/>
    <mergeCell ref="C44:N44"/>
    <mergeCell ref="P44:AA44"/>
    <mergeCell ref="K45:N45"/>
    <mergeCell ref="A61:B61"/>
    <mergeCell ref="AB61:AC61"/>
    <mergeCell ref="A62:B62"/>
    <mergeCell ref="AB62:AC62"/>
    <mergeCell ref="A63:B63"/>
    <mergeCell ref="AB63:AC63"/>
    <mergeCell ref="V58:W58"/>
    <mergeCell ref="AB58:AC58"/>
    <mergeCell ref="A59:B59"/>
    <mergeCell ref="AB59:AC59"/>
    <mergeCell ref="A60:B60"/>
    <mergeCell ref="AB60:AC60"/>
    <mergeCell ref="AB55:AC55"/>
    <mergeCell ref="A52:B52"/>
    <mergeCell ref="AG56:AG59"/>
    <mergeCell ref="AH56:AH59"/>
    <mergeCell ref="C57:F57"/>
    <mergeCell ref="G57:J57"/>
    <mergeCell ref="P57:S57"/>
    <mergeCell ref="T57:W57"/>
    <mergeCell ref="AB57:AC57"/>
    <mergeCell ref="C58:D58"/>
    <mergeCell ref="E58:F58"/>
    <mergeCell ref="G58:H58"/>
    <mergeCell ref="AB56:AC56"/>
    <mergeCell ref="AE56:AE59"/>
    <mergeCell ref="AF56:AF59"/>
    <mergeCell ref="I58:J58"/>
    <mergeCell ref="P58:Q58"/>
    <mergeCell ref="R58:S58"/>
    <mergeCell ref="T58:U58"/>
    <mergeCell ref="AB52:AC52"/>
    <mergeCell ref="A53:B53"/>
    <mergeCell ref="AB53:AC53"/>
    <mergeCell ref="A54:B54"/>
    <mergeCell ref="AB54:AC54"/>
    <mergeCell ref="A49:B49"/>
    <mergeCell ref="AB49:AC49"/>
    <mergeCell ref="A50:B50"/>
    <mergeCell ref="AB50:AC50"/>
    <mergeCell ref="A51:B51"/>
    <mergeCell ref="AB51:AC51"/>
    <mergeCell ref="A47:B47"/>
    <mergeCell ref="AB47:AC47"/>
    <mergeCell ref="A48:B48"/>
    <mergeCell ref="AB48:AC48"/>
    <mergeCell ref="AF44:AF47"/>
    <mergeCell ref="AG44:AG47"/>
    <mergeCell ref="AH44:AH47"/>
    <mergeCell ref="AI44:AK47"/>
    <mergeCell ref="C45:F45"/>
    <mergeCell ref="G45:J45"/>
    <mergeCell ref="P45:S45"/>
    <mergeCell ref="T45:W45"/>
    <mergeCell ref="C46:D46"/>
    <mergeCell ref="E46:F46"/>
    <mergeCell ref="T28:U28"/>
    <mergeCell ref="V28:W28"/>
    <mergeCell ref="AD44:AD47"/>
    <mergeCell ref="AE44:AE47"/>
    <mergeCell ref="G46:H46"/>
    <mergeCell ref="I46:J46"/>
    <mergeCell ref="P46:Q46"/>
    <mergeCell ref="R46:S46"/>
    <mergeCell ref="C28:D28"/>
    <mergeCell ref="E28:F28"/>
    <mergeCell ref="G28:H28"/>
    <mergeCell ref="I28:J28"/>
    <mergeCell ref="P28:Q28"/>
    <mergeCell ref="R28:S28"/>
    <mergeCell ref="X28:Y28"/>
    <mergeCell ref="Z28:AA28"/>
    <mergeCell ref="T9:U9"/>
    <mergeCell ref="V9:W9"/>
    <mergeCell ref="C27:F27"/>
    <mergeCell ref="G27:J27"/>
    <mergeCell ref="P27:S27"/>
    <mergeCell ref="T27:W27"/>
    <mergeCell ref="C9:D9"/>
    <mergeCell ref="E9:F9"/>
    <mergeCell ref="G9:H9"/>
    <mergeCell ref="I9:J9"/>
    <mergeCell ref="P9:Q9"/>
    <mergeCell ref="R9:S9"/>
    <mergeCell ref="C24:N24"/>
    <mergeCell ref="C8:F8"/>
    <mergeCell ref="G8:J8"/>
    <mergeCell ref="P8:S8"/>
    <mergeCell ref="T8:W8"/>
    <mergeCell ref="C7:N7"/>
    <mergeCell ref="P7:AA7"/>
    <mergeCell ref="X8:AA8"/>
    <mergeCell ref="C5:N5"/>
    <mergeCell ref="R5:AA5"/>
  </mergeCells>
  <printOptions headings="0" gridLines="0"/>
  <pageMargins left="0.39370078740157477" right="0.39370078740157477" top="0.39370078740157477" bottom="0.39370078740157477" header="0.59055118110236238" footer="0.59055118110236238"/>
  <pageSetup paperSize="9" scale="38" fitToWidth="1" fitToHeight="0" pageOrder="overThenDown" orientation="landscape" usePrinterDefaults="1" blackAndWhite="0" draft="0" cellComments="none" useFirstPageNumber="1" errors="displayed" horizontalDpi="600" verticalDpi="600" copies="1"/>
  <headerFooter/>
  <rowBreaks count="1" manualBreakCount="1">
    <brk id="67" man="1" max="27"/>
  </rowBreaks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tabColor rgb="FF7030A0"/>
    <outlinePr applyStyles="0" summaryBelow="1" summaryRight="1" showOutlineSymbols="1"/>
    <pageSetUpPr autoPageBreaks="1" fitToPage="1"/>
  </sheetPr>
  <sheetViews>
    <sheetView view="pageBreakPreview" zoomScale="40" workbookViewId="0">
      <selection activeCell="AE20" activeCellId="0" sqref="AE20"/>
    </sheetView>
  </sheetViews>
  <sheetFormatPr baseColWidth="10" defaultRowHeight="14.25" outlineLevelRow="1"/>
  <cols>
    <col customWidth="1" min="1" max="1" style="1" width="9.125"/>
    <col customWidth="1" min="2" max="2" style="1" width="13.75"/>
    <col customWidth="1" min="3" max="10" style="1" width="12.875"/>
    <col customWidth="1" min="11" max="11" style="1" width="2.625"/>
    <col customWidth="1" min="12" max="19" style="1" width="12.875"/>
    <col customWidth="1" min="20" max="20" style="1" width="2.625"/>
    <col customWidth="1" min="21" max="28" style="1" width="12.875"/>
    <col customWidth="1" min="29" max="29" style="1" width="9.125"/>
    <col customWidth="1" min="30" max="30" style="1" width="13.75"/>
    <col customWidth="1" min="31" max="38" style="1" width="21.125"/>
    <col customWidth="1" min="39" max="39" style="1" width="82.625"/>
    <col customWidth="1" min="40" max="40" style="1" width="21.125"/>
    <col customWidth="1" min="41" max="45" style="1" width="10.625"/>
    <col min="46" max="16384" style="1" width="11"/>
  </cols>
  <sheetData>
    <row r="1" ht="52.5" customHeight="1">
      <c r="A1" s="2" t="s">
        <v>0</v>
      </c>
      <c r="B1" s="3" t="s">
        <v>119</v>
      </c>
      <c r="C1" s="4"/>
      <c r="D1" s="4"/>
      <c r="E1" s="4"/>
      <c r="F1" s="5"/>
      <c r="G1" s="5"/>
      <c r="H1" s="4"/>
      <c r="I1" s="4"/>
      <c r="J1" s="5"/>
      <c r="K1" s="5"/>
      <c r="L1" s="5"/>
      <c r="M1" s="6"/>
      <c r="N1" s="7" t="s">
        <v>2</v>
      </c>
      <c r="O1" s="8" t="s">
        <v>3</v>
      </c>
      <c r="P1" s="4"/>
      <c r="Q1" s="4"/>
      <c r="R1" s="4"/>
      <c r="S1" s="4"/>
      <c r="T1" s="4"/>
      <c r="U1" s="4"/>
      <c r="V1" s="4"/>
      <c r="W1" s="4"/>
      <c r="X1" s="10"/>
      <c r="Y1" s="11"/>
      <c r="Z1" s="11"/>
      <c r="AA1" s="11"/>
      <c r="AB1" s="12"/>
    </row>
    <row r="2" ht="52.5" customHeight="1">
      <c r="A2" s="13" t="s">
        <v>4</v>
      </c>
      <c r="B2" s="14"/>
      <c r="C2" s="14"/>
      <c r="D2" s="14"/>
      <c r="E2" s="14"/>
      <c r="F2" s="14"/>
      <c r="G2" s="3" t="s">
        <v>120</v>
      </c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10"/>
      <c r="Y2" s="14"/>
      <c r="Z2" s="14"/>
      <c r="AA2" s="14"/>
      <c r="AB2" s="14"/>
    </row>
    <row r="3" ht="52.5" customHeight="1">
      <c r="A3" s="13" t="s">
        <v>6</v>
      </c>
      <c r="B3" s="14"/>
      <c r="C3" s="3" t="s">
        <v>7</v>
      </c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10"/>
      <c r="Y3" s="14"/>
      <c r="Z3" s="14"/>
      <c r="AA3" s="14"/>
      <c r="AB3" s="15"/>
    </row>
    <row r="4" ht="24.949999999999999" customHeight="1">
      <c r="A4" s="13"/>
      <c r="B4" s="14"/>
      <c r="C4" s="14"/>
      <c r="D4" s="14"/>
      <c r="E4" s="14"/>
      <c r="F4" s="14"/>
      <c r="G4" s="14"/>
      <c r="H4" s="14"/>
      <c r="I4" s="14"/>
      <c r="J4" s="14"/>
      <c r="K4" s="14"/>
      <c r="L4" s="14"/>
      <c r="M4" s="14"/>
      <c r="N4" s="14"/>
      <c r="O4" s="14"/>
      <c r="P4" s="14"/>
      <c r="Q4" s="14"/>
      <c r="R4" s="14"/>
      <c r="S4" s="14"/>
      <c r="T4" s="14"/>
      <c r="U4" s="14"/>
      <c r="V4" s="14"/>
      <c r="W4" s="14"/>
      <c r="X4" s="14"/>
      <c r="Y4" s="14"/>
      <c r="Z4" s="14"/>
      <c r="AA4" s="14"/>
      <c r="AB4" s="15"/>
    </row>
    <row r="5" s="16" customFormat="1" ht="75" customHeight="1">
      <c r="A5" s="17" t="s">
        <v>8</v>
      </c>
      <c r="B5" s="18"/>
      <c r="C5" s="19" t="s">
        <v>121</v>
      </c>
      <c r="D5" s="20"/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2" t="s">
        <v>10</v>
      </c>
      <c r="Q5" s="22"/>
      <c r="R5" s="21" t="s">
        <v>11</v>
      </c>
      <c r="S5" s="21"/>
      <c r="T5" s="21"/>
      <c r="U5" s="21"/>
      <c r="V5" s="21"/>
      <c r="W5" s="21"/>
      <c r="X5" s="21"/>
      <c r="Y5" s="21"/>
      <c r="Z5" s="21"/>
      <c r="AA5" s="21"/>
      <c r="AB5" s="21"/>
      <c r="AC5" s="21"/>
    </row>
    <row r="6" ht="8.0999999999999996" customHeight="1">
      <c r="A6" s="23"/>
      <c r="B6" s="14"/>
      <c r="C6" s="14"/>
      <c r="D6" s="14"/>
      <c r="E6" s="14"/>
      <c r="F6" s="14"/>
      <c r="G6" s="14"/>
      <c r="H6" s="14"/>
      <c r="I6" s="14"/>
      <c r="J6" s="14"/>
      <c r="K6" s="14"/>
      <c r="L6" s="14"/>
      <c r="M6" s="14"/>
      <c r="N6" s="14"/>
      <c r="O6" s="14"/>
      <c r="P6" s="14"/>
      <c r="Q6" s="14"/>
      <c r="R6" s="14"/>
      <c r="S6" s="15"/>
      <c r="T6" s="15"/>
      <c r="U6" s="14"/>
      <c r="V6" s="14"/>
      <c r="W6" s="14"/>
      <c r="X6" s="14"/>
      <c r="Y6" s="14"/>
      <c r="Z6" s="14"/>
      <c r="AA6" s="14"/>
      <c r="AB6" s="15"/>
    </row>
    <row r="7" ht="32.25" customHeight="1">
      <c r="A7" s="13"/>
      <c r="B7" s="14"/>
      <c r="C7" s="24" t="s">
        <v>122</v>
      </c>
      <c r="D7" s="25"/>
      <c r="E7" s="25"/>
      <c r="F7" s="25"/>
      <c r="G7" s="25"/>
      <c r="H7" s="25"/>
      <c r="I7" s="25"/>
      <c r="J7" s="25"/>
      <c r="K7" s="253"/>
      <c r="L7" s="25" t="s">
        <v>84</v>
      </c>
      <c r="M7" s="25"/>
      <c r="N7" s="25"/>
      <c r="O7" s="25"/>
      <c r="P7" s="25"/>
      <c r="Q7" s="25"/>
      <c r="R7" s="25"/>
      <c r="S7" s="27"/>
      <c r="T7" s="254"/>
      <c r="U7" s="25" t="s">
        <v>29</v>
      </c>
      <c r="V7" s="25"/>
      <c r="W7" s="25"/>
      <c r="X7" s="25"/>
      <c r="Y7" s="25"/>
      <c r="Z7" s="25"/>
      <c r="AA7" s="25"/>
      <c r="AB7" s="27"/>
      <c r="AC7" s="448"/>
      <c r="AD7" s="448"/>
      <c r="AF7" s="28"/>
      <c r="AG7" s="28"/>
      <c r="AH7" s="28"/>
      <c r="AI7" s="28"/>
      <c r="AJ7" s="28"/>
      <c r="AK7" s="28"/>
      <c r="AL7" s="28"/>
    </row>
    <row r="8" ht="22.699999999999999" customHeight="1">
      <c r="A8" s="13"/>
      <c r="B8" s="14"/>
      <c r="C8" s="29" t="s">
        <v>14</v>
      </c>
      <c r="D8" s="30"/>
      <c r="E8" s="30"/>
      <c r="F8" s="30"/>
      <c r="G8" s="31" t="s">
        <v>85</v>
      </c>
      <c r="H8" s="31"/>
      <c r="I8" s="31"/>
      <c r="J8" s="31"/>
      <c r="K8" s="31"/>
      <c r="L8" s="30" t="s">
        <v>14</v>
      </c>
      <c r="M8" s="30"/>
      <c r="N8" s="30"/>
      <c r="O8" s="30"/>
      <c r="P8" s="31" t="s">
        <v>123</v>
      </c>
      <c r="Q8" s="31"/>
      <c r="R8" s="31"/>
      <c r="S8" s="257"/>
      <c r="T8" s="258"/>
      <c r="U8" s="30" t="s">
        <v>123</v>
      </c>
      <c r="V8" s="30"/>
      <c r="W8" s="30"/>
      <c r="X8" s="30"/>
      <c r="Y8" s="31" t="s">
        <v>85</v>
      </c>
      <c r="Z8" s="31"/>
      <c r="AA8" s="31"/>
      <c r="AB8" s="257"/>
      <c r="AC8" s="448"/>
      <c r="AD8" s="448"/>
    </row>
    <row r="9" ht="18.600000000000001" customHeight="1">
      <c r="A9" s="13"/>
      <c r="B9" s="14"/>
      <c r="C9" s="259" t="s">
        <v>18</v>
      </c>
      <c r="D9" s="260"/>
      <c r="E9" s="39" t="s">
        <v>19</v>
      </c>
      <c r="F9" s="40"/>
      <c r="G9" s="261" t="s">
        <v>18</v>
      </c>
      <c r="H9" s="260"/>
      <c r="I9" s="39" t="s">
        <v>19</v>
      </c>
      <c r="J9" s="40"/>
      <c r="K9" s="41"/>
      <c r="L9" s="261" t="s">
        <v>18</v>
      </c>
      <c r="M9" s="260"/>
      <c r="N9" s="39" t="s">
        <v>19</v>
      </c>
      <c r="O9" s="40"/>
      <c r="P9" s="261" t="s">
        <v>18</v>
      </c>
      <c r="Q9" s="260"/>
      <c r="R9" s="39" t="s">
        <v>19</v>
      </c>
      <c r="S9" s="42"/>
      <c r="T9" s="41"/>
      <c r="U9" s="261" t="s">
        <v>18</v>
      </c>
      <c r="V9" s="260"/>
      <c r="W9" s="39" t="s">
        <v>19</v>
      </c>
      <c r="X9" s="40"/>
      <c r="Y9" s="261" t="s">
        <v>18</v>
      </c>
      <c r="Z9" s="260"/>
      <c r="AA9" s="39" t="s">
        <v>19</v>
      </c>
      <c r="AB9" s="42"/>
      <c r="AC9" s="448"/>
      <c r="AD9" s="448"/>
    </row>
    <row r="10" ht="21">
      <c r="A10" s="43" t="s">
        <v>20</v>
      </c>
      <c r="B10" s="44" t="s">
        <v>21</v>
      </c>
      <c r="C10" s="262" t="s">
        <v>22</v>
      </c>
      <c r="D10" s="52" t="s">
        <v>23</v>
      </c>
      <c r="E10" s="53" t="s">
        <v>22</v>
      </c>
      <c r="F10" s="54" t="s">
        <v>23</v>
      </c>
      <c r="G10" s="51" t="s">
        <v>22</v>
      </c>
      <c r="H10" s="52" t="s">
        <v>23</v>
      </c>
      <c r="I10" s="53" t="s">
        <v>22</v>
      </c>
      <c r="J10" s="54" t="s">
        <v>23</v>
      </c>
      <c r="K10" s="55"/>
      <c r="L10" s="51" t="s">
        <v>22</v>
      </c>
      <c r="M10" s="52" t="s">
        <v>23</v>
      </c>
      <c r="N10" s="53" t="s">
        <v>22</v>
      </c>
      <c r="O10" s="54" t="s">
        <v>23</v>
      </c>
      <c r="P10" s="51" t="s">
        <v>22</v>
      </c>
      <c r="Q10" s="52" t="s">
        <v>23</v>
      </c>
      <c r="R10" s="53" t="s">
        <v>22</v>
      </c>
      <c r="S10" s="56" t="s">
        <v>23</v>
      </c>
      <c r="T10" s="55"/>
      <c r="U10" s="51" t="s">
        <v>22</v>
      </c>
      <c r="V10" s="52" t="s">
        <v>23</v>
      </c>
      <c r="W10" s="53" t="s">
        <v>22</v>
      </c>
      <c r="X10" s="54" t="s">
        <v>23</v>
      </c>
      <c r="Y10" s="51" t="s">
        <v>22</v>
      </c>
      <c r="Z10" s="52" t="s">
        <v>23</v>
      </c>
      <c r="AA10" s="53" t="s">
        <v>22</v>
      </c>
      <c r="AB10" s="56" t="s">
        <v>23</v>
      </c>
      <c r="AC10" s="448"/>
      <c r="AD10" s="448"/>
      <c r="AE10" s="57"/>
    </row>
    <row r="11" ht="54.950000000000003" hidden="1" customHeight="1" outlineLevel="1">
      <c r="A11" s="58">
        <v>6</v>
      </c>
      <c r="B11" s="59" t="s">
        <v>24</v>
      </c>
      <c r="C11" s="264"/>
      <c r="D11" s="265"/>
      <c r="E11" s="266"/>
      <c r="F11" s="267"/>
      <c r="G11" s="268"/>
      <c r="H11" s="265"/>
      <c r="I11" s="266"/>
      <c r="J11" s="267"/>
      <c r="K11" s="70"/>
      <c r="L11" s="268"/>
      <c r="M11" s="265"/>
      <c r="N11" s="266"/>
      <c r="O11" s="267"/>
      <c r="P11" s="268"/>
      <c r="Q11" s="265"/>
      <c r="R11" s="266"/>
      <c r="S11" s="269"/>
      <c r="T11" s="70"/>
      <c r="U11" s="268"/>
      <c r="V11" s="265"/>
      <c r="W11" s="266"/>
      <c r="X11" s="267"/>
      <c r="Y11" s="268"/>
      <c r="Z11" s="265"/>
      <c r="AA11" s="266"/>
      <c r="AB11" s="269"/>
      <c r="AC11" s="448"/>
      <c r="AD11" s="448"/>
      <c r="AE11" s="72"/>
      <c r="AF11" s="72"/>
      <c r="AG11" s="72"/>
      <c r="AH11" s="72"/>
      <c r="AI11" s="72"/>
      <c r="AJ11" s="72"/>
      <c r="AK11" s="72"/>
      <c r="AL11" s="72"/>
    </row>
    <row r="12" ht="54.950000000000003" hidden="1" customHeight="1" outlineLevel="1">
      <c r="A12" s="58"/>
      <c r="B12" s="59" t="s">
        <v>25</v>
      </c>
      <c r="C12" s="264"/>
      <c r="D12" s="265"/>
      <c r="E12" s="266"/>
      <c r="F12" s="267"/>
      <c r="G12" s="268"/>
      <c r="H12" s="265"/>
      <c r="I12" s="266"/>
      <c r="J12" s="267"/>
      <c r="K12" s="70"/>
      <c r="L12" s="268"/>
      <c r="M12" s="265"/>
      <c r="N12" s="266"/>
      <c r="O12" s="267"/>
      <c r="P12" s="268"/>
      <c r="Q12" s="265"/>
      <c r="R12" s="266"/>
      <c r="S12" s="269"/>
      <c r="T12" s="70"/>
      <c r="U12" s="268"/>
      <c r="V12" s="265"/>
      <c r="W12" s="266"/>
      <c r="X12" s="267"/>
      <c r="Y12" s="268"/>
      <c r="Z12" s="265"/>
      <c r="AA12" s="266"/>
      <c r="AB12" s="269"/>
      <c r="AC12" s="448"/>
      <c r="AD12" s="448"/>
      <c r="AE12" s="72"/>
      <c r="AF12" s="72"/>
      <c r="AG12" s="72"/>
      <c r="AH12" s="72"/>
      <c r="AI12" s="72"/>
      <c r="AJ12" s="72"/>
      <c r="AK12" s="72"/>
      <c r="AL12" s="72"/>
    </row>
    <row r="13" ht="54.950000000000003" customHeight="1" collapsed="1">
      <c r="A13" s="58">
        <v>7</v>
      </c>
      <c r="B13" s="59" t="s">
        <v>26</v>
      </c>
      <c r="C13" s="73"/>
      <c r="D13" s="74"/>
      <c r="E13" s="75"/>
      <c r="F13" s="76"/>
      <c r="G13" s="77"/>
      <c r="H13" s="74"/>
      <c r="I13" s="75"/>
      <c r="J13" s="76"/>
      <c r="K13" s="70"/>
      <c r="L13" s="73"/>
      <c r="M13" s="74"/>
      <c r="N13" s="75"/>
      <c r="O13" s="76"/>
      <c r="P13" s="77">
        <v>1</v>
      </c>
      <c r="Q13" s="74">
        <v>1</v>
      </c>
      <c r="R13" s="75"/>
      <c r="S13" s="76"/>
      <c r="T13" s="70"/>
      <c r="U13" s="73"/>
      <c r="V13" s="74">
        <v>5</v>
      </c>
      <c r="W13" s="75">
        <v>2</v>
      </c>
      <c r="X13" s="76">
        <v>1</v>
      </c>
      <c r="Y13" s="77"/>
      <c r="Z13" s="74"/>
      <c r="AA13" s="75"/>
      <c r="AB13" s="76"/>
      <c r="AC13" s="448"/>
      <c r="AD13" s="448"/>
      <c r="AE13" s="72"/>
      <c r="AF13" s="72"/>
      <c r="AG13" s="72"/>
      <c r="AH13" s="72"/>
      <c r="AI13" s="72"/>
      <c r="AJ13" s="72"/>
      <c r="AK13" s="72"/>
      <c r="AL13" s="72"/>
    </row>
    <row r="14" ht="54.950000000000003" customHeight="1">
      <c r="A14" s="58"/>
      <c r="B14" s="59" t="s">
        <v>27</v>
      </c>
      <c r="C14" s="78"/>
      <c r="D14" s="79"/>
      <c r="E14" s="80"/>
      <c r="F14" s="81"/>
      <c r="G14" s="82"/>
      <c r="H14" s="79"/>
      <c r="I14" s="80"/>
      <c r="J14" s="81"/>
      <c r="K14" s="70"/>
      <c r="L14" s="78"/>
      <c r="M14" s="79"/>
      <c r="N14" s="80"/>
      <c r="O14" s="81"/>
      <c r="P14" s="82"/>
      <c r="Q14" s="79"/>
      <c r="R14" s="80"/>
      <c r="S14" s="81"/>
      <c r="T14" s="70"/>
      <c r="U14" s="78">
        <v>1</v>
      </c>
      <c r="V14" s="79">
        <v>1</v>
      </c>
      <c r="W14" s="80">
        <v>2</v>
      </c>
      <c r="X14" s="81"/>
      <c r="Y14" s="82"/>
      <c r="Z14" s="79"/>
      <c r="AA14" s="80"/>
      <c r="AB14" s="81"/>
      <c r="AC14" s="448"/>
      <c r="AD14" s="448"/>
      <c r="AE14" s="72"/>
      <c r="AF14" s="72"/>
      <c r="AG14" s="72"/>
      <c r="AH14" s="72"/>
      <c r="AI14" s="72"/>
      <c r="AJ14" s="72"/>
      <c r="AK14" s="72"/>
      <c r="AL14" s="72"/>
    </row>
    <row r="15" ht="54.950000000000003" customHeight="1">
      <c r="A15" s="58"/>
      <c r="B15" s="59" t="s">
        <v>24</v>
      </c>
      <c r="C15" s="83"/>
      <c r="D15" s="84"/>
      <c r="E15" s="85"/>
      <c r="F15" s="86"/>
      <c r="G15" s="87"/>
      <c r="H15" s="84"/>
      <c r="I15" s="85"/>
      <c r="J15" s="86"/>
      <c r="K15" s="70"/>
      <c r="L15" s="83"/>
      <c r="M15" s="84"/>
      <c r="N15" s="85"/>
      <c r="O15" s="86"/>
      <c r="P15" s="87"/>
      <c r="Q15" s="84">
        <v>1</v>
      </c>
      <c r="R15" s="85"/>
      <c r="S15" s="86"/>
      <c r="T15" s="70"/>
      <c r="U15" s="83">
        <v>1</v>
      </c>
      <c r="V15" s="84">
        <v>3</v>
      </c>
      <c r="W15" s="85">
        <v>2</v>
      </c>
      <c r="X15" s="86"/>
      <c r="Y15" s="87"/>
      <c r="Z15" s="84"/>
      <c r="AA15" s="85"/>
      <c r="AB15" s="86"/>
      <c r="AC15" s="448"/>
      <c r="AD15" s="448"/>
      <c r="AE15" s="72"/>
      <c r="AF15" s="72"/>
      <c r="AG15" s="72"/>
      <c r="AH15" s="72"/>
      <c r="AI15" s="72"/>
      <c r="AJ15" s="72"/>
      <c r="AK15" s="72"/>
      <c r="AL15" s="72"/>
    </row>
    <row r="16" ht="54.950000000000003" customHeight="1">
      <c r="A16" s="58"/>
      <c r="B16" s="59" t="s">
        <v>25</v>
      </c>
      <c r="C16" s="88"/>
      <c r="D16" s="89">
        <v>2</v>
      </c>
      <c r="E16" s="90"/>
      <c r="F16" s="91"/>
      <c r="G16" s="92"/>
      <c r="H16" s="89"/>
      <c r="I16" s="90"/>
      <c r="J16" s="91"/>
      <c r="K16" s="70"/>
      <c r="L16" s="88"/>
      <c r="M16" s="89"/>
      <c r="N16" s="90"/>
      <c r="O16" s="91"/>
      <c r="P16" s="92">
        <v>2</v>
      </c>
      <c r="Q16" s="89"/>
      <c r="R16" s="90"/>
      <c r="S16" s="91"/>
      <c r="T16" s="70"/>
      <c r="U16" s="88">
        <v>2</v>
      </c>
      <c r="V16" s="89">
        <v>1</v>
      </c>
      <c r="W16" s="90"/>
      <c r="X16" s="91">
        <v>1</v>
      </c>
      <c r="Y16" s="92"/>
      <c r="Z16" s="89"/>
      <c r="AA16" s="90"/>
      <c r="AB16" s="91"/>
      <c r="AC16" s="448"/>
      <c r="AD16" s="448"/>
      <c r="AE16" s="72"/>
      <c r="AF16" s="72"/>
      <c r="AG16" s="72"/>
      <c r="AH16" s="72"/>
      <c r="AI16" s="72"/>
      <c r="AJ16" s="72"/>
      <c r="AK16" s="72"/>
      <c r="AL16" s="72"/>
    </row>
    <row r="17" ht="54.950000000000003" customHeight="1">
      <c r="A17" s="58">
        <v>8</v>
      </c>
      <c r="B17" s="59" t="s">
        <v>26</v>
      </c>
      <c r="C17" s="73"/>
      <c r="D17" s="74">
        <v>1</v>
      </c>
      <c r="E17" s="75"/>
      <c r="F17" s="76"/>
      <c r="G17" s="77"/>
      <c r="H17" s="74"/>
      <c r="I17" s="75"/>
      <c r="J17" s="76"/>
      <c r="K17" s="70"/>
      <c r="L17" s="73"/>
      <c r="M17" s="74"/>
      <c r="N17" s="75"/>
      <c r="O17" s="76"/>
      <c r="P17" s="77"/>
      <c r="Q17" s="74">
        <v>2</v>
      </c>
      <c r="R17" s="75">
        <v>2</v>
      </c>
      <c r="S17" s="76"/>
      <c r="T17" s="70"/>
      <c r="U17" s="73">
        <v>1</v>
      </c>
      <c r="V17" s="74"/>
      <c r="W17" s="75">
        <v>1</v>
      </c>
      <c r="X17" s="76"/>
      <c r="Y17" s="77"/>
      <c r="Z17" s="74"/>
      <c r="AA17" s="75"/>
      <c r="AB17" s="76"/>
      <c r="AC17" s="448"/>
      <c r="AD17" s="448"/>
      <c r="AE17" s="72"/>
      <c r="AF17" s="72"/>
      <c r="AG17" s="72"/>
      <c r="AH17" s="72"/>
      <c r="AI17" s="72"/>
      <c r="AJ17" s="72"/>
      <c r="AK17" s="72"/>
      <c r="AL17" s="72"/>
    </row>
    <row r="18" ht="54.950000000000003" customHeight="1">
      <c r="A18" s="58"/>
      <c r="B18" s="59" t="s">
        <v>27</v>
      </c>
      <c r="C18" s="78"/>
      <c r="D18" s="79">
        <v>2</v>
      </c>
      <c r="E18" s="80"/>
      <c r="F18" s="81"/>
      <c r="G18" s="82"/>
      <c r="H18" s="79"/>
      <c r="I18" s="80"/>
      <c r="J18" s="81"/>
      <c r="K18" s="70"/>
      <c r="L18" s="78"/>
      <c r="M18" s="79"/>
      <c r="N18" s="80"/>
      <c r="O18" s="81"/>
      <c r="P18" s="82">
        <v>3</v>
      </c>
      <c r="Q18" s="79"/>
      <c r="R18" s="80"/>
      <c r="S18" s="81"/>
      <c r="T18" s="70"/>
      <c r="U18" s="78"/>
      <c r="V18" s="79"/>
      <c r="W18" s="80">
        <v>2</v>
      </c>
      <c r="X18" s="81"/>
      <c r="Y18" s="82"/>
      <c r="Z18" s="79"/>
      <c r="AA18" s="80"/>
      <c r="AB18" s="81"/>
      <c r="AC18" s="448"/>
      <c r="AD18" s="448"/>
      <c r="AE18" s="72"/>
      <c r="AF18" s="72"/>
      <c r="AG18" s="72"/>
      <c r="AH18" s="72"/>
      <c r="AI18" s="72"/>
      <c r="AJ18" s="72"/>
      <c r="AK18" s="72"/>
      <c r="AL18" s="72"/>
    </row>
    <row r="19" ht="54.950000000000003" customHeight="1">
      <c r="A19" s="58"/>
      <c r="B19" s="59" t="s">
        <v>24</v>
      </c>
      <c r="C19" s="83">
        <v>1</v>
      </c>
      <c r="D19" s="84"/>
      <c r="E19" s="85"/>
      <c r="F19" s="86"/>
      <c r="G19" s="87"/>
      <c r="H19" s="84">
        <v>1</v>
      </c>
      <c r="I19" s="85"/>
      <c r="J19" s="86"/>
      <c r="K19" s="70"/>
      <c r="L19" s="83"/>
      <c r="M19" s="84"/>
      <c r="N19" s="85"/>
      <c r="O19" s="86"/>
      <c r="P19" s="87"/>
      <c r="Q19" s="84"/>
      <c r="R19" s="85"/>
      <c r="S19" s="86"/>
      <c r="T19" s="70"/>
      <c r="U19" s="83"/>
      <c r="V19" s="84">
        <v>1</v>
      </c>
      <c r="W19" s="85">
        <v>1</v>
      </c>
      <c r="X19" s="86"/>
      <c r="Y19" s="87"/>
      <c r="Z19" s="84"/>
      <c r="AA19" s="85"/>
      <c r="AB19" s="86"/>
      <c r="AC19" s="448"/>
      <c r="AD19" s="448"/>
      <c r="AE19" s="72"/>
      <c r="AF19" s="72"/>
      <c r="AG19" s="72"/>
      <c r="AH19" s="72"/>
      <c r="AI19" s="72"/>
      <c r="AJ19" s="72"/>
      <c r="AK19" s="72"/>
      <c r="AL19" s="72"/>
    </row>
    <row r="20" ht="54.950000000000003" customHeight="1">
      <c r="A20" s="58"/>
      <c r="B20" s="59" t="s">
        <v>25</v>
      </c>
      <c r="C20" s="88"/>
      <c r="D20" s="89">
        <v>1</v>
      </c>
      <c r="E20" s="90"/>
      <c r="F20" s="91"/>
      <c r="G20" s="92"/>
      <c r="H20" s="89"/>
      <c r="I20" s="90"/>
      <c r="J20" s="91"/>
      <c r="K20" s="70"/>
      <c r="L20" s="88"/>
      <c r="M20" s="89"/>
      <c r="N20" s="90"/>
      <c r="O20" s="91"/>
      <c r="P20" s="92"/>
      <c r="Q20" s="89"/>
      <c r="R20" s="90"/>
      <c r="S20" s="91"/>
      <c r="T20" s="70"/>
      <c r="U20" s="88">
        <v>1</v>
      </c>
      <c r="V20" s="89">
        <v>1</v>
      </c>
      <c r="W20" s="90"/>
      <c r="X20" s="91"/>
      <c r="Y20" s="92"/>
      <c r="Z20" s="89"/>
      <c r="AA20" s="90"/>
      <c r="AB20" s="91"/>
      <c r="AC20" s="448"/>
      <c r="AD20" s="448"/>
      <c r="AE20" s="72"/>
      <c r="AF20" s="72"/>
      <c r="AG20" s="72"/>
      <c r="AH20" s="72"/>
      <c r="AI20" s="72"/>
      <c r="AJ20" s="72"/>
      <c r="AK20" s="72"/>
      <c r="AL20" s="72"/>
    </row>
    <row r="21" ht="54.950000000000003" hidden="1" customHeight="1" outlineLevel="1">
      <c r="A21" s="58">
        <v>9</v>
      </c>
      <c r="B21" s="59" t="s">
        <v>26</v>
      </c>
      <c r="C21" s="264"/>
      <c r="D21" s="265"/>
      <c r="E21" s="266"/>
      <c r="F21" s="267"/>
      <c r="G21" s="268"/>
      <c r="H21" s="265"/>
      <c r="I21" s="266"/>
      <c r="J21" s="267"/>
      <c r="K21" s="70"/>
      <c r="L21" s="268"/>
      <c r="M21" s="265"/>
      <c r="N21" s="266"/>
      <c r="O21" s="267"/>
      <c r="P21" s="268"/>
      <c r="Q21" s="265"/>
      <c r="R21" s="266"/>
      <c r="S21" s="269"/>
      <c r="T21" s="70"/>
      <c r="U21" s="268"/>
      <c r="V21" s="265"/>
      <c r="W21" s="266"/>
      <c r="X21" s="267"/>
      <c r="Y21" s="268"/>
      <c r="Z21" s="265"/>
      <c r="AA21" s="266"/>
      <c r="AB21" s="269"/>
      <c r="AC21" s="448"/>
      <c r="AD21" s="448"/>
      <c r="AE21" s="72"/>
      <c r="AF21" s="72"/>
      <c r="AG21" s="72"/>
      <c r="AH21" s="72"/>
      <c r="AI21" s="72"/>
      <c r="AJ21" s="72"/>
      <c r="AK21" s="72"/>
      <c r="AL21" s="72"/>
    </row>
    <row r="22" ht="54.950000000000003" hidden="1" customHeight="1" outlineLevel="1">
      <c r="A22" s="93"/>
      <c r="B22" s="94" t="s">
        <v>27</v>
      </c>
      <c r="C22" s="271"/>
      <c r="D22" s="272"/>
      <c r="E22" s="273"/>
      <c r="F22" s="274"/>
      <c r="G22" s="275"/>
      <c r="H22" s="272"/>
      <c r="I22" s="273"/>
      <c r="J22" s="274"/>
      <c r="K22" s="70"/>
      <c r="L22" s="275"/>
      <c r="M22" s="272"/>
      <c r="N22" s="273"/>
      <c r="O22" s="274"/>
      <c r="P22" s="275"/>
      <c r="Q22" s="272"/>
      <c r="R22" s="273"/>
      <c r="S22" s="276"/>
      <c r="T22" s="70"/>
      <c r="U22" s="275"/>
      <c r="V22" s="272"/>
      <c r="W22" s="273"/>
      <c r="X22" s="274"/>
      <c r="Y22" s="275"/>
      <c r="Z22" s="272"/>
      <c r="AA22" s="273"/>
      <c r="AB22" s="276"/>
      <c r="AC22" s="448"/>
      <c r="AD22" s="448"/>
      <c r="AE22" s="72"/>
      <c r="AF22" s="72"/>
      <c r="AG22" s="72"/>
      <c r="AH22" s="72"/>
      <c r="AI22" s="72"/>
      <c r="AJ22" s="72"/>
      <c r="AK22" s="72"/>
      <c r="AL22" s="72"/>
    </row>
    <row r="23" ht="24.949999999999999" customHeight="1" collapsed="1">
      <c r="A23" s="106"/>
      <c r="B23" s="106"/>
      <c r="C23" s="107"/>
      <c r="D23" s="107"/>
      <c r="E23" s="107"/>
      <c r="F23" s="107"/>
      <c r="G23" s="107"/>
      <c r="H23" s="107"/>
      <c r="I23" s="107"/>
      <c r="J23" s="107"/>
      <c r="K23" s="70"/>
      <c r="L23" s="107"/>
      <c r="M23" s="107"/>
      <c r="N23" s="107"/>
      <c r="O23" s="107"/>
      <c r="P23" s="107"/>
      <c r="Q23" s="107"/>
      <c r="R23" s="107"/>
      <c r="S23" s="107"/>
      <c r="T23" s="70"/>
      <c r="U23" s="107"/>
      <c r="V23" s="107"/>
      <c r="W23" s="107"/>
      <c r="X23" s="107"/>
      <c r="Y23" s="107"/>
      <c r="Z23" s="107"/>
      <c r="AA23" s="107"/>
      <c r="AB23" s="107"/>
      <c r="AC23" s="72"/>
      <c r="AD23" s="72"/>
      <c r="AE23" s="72"/>
      <c r="AF23" s="72"/>
      <c r="AG23" s="72"/>
      <c r="AH23" s="72"/>
    </row>
    <row r="24" ht="75" customHeight="1" outlineLevel="1">
      <c r="A24" s="17"/>
      <c r="B24" s="18"/>
      <c r="C24" s="19"/>
      <c r="D24" s="20"/>
      <c r="E24" s="20"/>
      <c r="F24" s="20"/>
      <c r="G24" s="20"/>
      <c r="H24" s="20"/>
      <c r="I24" s="20"/>
      <c r="J24" s="20"/>
      <c r="K24" s="20"/>
      <c r="L24" s="20"/>
      <c r="M24" s="20"/>
      <c r="N24" s="20"/>
      <c r="O24" s="809"/>
      <c r="P24" s="108"/>
      <c r="Q24" s="108"/>
      <c r="R24" s="108"/>
      <c r="S24" s="108"/>
      <c r="T24" s="108"/>
      <c r="U24" s="108"/>
      <c r="V24" s="108"/>
      <c r="W24" s="108"/>
      <c r="X24" s="108"/>
      <c r="Y24" s="108"/>
      <c r="Z24" s="108"/>
      <c r="AA24" s="108"/>
      <c r="AB24" s="109"/>
    </row>
    <row r="25" ht="32.25" customHeight="1">
      <c r="A25" s="118"/>
      <c r="B25" s="115"/>
      <c r="C25" s="119" t="str">
        <f t="shared" ref="C25:C26" si="261">C7</f>
        <v xml:space="preserve">Depuis 'Pas-de-l'Echelle'</v>
      </c>
      <c r="D25" s="120"/>
      <c r="E25" s="120"/>
      <c r="F25" s="120"/>
      <c r="G25" s="120"/>
      <c r="H25" s="120"/>
      <c r="I25" s="120"/>
      <c r="J25" s="120"/>
      <c r="K25" s="120"/>
      <c r="L25" s="120" t="str">
        <f t="shared" ref="L25:L26" si="262">L7</f>
        <v xml:space="preserve">Depuis 'Annemasse'</v>
      </c>
      <c r="M25" s="120"/>
      <c r="N25" s="120"/>
      <c r="O25" s="120"/>
      <c r="P25" s="120"/>
      <c r="Q25" s="120"/>
      <c r="R25" s="120"/>
      <c r="S25" s="122"/>
      <c r="T25" s="486"/>
      <c r="U25" s="120" t="str">
        <f t="shared" ref="U25:U26" si="263">U7</f>
        <v xml:space="preserve">Depuis 'Reignier'</v>
      </c>
      <c r="V25" s="120"/>
      <c r="W25" s="120"/>
      <c r="X25" s="120"/>
      <c r="Y25" s="120"/>
      <c r="Z25" s="120"/>
      <c r="AA25" s="120"/>
      <c r="AB25" s="122"/>
      <c r="AC25" s="118"/>
      <c r="AD25" s="115"/>
      <c r="AE25" s="123" t="s">
        <v>31</v>
      </c>
      <c r="AF25" s="124" t="s">
        <v>32</v>
      </c>
      <c r="AG25" s="124" t="s">
        <v>33</v>
      </c>
      <c r="AH25" s="124" t="s">
        <v>34</v>
      </c>
      <c r="AI25" s="124" t="s">
        <v>58</v>
      </c>
      <c r="AJ25" s="487" t="s">
        <v>60</v>
      </c>
      <c r="AK25" s="489" t="s">
        <v>124</v>
      </c>
      <c r="AL25" s="490" t="s">
        <v>88</v>
      </c>
      <c r="AM25" s="451"/>
      <c r="AN25" s="452"/>
    </row>
    <row r="26" ht="22.699999999999999" customHeight="1">
      <c r="A26" s="118"/>
      <c r="B26" s="115"/>
      <c r="C26" s="129" t="str">
        <f t="shared" si="261"/>
        <v xml:space="preserve">vers 'Reignier'</v>
      </c>
      <c r="D26" s="130"/>
      <c r="E26" s="130"/>
      <c r="F26" s="130"/>
      <c r="G26" s="129" t="str">
        <f>G8</f>
        <v xml:space="preserve">vers 'Annemasse'</v>
      </c>
      <c r="H26" s="130"/>
      <c r="I26" s="130"/>
      <c r="J26" s="130"/>
      <c r="K26" s="131"/>
      <c r="L26" s="129" t="str">
        <f t="shared" si="262"/>
        <v xml:space="preserve">vers 'Reignier'</v>
      </c>
      <c r="M26" s="130"/>
      <c r="N26" s="130"/>
      <c r="O26" s="130"/>
      <c r="P26" s="129" t="str">
        <f>P8</f>
        <v xml:space="preserve">vers 'Pas-de-l'Echelle'</v>
      </c>
      <c r="Q26" s="130"/>
      <c r="R26" s="130"/>
      <c r="S26" s="130"/>
      <c r="T26" s="131"/>
      <c r="U26" s="129" t="str">
        <f t="shared" si="263"/>
        <v xml:space="preserve">vers 'Pas-de-l'Echelle'</v>
      </c>
      <c r="V26" s="130"/>
      <c r="W26" s="130"/>
      <c r="X26" s="130"/>
      <c r="Y26" s="129" t="str">
        <f>Y8</f>
        <v xml:space="preserve">vers 'Annemasse'</v>
      </c>
      <c r="Z26" s="130"/>
      <c r="AA26" s="130"/>
      <c r="AB26" s="132"/>
      <c r="AC26" s="118"/>
      <c r="AD26" s="115"/>
      <c r="AE26" s="133"/>
      <c r="AF26" s="134"/>
      <c r="AG26" s="134"/>
      <c r="AH26" s="134"/>
      <c r="AI26" s="134"/>
      <c r="AJ26" s="491"/>
      <c r="AK26" s="493"/>
      <c r="AL26" s="494"/>
      <c r="AM26" s="454"/>
      <c r="AN26" s="455"/>
    </row>
    <row r="27" ht="18.600000000000001" customHeight="1">
      <c r="A27" s="118"/>
      <c r="B27" s="115"/>
      <c r="C27" s="495" t="s">
        <v>18</v>
      </c>
      <c r="D27" s="496"/>
      <c r="E27" s="497" t="s">
        <v>19</v>
      </c>
      <c r="F27" s="498"/>
      <c r="G27" s="499" t="s">
        <v>18</v>
      </c>
      <c r="H27" s="496"/>
      <c r="I27" s="497" t="s">
        <v>19</v>
      </c>
      <c r="J27" s="498"/>
      <c r="K27" s="500"/>
      <c r="L27" s="499" t="s">
        <v>18</v>
      </c>
      <c r="M27" s="496"/>
      <c r="N27" s="497" t="s">
        <v>19</v>
      </c>
      <c r="O27" s="498"/>
      <c r="P27" s="499" t="s">
        <v>18</v>
      </c>
      <c r="Q27" s="496"/>
      <c r="R27" s="497" t="s">
        <v>19</v>
      </c>
      <c r="S27" s="501"/>
      <c r="T27" s="500"/>
      <c r="U27" s="499" t="s">
        <v>18</v>
      </c>
      <c r="V27" s="496"/>
      <c r="W27" s="497" t="s">
        <v>19</v>
      </c>
      <c r="X27" s="498"/>
      <c r="Y27" s="499" t="s">
        <v>18</v>
      </c>
      <c r="Z27" s="496"/>
      <c r="AA27" s="502" t="s">
        <v>19</v>
      </c>
      <c r="AB27" s="503"/>
      <c r="AC27" s="118"/>
      <c r="AD27" s="115"/>
      <c r="AE27" s="133"/>
      <c r="AF27" s="134"/>
      <c r="AG27" s="134"/>
      <c r="AH27" s="134"/>
      <c r="AI27" s="134"/>
      <c r="AJ27" s="491"/>
      <c r="AK27" s="493"/>
      <c r="AL27" s="494"/>
      <c r="AM27" s="454"/>
      <c r="AN27" s="455"/>
    </row>
    <row r="28" ht="21">
      <c r="A28" s="144" t="s">
        <v>39</v>
      </c>
      <c r="B28" s="145"/>
      <c r="C28" s="504" t="s">
        <v>22</v>
      </c>
      <c r="D28" s="505" t="s">
        <v>23</v>
      </c>
      <c r="E28" s="506" t="s">
        <v>22</v>
      </c>
      <c r="F28" s="507" t="s">
        <v>23</v>
      </c>
      <c r="G28" s="508" t="s">
        <v>22</v>
      </c>
      <c r="H28" s="505" t="s">
        <v>23</v>
      </c>
      <c r="I28" s="506" t="s">
        <v>22</v>
      </c>
      <c r="J28" s="507" t="s">
        <v>23</v>
      </c>
      <c r="K28" s="150"/>
      <c r="L28" s="508" t="s">
        <v>22</v>
      </c>
      <c r="M28" s="505" t="s">
        <v>23</v>
      </c>
      <c r="N28" s="506" t="s">
        <v>22</v>
      </c>
      <c r="O28" s="507" t="s">
        <v>23</v>
      </c>
      <c r="P28" s="508" t="s">
        <v>22</v>
      </c>
      <c r="Q28" s="505" t="s">
        <v>23</v>
      </c>
      <c r="R28" s="506" t="s">
        <v>22</v>
      </c>
      <c r="S28" s="509" t="s">
        <v>23</v>
      </c>
      <c r="T28" s="150"/>
      <c r="U28" s="508" t="s">
        <v>22</v>
      </c>
      <c r="V28" s="505" t="s">
        <v>23</v>
      </c>
      <c r="W28" s="506" t="s">
        <v>22</v>
      </c>
      <c r="X28" s="507" t="s">
        <v>23</v>
      </c>
      <c r="Y28" s="508" t="s">
        <v>22</v>
      </c>
      <c r="Z28" s="505" t="s">
        <v>23</v>
      </c>
      <c r="AA28" s="506" t="s">
        <v>22</v>
      </c>
      <c r="AB28" s="509" t="s">
        <v>23</v>
      </c>
      <c r="AC28" s="151" t="s">
        <v>39</v>
      </c>
      <c r="AD28" s="152"/>
      <c r="AE28" s="133"/>
      <c r="AF28" s="153"/>
      <c r="AG28" s="153"/>
      <c r="AH28" s="153"/>
      <c r="AI28" s="153"/>
      <c r="AJ28" s="510"/>
      <c r="AK28" s="512"/>
      <c r="AL28" s="513"/>
      <c r="AM28" s="457"/>
      <c r="AN28" s="458"/>
    </row>
    <row r="29" ht="54.950000000000003" customHeight="1">
      <c r="A29" s="158" t="s">
        <v>40</v>
      </c>
      <c r="B29" s="159"/>
      <c r="C29" s="514">
        <f t="shared" ref="C29:AB29" si="264">SUM(C11:C14)</f>
        <v>0</v>
      </c>
      <c r="D29" s="515">
        <f t="shared" si="264"/>
        <v>0</v>
      </c>
      <c r="E29" s="516">
        <f t="shared" si="264"/>
        <v>0</v>
      </c>
      <c r="F29" s="517">
        <f t="shared" si="264"/>
        <v>0</v>
      </c>
      <c r="G29" s="518">
        <f t="shared" si="264"/>
        <v>0</v>
      </c>
      <c r="H29" s="515">
        <f t="shared" si="264"/>
        <v>0</v>
      </c>
      <c r="I29" s="516">
        <f t="shared" si="264"/>
        <v>0</v>
      </c>
      <c r="J29" s="517">
        <f t="shared" si="264"/>
        <v>0</v>
      </c>
      <c r="K29" s="519"/>
      <c r="L29" s="518">
        <f t="shared" si="264"/>
        <v>0</v>
      </c>
      <c r="M29" s="515">
        <f t="shared" si="264"/>
        <v>0</v>
      </c>
      <c r="N29" s="516">
        <f t="shared" si="264"/>
        <v>0</v>
      </c>
      <c r="O29" s="517">
        <f t="shared" si="264"/>
        <v>0</v>
      </c>
      <c r="P29" s="518">
        <f t="shared" si="264"/>
        <v>1</v>
      </c>
      <c r="Q29" s="515">
        <f t="shared" si="264"/>
        <v>1</v>
      </c>
      <c r="R29" s="516">
        <f t="shared" si="264"/>
        <v>0</v>
      </c>
      <c r="S29" s="520">
        <f t="shared" si="264"/>
        <v>0</v>
      </c>
      <c r="T29" s="519"/>
      <c r="U29" s="518">
        <f t="shared" si="264"/>
        <v>1</v>
      </c>
      <c r="V29" s="515">
        <f t="shared" si="264"/>
        <v>6</v>
      </c>
      <c r="W29" s="516">
        <f t="shared" si="264"/>
        <v>4</v>
      </c>
      <c r="X29" s="517">
        <f t="shared" si="264"/>
        <v>1</v>
      </c>
      <c r="Y29" s="518">
        <f t="shared" si="264"/>
        <v>0</v>
      </c>
      <c r="Z29" s="515">
        <f t="shared" si="264"/>
        <v>0</v>
      </c>
      <c r="AA29" s="516">
        <f t="shared" si="264"/>
        <v>0</v>
      </c>
      <c r="AB29" s="520">
        <f t="shared" si="264"/>
        <v>0</v>
      </c>
      <c r="AC29" s="521" t="s">
        <v>40</v>
      </c>
      <c r="AD29" s="522"/>
      <c r="AE29" s="523">
        <f t="shared" ref="AE29:AE35" si="265">SUM(C29:AB29)</f>
        <v>14</v>
      </c>
      <c r="AF29" s="168">
        <f t="shared" ref="AF29:AF35" si="266">IF(AE29=0,0,AF41/AE29)</f>
        <v>0.42857142857142855</v>
      </c>
      <c r="AG29" s="168">
        <f t="shared" ref="AG29:AG35" si="267">IF(AE29=0,0,AG41/AE29)</f>
        <v>0.35714285714285715</v>
      </c>
      <c r="AH29" s="168">
        <f t="shared" ref="AH29:AH35" si="268">IF(AG41=0,0,AH41/AG41)</f>
        <v>0.80000000000000004</v>
      </c>
      <c r="AI29" s="168">
        <f t="shared" ref="AI29:AI35" si="269">IF(AE29=0,0,AI41/AE29)</f>
        <v>1</v>
      </c>
      <c r="AJ29" s="525">
        <f t="shared" ref="AJ29:AJ35" si="270">SUM(U29:AB29)</f>
        <v>12</v>
      </c>
      <c r="AK29" s="525" t="e">
        <f>#REF!</f>
        <v>#REF!</v>
      </c>
      <c r="AL29" s="526" t="e">
        <f t="shared" ref="AL29:AL35" si="271">AK29-AJ29</f>
        <v>#REF!</v>
      </c>
      <c r="AM29" s="527"/>
      <c r="AN29" s="528"/>
    </row>
    <row r="30" ht="54.950000000000003" customHeight="1">
      <c r="A30" s="173" t="s">
        <v>41</v>
      </c>
      <c r="B30" s="174"/>
      <c r="C30" s="529">
        <f t="shared" ref="C30:AB30" si="272">SUM(C13:C16)</f>
        <v>0</v>
      </c>
      <c r="D30" s="530">
        <f t="shared" si="272"/>
        <v>2</v>
      </c>
      <c r="E30" s="531">
        <f t="shared" si="272"/>
        <v>0</v>
      </c>
      <c r="F30" s="532">
        <f t="shared" si="272"/>
        <v>0</v>
      </c>
      <c r="G30" s="533">
        <f t="shared" si="272"/>
        <v>0</v>
      </c>
      <c r="H30" s="530">
        <f t="shared" si="272"/>
        <v>0</v>
      </c>
      <c r="I30" s="531">
        <f t="shared" si="272"/>
        <v>0</v>
      </c>
      <c r="J30" s="532">
        <f t="shared" si="272"/>
        <v>0</v>
      </c>
      <c r="K30" s="534"/>
      <c r="L30" s="533">
        <f t="shared" si="272"/>
        <v>0</v>
      </c>
      <c r="M30" s="530">
        <f t="shared" si="272"/>
        <v>0</v>
      </c>
      <c r="N30" s="531">
        <f t="shared" si="272"/>
        <v>0</v>
      </c>
      <c r="O30" s="532">
        <f t="shared" si="272"/>
        <v>0</v>
      </c>
      <c r="P30" s="533">
        <f t="shared" si="272"/>
        <v>3</v>
      </c>
      <c r="Q30" s="530">
        <f t="shared" si="272"/>
        <v>2</v>
      </c>
      <c r="R30" s="531">
        <f t="shared" si="272"/>
        <v>0</v>
      </c>
      <c r="S30" s="535">
        <f t="shared" si="272"/>
        <v>0</v>
      </c>
      <c r="T30" s="534"/>
      <c r="U30" s="533">
        <f t="shared" si="272"/>
        <v>4</v>
      </c>
      <c r="V30" s="530">
        <f t="shared" si="272"/>
        <v>10</v>
      </c>
      <c r="W30" s="531">
        <f t="shared" si="272"/>
        <v>6</v>
      </c>
      <c r="X30" s="532">
        <f t="shared" si="272"/>
        <v>2</v>
      </c>
      <c r="Y30" s="533">
        <f t="shared" si="272"/>
        <v>0</v>
      </c>
      <c r="Z30" s="530">
        <f t="shared" si="272"/>
        <v>0</v>
      </c>
      <c r="AA30" s="531">
        <f t="shared" si="272"/>
        <v>0</v>
      </c>
      <c r="AB30" s="535">
        <f t="shared" si="272"/>
        <v>0</v>
      </c>
      <c r="AC30" s="536" t="s">
        <v>41</v>
      </c>
      <c r="AD30" s="537"/>
      <c r="AE30" s="538">
        <f t="shared" si="265"/>
        <v>29</v>
      </c>
      <c r="AF30" s="183">
        <f t="shared" si="266"/>
        <v>0.44827586206896552</v>
      </c>
      <c r="AG30" s="183">
        <f t="shared" si="267"/>
        <v>0.27586206896551724</v>
      </c>
      <c r="AH30" s="183">
        <f t="shared" si="268"/>
        <v>0.75</v>
      </c>
      <c r="AI30" s="183">
        <f t="shared" si="269"/>
        <v>0.93103448275862066</v>
      </c>
      <c r="AJ30" s="540">
        <f t="shared" si="270"/>
        <v>22</v>
      </c>
      <c r="AK30" s="540" t="e">
        <f>#REF!</f>
        <v>#REF!</v>
      </c>
      <c r="AL30" s="541" t="e">
        <f t="shared" si="271"/>
        <v>#REF!</v>
      </c>
      <c r="AM30" s="542"/>
      <c r="AN30" s="543"/>
    </row>
    <row r="31" ht="54.950000000000003" customHeight="1">
      <c r="A31" s="173" t="s">
        <v>42</v>
      </c>
      <c r="B31" s="174"/>
      <c r="C31" s="529">
        <f t="shared" ref="C31:AB31" si="273">SUM(C15:C18)</f>
        <v>0</v>
      </c>
      <c r="D31" s="530">
        <f t="shared" si="273"/>
        <v>5</v>
      </c>
      <c r="E31" s="531">
        <f t="shared" si="273"/>
        <v>0</v>
      </c>
      <c r="F31" s="532">
        <f t="shared" si="273"/>
        <v>0</v>
      </c>
      <c r="G31" s="533">
        <f t="shared" si="273"/>
        <v>0</v>
      </c>
      <c r="H31" s="530">
        <f t="shared" si="273"/>
        <v>0</v>
      </c>
      <c r="I31" s="531">
        <f t="shared" si="273"/>
        <v>0</v>
      </c>
      <c r="J31" s="532">
        <f t="shared" si="273"/>
        <v>0</v>
      </c>
      <c r="K31" s="534"/>
      <c r="L31" s="533">
        <f t="shared" si="273"/>
        <v>0</v>
      </c>
      <c r="M31" s="530">
        <f t="shared" si="273"/>
        <v>0</v>
      </c>
      <c r="N31" s="531">
        <f t="shared" si="273"/>
        <v>0</v>
      </c>
      <c r="O31" s="532">
        <f t="shared" si="273"/>
        <v>0</v>
      </c>
      <c r="P31" s="533">
        <f t="shared" si="273"/>
        <v>5</v>
      </c>
      <c r="Q31" s="530">
        <f t="shared" si="273"/>
        <v>3</v>
      </c>
      <c r="R31" s="531">
        <f t="shared" si="273"/>
        <v>2</v>
      </c>
      <c r="S31" s="535">
        <f t="shared" si="273"/>
        <v>0</v>
      </c>
      <c r="T31" s="534"/>
      <c r="U31" s="533">
        <f t="shared" si="273"/>
        <v>4</v>
      </c>
      <c r="V31" s="530">
        <f t="shared" si="273"/>
        <v>4</v>
      </c>
      <c r="W31" s="531">
        <f t="shared" si="273"/>
        <v>5</v>
      </c>
      <c r="X31" s="532">
        <f t="shared" si="273"/>
        <v>1</v>
      </c>
      <c r="Y31" s="533">
        <f t="shared" si="273"/>
        <v>0</v>
      </c>
      <c r="Z31" s="530">
        <f t="shared" si="273"/>
        <v>0</v>
      </c>
      <c r="AA31" s="531">
        <f t="shared" si="273"/>
        <v>0</v>
      </c>
      <c r="AB31" s="535">
        <f t="shared" si="273"/>
        <v>0</v>
      </c>
      <c r="AC31" s="536" t="s">
        <v>42</v>
      </c>
      <c r="AD31" s="537"/>
      <c r="AE31" s="538">
        <f t="shared" si="265"/>
        <v>29</v>
      </c>
      <c r="AF31" s="183">
        <f t="shared" si="266"/>
        <v>0.55172413793103448</v>
      </c>
      <c r="AG31" s="183">
        <f t="shared" si="267"/>
        <v>0.27586206896551724</v>
      </c>
      <c r="AH31" s="183">
        <f t="shared" si="268"/>
        <v>0.875</v>
      </c>
      <c r="AI31" s="183">
        <f t="shared" si="269"/>
        <v>0.82758620689655171</v>
      </c>
      <c r="AJ31" s="540">
        <f t="shared" si="270"/>
        <v>14</v>
      </c>
      <c r="AK31" s="540" t="e">
        <f>#REF!</f>
        <v>#REF!</v>
      </c>
      <c r="AL31" s="541" t="e">
        <f t="shared" si="271"/>
        <v>#REF!</v>
      </c>
      <c r="AM31" s="542"/>
      <c r="AN31" s="543"/>
    </row>
    <row r="32" ht="54.950000000000003" customHeight="1">
      <c r="A32" s="173" t="s">
        <v>43</v>
      </c>
      <c r="B32" s="174"/>
      <c r="C32" s="529">
        <f t="shared" ref="C32:AB32" si="274">SUM(C17:C20)</f>
        <v>1</v>
      </c>
      <c r="D32" s="530">
        <f t="shared" si="274"/>
        <v>4</v>
      </c>
      <c r="E32" s="531">
        <f t="shared" si="274"/>
        <v>0</v>
      </c>
      <c r="F32" s="532">
        <f t="shared" si="274"/>
        <v>0</v>
      </c>
      <c r="G32" s="533">
        <f t="shared" si="274"/>
        <v>0</v>
      </c>
      <c r="H32" s="530">
        <f t="shared" si="274"/>
        <v>1</v>
      </c>
      <c r="I32" s="531">
        <f t="shared" si="274"/>
        <v>0</v>
      </c>
      <c r="J32" s="532">
        <f t="shared" si="274"/>
        <v>0</v>
      </c>
      <c r="K32" s="534"/>
      <c r="L32" s="533">
        <f t="shared" si="274"/>
        <v>0</v>
      </c>
      <c r="M32" s="530">
        <f t="shared" si="274"/>
        <v>0</v>
      </c>
      <c r="N32" s="531">
        <f t="shared" si="274"/>
        <v>0</v>
      </c>
      <c r="O32" s="532">
        <f t="shared" si="274"/>
        <v>0</v>
      </c>
      <c r="P32" s="533">
        <f t="shared" si="274"/>
        <v>3</v>
      </c>
      <c r="Q32" s="530">
        <f t="shared" si="274"/>
        <v>2</v>
      </c>
      <c r="R32" s="531">
        <f t="shared" si="274"/>
        <v>2</v>
      </c>
      <c r="S32" s="535">
        <f t="shared" si="274"/>
        <v>0</v>
      </c>
      <c r="T32" s="534"/>
      <c r="U32" s="533">
        <f t="shared" si="274"/>
        <v>2</v>
      </c>
      <c r="V32" s="530">
        <f t="shared" si="274"/>
        <v>2</v>
      </c>
      <c r="W32" s="531">
        <f t="shared" si="274"/>
        <v>4</v>
      </c>
      <c r="X32" s="532">
        <f t="shared" si="274"/>
        <v>0</v>
      </c>
      <c r="Y32" s="533">
        <f t="shared" si="274"/>
        <v>0</v>
      </c>
      <c r="Z32" s="530">
        <f t="shared" si="274"/>
        <v>0</v>
      </c>
      <c r="AA32" s="531">
        <f t="shared" si="274"/>
        <v>0</v>
      </c>
      <c r="AB32" s="535">
        <f t="shared" si="274"/>
        <v>0</v>
      </c>
      <c r="AC32" s="536" t="s">
        <v>43</v>
      </c>
      <c r="AD32" s="537"/>
      <c r="AE32" s="538">
        <f t="shared" si="265"/>
        <v>21</v>
      </c>
      <c r="AF32" s="183">
        <f t="shared" si="266"/>
        <v>0.5714285714285714</v>
      </c>
      <c r="AG32" s="183">
        <f t="shared" si="267"/>
        <v>0.2857142857142857</v>
      </c>
      <c r="AH32" s="183">
        <f t="shared" si="268"/>
        <v>1</v>
      </c>
      <c r="AI32" s="183">
        <f t="shared" si="269"/>
        <v>0.76190476190476186</v>
      </c>
      <c r="AJ32" s="540">
        <f t="shared" si="270"/>
        <v>8</v>
      </c>
      <c r="AK32" s="540" t="e">
        <f>#REF!</f>
        <v>#REF!</v>
      </c>
      <c r="AL32" s="541" t="e">
        <f t="shared" si="271"/>
        <v>#REF!</v>
      </c>
      <c r="AM32" s="542"/>
      <c r="AN32" s="543"/>
    </row>
    <row r="33" ht="54.950000000000003" customHeight="1">
      <c r="A33" s="188" t="s">
        <v>44</v>
      </c>
      <c r="B33" s="189"/>
      <c r="C33" s="544">
        <f t="shared" ref="C33:AB33" si="275">SUM(C19:C22)</f>
        <v>1</v>
      </c>
      <c r="D33" s="545">
        <f t="shared" si="275"/>
        <v>1</v>
      </c>
      <c r="E33" s="546">
        <f t="shared" si="275"/>
        <v>0</v>
      </c>
      <c r="F33" s="547">
        <f t="shared" si="275"/>
        <v>0</v>
      </c>
      <c r="G33" s="548">
        <f t="shared" si="275"/>
        <v>0</v>
      </c>
      <c r="H33" s="545">
        <f t="shared" si="275"/>
        <v>1</v>
      </c>
      <c r="I33" s="546">
        <f t="shared" si="275"/>
        <v>0</v>
      </c>
      <c r="J33" s="547">
        <f t="shared" si="275"/>
        <v>0</v>
      </c>
      <c r="K33" s="549"/>
      <c r="L33" s="548">
        <f t="shared" si="275"/>
        <v>0</v>
      </c>
      <c r="M33" s="545">
        <f t="shared" si="275"/>
        <v>0</v>
      </c>
      <c r="N33" s="546">
        <f t="shared" si="275"/>
        <v>0</v>
      </c>
      <c r="O33" s="547">
        <f t="shared" si="275"/>
        <v>0</v>
      </c>
      <c r="P33" s="548">
        <f t="shared" si="275"/>
        <v>0</v>
      </c>
      <c r="Q33" s="545">
        <f t="shared" si="275"/>
        <v>0</v>
      </c>
      <c r="R33" s="546">
        <f t="shared" si="275"/>
        <v>0</v>
      </c>
      <c r="S33" s="550">
        <f t="shared" si="275"/>
        <v>0</v>
      </c>
      <c r="T33" s="549"/>
      <c r="U33" s="548">
        <f t="shared" si="275"/>
        <v>1</v>
      </c>
      <c r="V33" s="545">
        <f t="shared" si="275"/>
        <v>2</v>
      </c>
      <c r="W33" s="546">
        <f t="shared" si="275"/>
        <v>1</v>
      </c>
      <c r="X33" s="547">
        <f t="shared" si="275"/>
        <v>0</v>
      </c>
      <c r="Y33" s="548">
        <f t="shared" si="275"/>
        <v>0</v>
      </c>
      <c r="Z33" s="545">
        <f t="shared" si="275"/>
        <v>0</v>
      </c>
      <c r="AA33" s="546">
        <f t="shared" si="275"/>
        <v>0</v>
      </c>
      <c r="AB33" s="550">
        <f t="shared" si="275"/>
        <v>0</v>
      </c>
      <c r="AC33" s="551" t="s">
        <v>44</v>
      </c>
      <c r="AD33" s="552"/>
      <c r="AE33" s="553">
        <f t="shared" si="265"/>
        <v>7</v>
      </c>
      <c r="AF33" s="198">
        <f t="shared" si="266"/>
        <v>0.42857142857142855</v>
      </c>
      <c r="AG33" s="198">
        <f t="shared" si="267"/>
        <v>0.14285714285714285</v>
      </c>
      <c r="AH33" s="198">
        <f t="shared" si="268"/>
        <v>1</v>
      </c>
      <c r="AI33" s="198">
        <f t="shared" si="269"/>
        <v>0.7142857142857143</v>
      </c>
      <c r="AJ33" s="555">
        <f t="shared" si="270"/>
        <v>4</v>
      </c>
      <c r="AK33" s="555" t="e">
        <f>#REF!</f>
        <v>#REF!</v>
      </c>
      <c r="AL33" s="556" t="e">
        <f t="shared" si="271"/>
        <v>#REF!</v>
      </c>
      <c r="AM33" s="557"/>
      <c r="AN33" s="558"/>
    </row>
    <row r="34" ht="54.950000000000003" customHeight="1">
      <c r="A34" s="203" t="s">
        <v>31</v>
      </c>
      <c r="B34" s="204"/>
      <c r="C34" s="559">
        <f t="shared" ref="C34:AB34" si="276">SUM(C11:C22)</f>
        <v>1</v>
      </c>
      <c r="D34" s="560">
        <f t="shared" si="276"/>
        <v>6</v>
      </c>
      <c r="E34" s="561">
        <f t="shared" si="276"/>
        <v>0</v>
      </c>
      <c r="F34" s="562">
        <f t="shared" si="276"/>
        <v>0</v>
      </c>
      <c r="G34" s="563">
        <f t="shared" si="276"/>
        <v>0</v>
      </c>
      <c r="H34" s="560">
        <f t="shared" si="276"/>
        <v>1</v>
      </c>
      <c r="I34" s="561">
        <f t="shared" si="276"/>
        <v>0</v>
      </c>
      <c r="J34" s="562">
        <f t="shared" si="276"/>
        <v>0</v>
      </c>
      <c r="K34" s="564"/>
      <c r="L34" s="563">
        <f t="shared" si="276"/>
        <v>0</v>
      </c>
      <c r="M34" s="560">
        <f t="shared" si="276"/>
        <v>0</v>
      </c>
      <c r="N34" s="561">
        <f t="shared" si="276"/>
        <v>0</v>
      </c>
      <c r="O34" s="562">
        <f t="shared" si="276"/>
        <v>0</v>
      </c>
      <c r="P34" s="563">
        <f t="shared" si="276"/>
        <v>6</v>
      </c>
      <c r="Q34" s="560">
        <f t="shared" si="276"/>
        <v>4</v>
      </c>
      <c r="R34" s="561">
        <f t="shared" si="276"/>
        <v>2</v>
      </c>
      <c r="S34" s="565">
        <f t="shared" si="276"/>
        <v>0</v>
      </c>
      <c r="T34" s="564"/>
      <c r="U34" s="563">
        <f t="shared" si="276"/>
        <v>6</v>
      </c>
      <c r="V34" s="560">
        <f t="shared" si="276"/>
        <v>12</v>
      </c>
      <c r="W34" s="561">
        <f t="shared" si="276"/>
        <v>10</v>
      </c>
      <c r="X34" s="562">
        <f t="shared" si="276"/>
        <v>2</v>
      </c>
      <c r="Y34" s="563">
        <f t="shared" si="276"/>
        <v>0</v>
      </c>
      <c r="Z34" s="560">
        <f t="shared" si="276"/>
        <v>0</v>
      </c>
      <c r="AA34" s="561">
        <f t="shared" si="276"/>
        <v>0</v>
      </c>
      <c r="AB34" s="565">
        <f t="shared" si="276"/>
        <v>0</v>
      </c>
      <c r="AC34" s="566" t="s">
        <v>31</v>
      </c>
      <c r="AD34" s="567"/>
      <c r="AE34" s="568">
        <f t="shared" si="265"/>
        <v>50</v>
      </c>
      <c r="AF34" s="213">
        <f t="shared" si="266"/>
        <v>0.5</v>
      </c>
      <c r="AG34" s="213">
        <f t="shared" si="267"/>
        <v>0.28000000000000003</v>
      </c>
      <c r="AH34" s="213">
        <f t="shared" si="268"/>
        <v>0.8571428571428571</v>
      </c>
      <c r="AI34" s="213">
        <f t="shared" si="269"/>
        <v>0.85999999999999999</v>
      </c>
      <c r="AJ34" s="886">
        <f t="shared" si="270"/>
        <v>30</v>
      </c>
      <c r="AK34" s="886" t="e">
        <f>#REF!</f>
        <v>#REF!</v>
      </c>
      <c r="AL34" s="887" t="e">
        <f t="shared" si="271"/>
        <v>#REF!</v>
      </c>
      <c r="AM34" s="888"/>
      <c r="AN34" s="889"/>
    </row>
    <row r="35" ht="54.950000000000003" customHeight="1">
      <c r="A35" s="218" t="str">
        <f>IF($AE$29=MAX($AE$29:$AE$33),A29,IF($AE$30=MAX($AE$29:$AE$33),A30,IF($AE$31=MAX($AE$29:$AE$33),A31,IF($AE$32=MAX($AE$29:$AE$33),A32,A33))))</f>
        <v xml:space="preserve">de 7:00 à 8:00</v>
      </c>
      <c r="B35" s="219"/>
      <c r="C35" s="574">
        <f t="shared" ref="C35:J35" si="277">IF($AE$29=MAX($AE$29:$AE$33),C29,IF($AE$30=MAX($AE$29:$AE$33),C30,IF($AE$31=MAX($AE$29:$AE$33),C31,IF($AE$32=MAX($AE$29:$AE$33),C32,C33))))</f>
        <v>0</v>
      </c>
      <c r="D35" s="575">
        <f t="shared" si="277"/>
        <v>2</v>
      </c>
      <c r="E35" s="576">
        <f t="shared" si="277"/>
        <v>0</v>
      </c>
      <c r="F35" s="577">
        <f t="shared" si="277"/>
        <v>0</v>
      </c>
      <c r="G35" s="578">
        <f t="shared" si="277"/>
        <v>0</v>
      </c>
      <c r="H35" s="575">
        <f t="shared" si="277"/>
        <v>0</v>
      </c>
      <c r="I35" s="576">
        <f t="shared" si="277"/>
        <v>0</v>
      </c>
      <c r="J35" s="577">
        <f t="shared" si="277"/>
        <v>0</v>
      </c>
      <c r="K35" s="579"/>
      <c r="L35" s="578">
        <f t="shared" ref="L35:S35" si="278">IF($AE$29=MAX($AE$29:$AE$33),L29,IF($AE$30=MAX($AE$29:$AE$33),L30,IF($AE$31=MAX($AE$29:$AE$33),L31,IF($AE$32=MAX($AE$29:$AE$33),L32,L33))))</f>
        <v>0</v>
      </c>
      <c r="M35" s="575">
        <f t="shared" si="278"/>
        <v>0</v>
      </c>
      <c r="N35" s="576">
        <f t="shared" si="278"/>
        <v>0</v>
      </c>
      <c r="O35" s="577">
        <f t="shared" si="278"/>
        <v>0</v>
      </c>
      <c r="P35" s="578">
        <f t="shared" si="278"/>
        <v>3</v>
      </c>
      <c r="Q35" s="575">
        <f t="shared" si="278"/>
        <v>2</v>
      </c>
      <c r="R35" s="576">
        <f t="shared" si="278"/>
        <v>0</v>
      </c>
      <c r="S35" s="580">
        <f t="shared" si="278"/>
        <v>0</v>
      </c>
      <c r="T35" s="579"/>
      <c r="U35" s="578">
        <f t="shared" ref="U35:AB35" si="279">IF($AE$29=MAX($AE$29:$AE$33),U29,IF($AE$30=MAX($AE$29:$AE$33),U30,IF($AE$31=MAX($AE$29:$AE$33),U31,IF($AE$32=MAX($AE$29:$AE$33),U32,U33))))</f>
        <v>4</v>
      </c>
      <c r="V35" s="575">
        <f t="shared" si="279"/>
        <v>10</v>
      </c>
      <c r="W35" s="576">
        <f t="shared" si="279"/>
        <v>6</v>
      </c>
      <c r="X35" s="577">
        <f t="shared" si="279"/>
        <v>2</v>
      </c>
      <c r="Y35" s="578">
        <f t="shared" si="279"/>
        <v>0</v>
      </c>
      <c r="Z35" s="575">
        <f t="shared" si="279"/>
        <v>0</v>
      </c>
      <c r="AA35" s="576">
        <f t="shared" si="279"/>
        <v>0</v>
      </c>
      <c r="AB35" s="580">
        <f t="shared" si="279"/>
        <v>0</v>
      </c>
      <c r="AC35" s="581" t="str">
        <f>A35</f>
        <v xml:space="preserve">de 7:00 à 8:00</v>
      </c>
      <c r="AD35" s="582"/>
      <c r="AE35" s="583">
        <f t="shared" si="265"/>
        <v>29</v>
      </c>
      <c r="AF35" s="228">
        <f t="shared" si="266"/>
        <v>0.44827586206896552</v>
      </c>
      <c r="AG35" s="228">
        <f t="shared" si="267"/>
        <v>0.27586206896551724</v>
      </c>
      <c r="AH35" s="228">
        <f t="shared" si="268"/>
        <v>0.75</v>
      </c>
      <c r="AI35" s="228">
        <f t="shared" si="269"/>
        <v>0.93103448275862066</v>
      </c>
      <c r="AJ35" s="890">
        <f t="shared" si="270"/>
        <v>22</v>
      </c>
      <c r="AK35" s="890" t="e">
        <f>#REF!</f>
        <v>#REF!</v>
      </c>
      <c r="AL35" s="891" t="e">
        <f t="shared" si="271"/>
        <v>#REF!</v>
      </c>
      <c r="AM35" s="892"/>
      <c r="AN35" s="893"/>
    </row>
    <row r="36" ht="12.75" customHeight="1">
      <c r="A36" s="589"/>
      <c r="B36" s="590"/>
      <c r="C36" s="590"/>
      <c r="D36" s="590"/>
      <c r="E36" s="590"/>
      <c r="F36" s="590"/>
      <c r="G36" s="590"/>
      <c r="H36" s="590"/>
      <c r="I36" s="590"/>
      <c r="J36" s="590"/>
      <c r="K36" s="590"/>
      <c r="L36" s="590"/>
      <c r="M36" s="590"/>
      <c r="N36" s="590"/>
      <c r="O36" s="590"/>
      <c r="P36" s="590"/>
      <c r="Q36" s="590"/>
      <c r="R36" s="590"/>
      <c r="S36" s="590"/>
      <c r="T36" s="590"/>
      <c r="U36" s="589"/>
      <c r="V36" s="590"/>
      <c r="W36" s="590"/>
      <c r="X36" s="590"/>
      <c r="Y36" s="590"/>
      <c r="Z36" s="590"/>
      <c r="AA36" s="590"/>
      <c r="AB36" s="590"/>
      <c r="AC36" s="249"/>
      <c r="AD36" s="249"/>
      <c r="AE36" s="590"/>
      <c r="AF36" s="590"/>
      <c r="AG36" s="589"/>
      <c r="AH36" s="590"/>
      <c r="AI36" s="590"/>
      <c r="AJ36" s="590"/>
      <c r="AK36" s="590"/>
      <c r="AL36" s="590"/>
      <c r="AM36" s="249"/>
      <c r="AN36" s="237"/>
    </row>
    <row r="37" ht="32.25" customHeight="1">
      <c r="A37" s="248"/>
      <c r="B37" s="249"/>
      <c r="C37" s="591"/>
      <c r="D37" s="591"/>
      <c r="E37" s="591"/>
      <c r="F37" s="591"/>
      <c r="G37" s="591"/>
      <c r="H37" s="591"/>
      <c r="I37" s="591"/>
      <c r="J37" s="591"/>
      <c r="K37" s="591"/>
      <c r="L37" s="591"/>
      <c r="M37" s="591"/>
      <c r="N37" s="591"/>
      <c r="O37" s="591"/>
      <c r="P37" s="591"/>
      <c r="Q37" s="591"/>
      <c r="R37" s="591"/>
      <c r="S37" s="591"/>
      <c r="T37" s="591"/>
      <c r="U37" s="591"/>
      <c r="V37" s="591"/>
      <c r="W37" s="591"/>
      <c r="X37" s="591"/>
      <c r="Y37" s="591"/>
      <c r="Z37" s="591"/>
      <c r="AA37" s="591"/>
      <c r="AB37" s="591"/>
      <c r="AC37" s="248"/>
      <c r="AD37" s="249"/>
      <c r="AE37" s="592"/>
      <c r="AF37" s="894" t="s">
        <v>45</v>
      </c>
      <c r="AG37" s="894" t="s">
        <v>46</v>
      </c>
      <c r="AH37" s="894" t="s">
        <v>47</v>
      </c>
      <c r="AI37" s="350" t="s">
        <v>59</v>
      </c>
      <c r="AJ37" s="595"/>
      <c r="AK37" s="596"/>
      <c r="AL37" s="596"/>
      <c r="AM37" s="596"/>
      <c r="AN37" s="596"/>
    </row>
    <row r="38" ht="22.699999999999999" customHeight="1">
      <c r="A38" s="248"/>
      <c r="B38" s="249"/>
      <c r="C38" s="597"/>
      <c r="D38" s="597"/>
      <c r="E38" s="597"/>
      <c r="F38" s="597"/>
      <c r="G38" s="597"/>
      <c r="H38" s="597"/>
      <c r="I38" s="597"/>
      <c r="J38" s="597"/>
      <c r="K38" s="597"/>
      <c r="L38" s="597"/>
      <c r="M38" s="597"/>
      <c r="N38" s="597"/>
      <c r="O38" s="597"/>
      <c r="P38" s="597"/>
      <c r="Q38" s="597"/>
      <c r="R38" s="597"/>
      <c r="S38" s="597"/>
      <c r="T38" s="597"/>
      <c r="U38" s="597"/>
      <c r="V38" s="597"/>
      <c r="W38" s="597"/>
      <c r="X38" s="597"/>
      <c r="Y38" s="597"/>
      <c r="Z38" s="597"/>
      <c r="AA38" s="597"/>
      <c r="AB38" s="597"/>
      <c r="AC38" s="248"/>
      <c r="AD38" s="249"/>
      <c r="AE38" s="592"/>
      <c r="AF38" s="895"/>
      <c r="AG38" s="895"/>
      <c r="AH38" s="895"/>
      <c r="AI38" s="354"/>
      <c r="AJ38" s="595"/>
      <c r="AK38" s="596"/>
      <c r="AL38" s="596"/>
      <c r="AM38" s="596"/>
      <c r="AN38" s="596"/>
    </row>
    <row r="39" ht="18.600000000000001" customHeight="1">
      <c r="A39" s="248"/>
      <c r="B39" s="249"/>
      <c r="C39" s="600"/>
      <c r="D39" s="600"/>
      <c r="E39" s="600"/>
      <c r="F39" s="600"/>
      <c r="G39" s="600"/>
      <c r="H39" s="600"/>
      <c r="I39" s="600"/>
      <c r="J39" s="600"/>
      <c r="K39" s="600"/>
      <c r="L39" s="600"/>
      <c r="M39" s="600"/>
      <c r="N39" s="600"/>
      <c r="O39" s="600"/>
      <c r="P39" s="600"/>
      <c r="Q39" s="600"/>
      <c r="R39" s="600"/>
      <c r="S39" s="600"/>
      <c r="T39" s="600"/>
      <c r="U39" s="600"/>
      <c r="V39" s="600"/>
      <c r="W39" s="600"/>
      <c r="X39" s="600"/>
      <c r="Y39" s="600"/>
      <c r="Z39" s="600"/>
      <c r="AA39" s="600"/>
      <c r="AB39" s="600"/>
      <c r="AC39" s="248"/>
      <c r="AD39" s="249"/>
      <c r="AE39" s="592"/>
      <c r="AF39" s="895"/>
      <c r="AG39" s="895"/>
      <c r="AH39" s="895"/>
      <c r="AI39" s="354"/>
      <c r="AJ39" s="595"/>
      <c r="AK39" s="596"/>
      <c r="AL39" s="596"/>
      <c r="AM39" s="596"/>
      <c r="AN39" s="596"/>
    </row>
    <row r="40" ht="20.25">
      <c r="A40" s="601"/>
      <c r="B40" s="601"/>
      <c r="C40" s="233"/>
      <c r="D40" s="233"/>
      <c r="E40" s="233"/>
      <c r="F40" s="233"/>
      <c r="G40" s="233"/>
      <c r="H40" s="233"/>
      <c r="I40" s="233"/>
      <c r="J40" s="233"/>
      <c r="K40" s="233"/>
      <c r="L40" s="233"/>
      <c r="M40" s="233"/>
      <c r="N40" s="233"/>
      <c r="O40" s="233"/>
      <c r="P40" s="233"/>
      <c r="Q40" s="233"/>
      <c r="R40" s="233"/>
      <c r="S40" s="233"/>
      <c r="T40" s="233"/>
      <c r="U40" s="233"/>
      <c r="V40" s="233"/>
      <c r="W40" s="233"/>
      <c r="X40" s="233"/>
      <c r="Y40" s="233"/>
      <c r="Z40" s="233"/>
      <c r="AA40" s="233"/>
      <c r="AB40" s="233"/>
      <c r="AC40" s="601"/>
      <c r="AD40" s="601"/>
      <c r="AE40" s="592"/>
      <c r="AF40" s="896"/>
      <c r="AG40" s="896"/>
      <c r="AH40" s="896"/>
      <c r="AI40" s="358"/>
      <c r="AJ40" s="595"/>
      <c r="AK40" s="596"/>
      <c r="AL40" s="596"/>
      <c r="AM40" s="596"/>
      <c r="AN40" s="596"/>
    </row>
    <row r="41" ht="54.950000000000003" customHeight="1">
      <c r="A41" s="601"/>
      <c r="B41" s="601"/>
      <c r="C41" s="604"/>
      <c r="D41" s="604"/>
      <c r="E41" s="604"/>
      <c r="F41" s="604"/>
      <c r="G41" s="604"/>
      <c r="H41" s="604"/>
      <c r="I41" s="604"/>
      <c r="J41" s="604"/>
      <c r="K41" s="604"/>
      <c r="L41" s="604"/>
      <c r="M41" s="604"/>
      <c r="N41" s="604"/>
      <c r="O41" s="604"/>
      <c r="P41" s="604"/>
      <c r="Q41" s="604"/>
      <c r="R41" s="604"/>
      <c r="S41" s="604"/>
      <c r="T41" s="604"/>
      <c r="U41" s="604"/>
      <c r="V41" s="604"/>
      <c r="W41" s="604"/>
      <c r="X41" s="604"/>
      <c r="Y41" s="604"/>
      <c r="Z41" s="604"/>
      <c r="AA41" s="604"/>
      <c r="AB41" s="604"/>
      <c r="AC41" s="601"/>
      <c r="AD41" s="601"/>
      <c r="AE41" s="605"/>
      <c r="AF41" s="606">
        <f t="shared" ref="AF41:AF47" si="280">(C29+E29+G29+I29+L29+N29+P29+R29+U29+W29+Y29+AA29)</f>
        <v>6</v>
      </c>
      <c r="AG41" s="606">
        <f t="shared" ref="AG41:AG47" si="281">(E29+F29+I29+J29+N29+O29+R29+S29+W29+X29+AA29+AB29)</f>
        <v>5</v>
      </c>
      <c r="AH41" s="606">
        <f t="shared" ref="AH41:AH47" si="282">(E29+I29+N29+R29+W29+AA29)</f>
        <v>4</v>
      </c>
      <c r="AI41" s="606">
        <f t="shared" ref="AI41:AI47" si="283">SUM(G29:J29,P29:AB29)</f>
        <v>14</v>
      </c>
      <c r="AJ41" s="607"/>
      <c r="AK41" s="236"/>
      <c r="AL41" s="236"/>
      <c r="AM41" s="608"/>
      <c r="AN41" s="608"/>
    </row>
    <row r="42" ht="54.950000000000003" customHeight="1">
      <c r="A42" s="601"/>
      <c r="B42" s="601"/>
      <c r="C42" s="604"/>
      <c r="D42" s="604"/>
      <c r="E42" s="604"/>
      <c r="F42" s="604"/>
      <c r="G42" s="604"/>
      <c r="H42" s="604"/>
      <c r="I42" s="604"/>
      <c r="J42" s="604"/>
      <c r="K42" s="604"/>
      <c r="L42" s="604"/>
      <c r="M42" s="604"/>
      <c r="N42" s="604"/>
      <c r="O42" s="604"/>
      <c r="P42" s="604"/>
      <c r="Q42" s="604"/>
      <c r="R42" s="604"/>
      <c r="S42" s="604"/>
      <c r="T42" s="604"/>
      <c r="U42" s="604"/>
      <c r="V42" s="604"/>
      <c r="W42" s="604"/>
      <c r="X42" s="604"/>
      <c r="Y42" s="604"/>
      <c r="Z42" s="604"/>
      <c r="AA42" s="604"/>
      <c r="AB42" s="604"/>
      <c r="AC42" s="601"/>
      <c r="AD42" s="601"/>
      <c r="AE42" s="605"/>
      <c r="AF42" s="609">
        <f t="shared" si="280"/>
        <v>13</v>
      </c>
      <c r="AG42" s="609">
        <f t="shared" si="281"/>
        <v>8</v>
      </c>
      <c r="AH42" s="609">
        <f t="shared" si="282"/>
        <v>6</v>
      </c>
      <c r="AI42" s="609">
        <f t="shared" si="283"/>
        <v>27</v>
      </c>
      <c r="AJ42" s="607"/>
      <c r="AK42" s="236"/>
      <c r="AL42" s="236"/>
      <c r="AM42" s="608"/>
      <c r="AN42" s="608"/>
    </row>
    <row r="43" ht="54.950000000000003" customHeight="1">
      <c r="A43" s="601"/>
      <c r="B43" s="601"/>
      <c r="C43" s="604"/>
      <c r="D43" s="604"/>
      <c r="E43" s="604"/>
      <c r="F43" s="604"/>
      <c r="G43" s="604"/>
      <c r="H43" s="604"/>
      <c r="I43" s="604"/>
      <c r="J43" s="604"/>
      <c r="K43" s="604"/>
      <c r="L43" s="604"/>
      <c r="M43" s="604"/>
      <c r="N43" s="604"/>
      <c r="O43" s="604"/>
      <c r="P43" s="604"/>
      <c r="Q43" s="604"/>
      <c r="R43" s="604"/>
      <c r="S43" s="604"/>
      <c r="T43" s="604"/>
      <c r="U43" s="604"/>
      <c r="V43" s="604"/>
      <c r="W43" s="604"/>
      <c r="X43" s="604"/>
      <c r="Y43" s="604"/>
      <c r="Z43" s="604"/>
      <c r="AA43" s="604"/>
      <c r="AB43" s="604"/>
      <c r="AC43" s="601"/>
      <c r="AD43" s="601"/>
      <c r="AE43" s="605"/>
      <c r="AF43" s="609">
        <f t="shared" si="280"/>
        <v>16</v>
      </c>
      <c r="AG43" s="609">
        <f t="shared" si="281"/>
        <v>8</v>
      </c>
      <c r="AH43" s="609">
        <f t="shared" si="282"/>
        <v>7</v>
      </c>
      <c r="AI43" s="609">
        <f t="shared" si="283"/>
        <v>24</v>
      </c>
      <c r="AJ43" s="607"/>
      <c r="AK43" s="236"/>
      <c r="AL43" s="236"/>
      <c r="AM43" s="608"/>
      <c r="AN43" s="608"/>
    </row>
    <row r="44" ht="54.950000000000003" customHeight="1">
      <c r="A44" s="601"/>
      <c r="B44" s="601"/>
      <c r="C44" s="604"/>
      <c r="D44" s="604"/>
      <c r="E44" s="604"/>
      <c r="F44" s="604"/>
      <c r="G44" s="604"/>
      <c r="H44" s="604"/>
      <c r="I44" s="604"/>
      <c r="J44" s="604"/>
      <c r="K44" s="604"/>
      <c r="L44" s="604"/>
      <c r="M44" s="604"/>
      <c r="N44" s="604"/>
      <c r="O44" s="604"/>
      <c r="P44" s="604"/>
      <c r="Q44" s="604"/>
      <c r="R44" s="604"/>
      <c r="S44" s="604"/>
      <c r="T44" s="604"/>
      <c r="U44" s="604"/>
      <c r="V44" s="604"/>
      <c r="W44" s="604"/>
      <c r="X44" s="604"/>
      <c r="Y44" s="604"/>
      <c r="Z44" s="604"/>
      <c r="AA44" s="604"/>
      <c r="AB44" s="604"/>
      <c r="AC44" s="601"/>
      <c r="AD44" s="601"/>
      <c r="AE44" s="605"/>
      <c r="AF44" s="609">
        <f t="shared" si="280"/>
        <v>12</v>
      </c>
      <c r="AG44" s="609">
        <f t="shared" si="281"/>
        <v>6</v>
      </c>
      <c r="AH44" s="609">
        <f t="shared" si="282"/>
        <v>6</v>
      </c>
      <c r="AI44" s="609">
        <f t="shared" si="283"/>
        <v>16</v>
      </c>
      <c r="AJ44" s="607"/>
      <c r="AK44" s="236"/>
      <c r="AL44" s="236"/>
      <c r="AM44" s="608"/>
      <c r="AN44" s="608"/>
    </row>
    <row r="45" ht="54.950000000000003" customHeight="1">
      <c r="A45" s="601"/>
      <c r="B45" s="601"/>
      <c r="C45" s="604"/>
      <c r="D45" s="604"/>
      <c r="E45" s="604"/>
      <c r="F45" s="604"/>
      <c r="G45" s="604"/>
      <c r="H45" s="604"/>
      <c r="I45" s="604"/>
      <c r="J45" s="604"/>
      <c r="K45" s="604"/>
      <c r="L45" s="604"/>
      <c r="M45" s="604"/>
      <c r="N45" s="604"/>
      <c r="O45" s="604"/>
      <c r="P45" s="604"/>
      <c r="Q45" s="604"/>
      <c r="R45" s="604"/>
      <c r="S45" s="604"/>
      <c r="T45" s="604"/>
      <c r="U45" s="604"/>
      <c r="V45" s="604"/>
      <c r="W45" s="604"/>
      <c r="X45" s="604"/>
      <c r="Y45" s="604"/>
      <c r="Z45" s="604"/>
      <c r="AA45" s="604"/>
      <c r="AB45" s="604"/>
      <c r="AC45" s="601"/>
      <c r="AD45" s="601"/>
      <c r="AE45" s="605"/>
      <c r="AF45" s="610">
        <f t="shared" si="280"/>
        <v>3</v>
      </c>
      <c r="AG45" s="610">
        <f t="shared" si="281"/>
        <v>1</v>
      </c>
      <c r="AH45" s="610">
        <f t="shared" si="282"/>
        <v>1</v>
      </c>
      <c r="AI45" s="610">
        <f t="shared" si="283"/>
        <v>5</v>
      </c>
      <c r="AJ45" s="607"/>
      <c r="AK45" s="236"/>
      <c r="AL45" s="236"/>
      <c r="AM45" s="608"/>
      <c r="AN45" s="608"/>
    </row>
    <row r="46" ht="54.950000000000003" customHeight="1">
      <c r="A46" s="601"/>
      <c r="B46" s="601"/>
      <c r="C46" s="233"/>
      <c r="D46" s="233"/>
      <c r="E46" s="233"/>
      <c r="F46" s="233"/>
      <c r="G46" s="233"/>
      <c r="H46" s="233"/>
      <c r="I46" s="233"/>
      <c r="J46" s="233"/>
      <c r="K46" s="233"/>
      <c r="L46" s="233"/>
      <c r="M46" s="233"/>
      <c r="N46" s="233"/>
      <c r="O46" s="233"/>
      <c r="P46" s="233"/>
      <c r="Q46" s="233"/>
      <c r="R46" s="233"/>
      <c r="S46" s="233"/>
      <c r="T46" s="233"/>
      <c r="U46" s="233"/>
      <c r="V46" s="233"/>
      <c r="W46" s="233"/>
      <c r="X46" s="233"/>
      <c r="Y46" s="233"/>
      <c r="Z46" s="233"/>
      <c r="AA46" s="233"/>
      <c r="AB46" s="233"/>
      <c r="AC46" s="601"/>
      <c r="AD46" s="601"/>
      <c r="AE46" s="605"/>
      <c r="AF46" s="611">
        <f t="shared" si="280"/>
        <v>25</v>
      </c>
      <c r="AG46" s="611">
        <f t="shared" si="281"/>
        <v>14</v>
      </c>
      <c r="AH46" s="611">
        <f t="shared" si="282"/>
        <v>12</v>
      </c>
      <c r="AI46" s="611">
        <f t="shared" si="283"/>
        <v>43</v>
      </c>
      <c r="AJ46" s="607"/>
      <c r="AK46" s="236"/>
      <c r="AL46" s="236"/>
      <c r="AM46" s="608"/>
      <c r="AN46" s="608"/>
    </row>
    <row r="47" ht="54.950000000000003" customHeight="1">
      <c r="A47" s="601"/>
      <c r="B47" s="601"/>
      <c r="C47" s="233"/>
      <c r="D47" s="233"/>
      <c r="E47" s="233"/>
      <c r="F47" s="233"/>
      <c r="G47" s="233"/>
      <c r="H47" s="233"/>
      <c r="I47" s="233"/>
      <c r="J47" s="233"/>
      <c r="K47" s="233"/>
      <c r="L47" s="233"/>
      <c r="M47" s="233"/>
      <c r="N47" s="233"/>
      <c r="O47" s="233"/>
      <c r="P47" s="233"/>
      <c r="Q47" s="233"/>
      <c r="R47" s="233"/>
      <c r="S47" s="233"/>
      <c r="T47" s="233"/>
      <c r="U47" s="233"/>
      <c r="V47" s="233"/>
      <c r="W47" s="233"/>
      <c r="X47" s="233"/>
      <c r="Y47" s="233"/>
      <c r="Z47" s="233"/>
      <c r="AA47" s="233"/>
      <c r="AB47" s="233"/>
      <c r="AC47" s="601"/>
      <c r="AD47" s="601"/>
      <c r="AE47" s="605"/>
      <c r="AF47" s="612">
        <f t="shared" si="280"/>
        <v>13</v>
      </c>
      <c r="AG47" s="612">
        <f t="shared" si="281"/>
        <v>8</v>
      </c>
      <c r="AH47" s="612">
        <f t="shared" si="282"/>
        <v>6</v>
      </c>
      <c r="AI47" s="612">
        <f t="shared" si="283"/>
        <v>27</v>
      </c>
      <c r="AJ47" s="607"/>
      <c r="AK47" s="236"/>
      <c r="AL47" s="236"/>
      <c r="AM47" s="608"/>
      <c r="AN47" s="608"/>
    </row>
    <row r="48" ht="25.5" customHeight="1">
      <c r="A48" s="897"/>
      <c r="B48" s="250"/>
      <c r="C48" s="250"/>
      <c r="D48" s="250"/>
      <c r="E48" s="250"/>
      <c r="F48" s="250"/>
      <c r="G48" s="250"/>
      <c r="H48" s="250"/>
      <c r="I48" s="250"/>
      <c r="J48" s="250"/>
      <c r="K48" s="250"/>
      <c r="L48" s="250"/>
      <c r="M48" s="250"/>
      <c r="N48" s="250"/>
      <c r="O48" s="250"/>
      <c r="P48" s="250"/>
      <c r="Q48" s="250"/>
      <c r="R48" s="250"/>
      <c r="U48" s="250"/>
      <c r="V48" s="250"/>
      <c r="W48" s="250"/>
      <c r="X48" s="250"/>
      <c r="Y48" s="250"/>
      <c r="Z48" s="250"/>
      <c r="AA48" s="250"/>
    </row>
  </sheetData>
  <mergeCells count="81">
    <mergeCell ref="C3:X3"/>
    <mergeCell ref="U26:X26"/>
    <mergeCell ref="Y26:AB26"/>
    <mergeCell ref="AJ25:AJ28"/>
    <mergeCell ref="C7:J7"/>
    <mergeCell ref="U7:AB7"/>
    <mergeCell ref="C8:F8"/>
    <mergeCell ref="G8:J8"/>
    <mergeCell ref="U8:X8"/>
    <mergeCell ref="Y8:AB8"/>
    <mergeCell ref="L7:S7"/>
    <mergeCell ref="L8:O8"/>
    <mergeCell ref="P8:S8"/>
    <mergeCell ref="L9:M9"/>
    <mergeCell ref="N9:O9"/>
    <mergeCell ref="C9:D9"/>
    <mergeCell ref="AM35:AN35"/>
    <mergeCell ref="AL25:AN28"/>
    <mergeCell ref="AM29:AN29"/>
    <mergeCell ref="AM30:AN30"/>
    <mergeCell ref="AM31:AN31"/>
    <mergeCell ref="AM34:AN34"/>
    <mergeCell ref="AM32:AN32"/>
    <mergeCell ref="E9:F9"/>
    <mergeCell ref="G9:H9"/>
    <mergeCell ref="I9:J9"/>
    <mergeCell ref="U9:V9"/>
    <mergeCell ref="AC29:AD29"/>
    <mergeCell ref="W9:X9"/>
    <mergeCell ref="P9:Q9"/>
    <mergeCell ref="R9:S9"/>
    <mergeCell ref="Y9:Z9"/>
    <mergeCell ref="AA9:AB9"/>
    <mergeCell ref="U25:AB25"/>
    <mergeCell ref="AC28:AD28"/>
    <mergeCell ref="A28:B28"/>
    <mergeCell ref="A29:B29"/>
    <mergeCell ref="A30:B30"/>
    <mergeCell ref="N27:O27"/>
    <mergeCell ref="P27:Q27"/>
    <mergeCell ref="AM33:AN33"/>
    <mergeCell ref="L26:O26"/>
    <mergeCell ref="AE25:AE28"/>
    <mergeCell ref="Y27:Z27"/>
    <mergeCell ref="AA27:AB27"/>
    <mergeCell ref="R27:S27"/>
    <mergeCell ref="U27:V27"/>
    <mergeCell ref="W27:X27"/>
    <mergeCell ref="AK25:AK28"/>
    <mergeCell ref="AG25:AG28"/>
    <mergeCell ref="AH25:AH28"/>
    <mergeCell ref="AI25:AI28"/>
    <mergeCell ref="AF25:AF28"/>
    <mergeCell ref="AI37:AI40"/>
    <mergeCell ref="AF37:AF40"/>
    <mergeCell ref="A31:B31"/>
    <mergeCell ref="A32:B32"/>
    <mergeCell ref="AC32:AD32"/>
    <mergeCell ref="AC35:AD35"/>
    <mergeCell ref="AC34:AD34"/>
    <mergeCell ref="AC31:AD31"/>
    <mergeCell ref="A34:B34"/>
    <mergeCell ref="A35:B35"/>
    <mergeCell ref="A33:B33"/>
    <mergeCell ref="AC33:AD33"/>
    <mergeCell ref="C5:O5"/>
    <mergeCell ref="C24:O24"/>
    <mergeCell ref="R5:AA5"/>
    <mergeCell ref="AG37:AG40"/>
    <mergeCell ref="AH37:AH40"/>
    <mergeCell ref="I27:J27"/>
    <mergeCell ref="L27:M27"/>
    <mergeCell ref="C25:J25"/>
    <mergeCell ref="L25:S25"/>
    <mergeCell ref="E27:F27"/>
    <mergeCell ref="G27:H27"/>
    <mergeCell ref="C26:F26"/>
    <mergeCell ref="G26:J26"/>
    <mergeCell ref="P26:S26"/>
    <mergeCell ref="AC30:AD30"/>
    <mergeCell ref="C27:D27"/>
  </mergeCells>
  <printOptions headings="0" gridLines="0"/>
  <pageMargins left="0.39370078740157477" right="0.39370078740157477" top="0.39370078740157477" bottom="0.39370078740157477" header="0.59055118110236238" footer="0.59055118110236238"/>
  <pageSetup paperSize="9" scale="37" fitToWidth="1" fitToHeight="0" pageOrder="overThenDown" orientation="landscape" usePrinterDefaults="1" blackAndWhite="0" draft="0" cellComments="none" useFirstPageNumber="1" errors="displayed" horizontalDpi="600" verticalDpi="600" copies="1"/>
  <headerFooter/>
  <rowBreaks count="1" manualBreakCount="1">
    <brk id="47" man="1" max="37"/>
  </rowBreaks>
  <colBreaks count="1" manualBreakCount="1">
    <brk id="28" man="1" max="1048575"/>
  </colBreaks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tabColor indexed="2"/>
    <outlinePr applyStyles="0" summaryBelow="1" summaryRight="1" showOutlineSymbols="1"/>
    <pageSetUpPr autoPageBreaks="1" fitToPage="0"/>
  </sheetPr>
  <sheetViews>
    <sheetView view="pageBreakPreview" zoomScale="50" workbookViewId="0">
      <selection activeCell="H13" activeCellId="0" sqref="H13"/>
    </sheetView>
  </sheetViews>
  <sheetFormatPr baseColWidth="10" defaultRowHeight="14.25"/>
  <cols>
    <col customWidth="1" min="1" max="1" style="617" width="9.125"/>
    <col customWidth="1" min="2" max="2" style="617" width="13.75"/>
    <col customWidth="1" min="3" max="26" style="617" width="10.875"/>
    <col customWidth="1" min="27" max="27" style="617" width="9.125"/>
    <col customWidth="1" min="28" max="28" style="617" width="13.75"/>
    <col customWidth="1" min="29" max="36" style="617" width="21.125"/>
    <col customWidth="1" min="37" max="37" style="617" width="82.625"/>
    <col customWidth="1" min="38" max="38" style="617" width="21.125"/>
    <col customWidth="1" min="39" max="43" style="617" width="10.625"/>
    <col min="44" max="16384" style="617" width="11"/>
  </cols>
  <sheetData>
    <row r="1" ht="52.5" customHeight="1">
      <c r="A1" s="618" t="s">
        <v>0</v>
      </c>
      <c r="B1" s="619" t="s">
        <v>125</v>
      </c>
      <c r="C1" s="620"/>
      <c r="D1" s="620"/>
      <c r="E1" s="620"/>
      <c r="F1" s="621"/>
      <c r="G1" s="621"/>
      <c r="H1" s="620"/>
      <c r="I1" s="620"/>
      <c r="J1" s="621"/>
      <c r="K1" s="621"/>
      <c r="L1" s="622"/>
      <c r="M1" s="623" t="s">
        <v>2</v>
      </c>
      <c r="N1" s="624" t="s">
        <v>126</v>
      </c>
      <c r="O1" s="620"/>
      <c r="P1" s="620"/>
      <c r="Q1" s="620"/>
      <c r="R1" s="620"/>
      <c r="S1" s="620"/>
      <c r="T1" s="620"/>
      <c r="U1" s="620"/>
      <c r="V1" s="625"/>
      <c r="W1" s="626"/>
      <c r="X1" s="626"/>
      <c r="Y1" s="626"/>
      <c r="Z1" s="627"/>
    </row>
    <row r="2" ht="52.5" customHeight="1">
      <c r="A2" s="628" t="s">
        <v>4</v>
      </c>
      <c r="B2" s="629"/>
      <c r="C2" s="629"/>
      <c r="D2" s="629"/>
      <c r="E2" s="629"/>
      <c r="F2" s="629"/>
      <c r="G2" s="619"/>
      <c r="H2" s="620"/>
      <c r="I2" s="620"/>
      <c r="J2" s="620"/>
      <c r="K2" s="620"/>
      <c r="L2" s="620"/>
      <c r="M2" s="620"/>
      <c r="N2" s="620"/>
      <c r="O2" s="620"/>
      <c r="P2" s="620"/>
      <c r="Q2" s="620"/>
      <c r="R2" s="620"/>
      <c r="S2" s="620"/>
      <c r="T2" s="620"/>
      <c r="U2" s="620"/>
      <c r="V2" s="625"/>
      <c r="W2" s="629"/>
      <c r="X2" s="629"/>
      <c r="Y2" s="629"/>
      <c r="Z2" s="629"/>
    </row>
    <row r="3" ht="52.5" customHeight="1">
      <c r="A3" s="628" t="s">
        <v>6</v>
      </c>
      <c r="B3" s="629"/>
      <c r="C3" s="619"/>
      <c r="D3" s="620"/>
      <c r="E3" s="620"/>
      <c r="F3" s="620"/>
      <c r="G3" s="620"/>
      <c r="H3" s="620"/>
      <c r="I3" s="620"/>
      <c r="J3" s="620"/>
      <c r="K3" s="620"/>
      <c r="L3" s="620"/>
      <c r="M3" s="620"/>
      <c r="N3" s="620"/>
      <c r="O3" s="620"/>
      <c r="P3" s="620"/>
      <c r="Q3" s="620"/>
      <c r="R3" s="620"/>
      <c r="S3" s="620"/>
      <c r="T3" s="620"/>
      <c r="U3" s="620"/>
      <c r="V3" s="625"/>
      <c r="W3" s="629"/>
      <c r="X3" s="629"/>
      <c r="Y3" s="629"/>
      <c r="Z3" s="630"/>
    </row>
    <row r="4" ht="52.5" customHeight="1">
      <c r="A4" s="628" t="s">
        <v>8</v>
      </c>
      <c r="B4" s="629"/>
      <c r="C4" s="619"/>
      <c r="D4" s="620"/>
      <c r="E4" s="620"/>
      <c r="F4" s="620"/>
      <c r="G4" s="620"/>
      <c r="H4" s="620"/>
      <c r="I4" s="620"/>
      <c r="J4" s="620"/>
      <c r="K4" s="620"/>
      <c r="L4" s="620"/>
      <c r="M4" s="620"/>
      <c r="N4" s="620"/>
      <c r="O4" s="620"/>
      <c r="P4" s="620"/>
      <c r="Q4" s="620"/>
      <c r="R4" s="620"/>
      <c r="S4" s="620"/>
      <c r="T4" s="620"/>
      <c r="U4" s="620"/>
      <c r="V4" s="625"/>
      <c r="W4" s="629"/>
      <c r="X4" s="629"/>
      <c r="Y4" s="629"/>
      <c r="Z4" s="630"/>
    </row>
    <row r="5" ht="25.5" customHeight="1">
      <c r="A5" s="628" t="s">
        <v>90</v>
      </c>
      <c r="B5" s="629"/>
      <c r="C5" s="629" t="s">
        <v>91</v>
      </c>
      <c r="D5" s="629"/>
      <c r="E5" s="629"/>
      <c r="F5" s="629"/>
      <c r="G5" s="629"/>
      <c r="H5" s="629"/>
      <c r="I5" s="629"/>
      <c r="J5" s="629"/>
      <c r="K5" s="629"/>
      <c r="L5" s="629"/>
      <c r="M5" s="629"/>
      <c r="N5" s="629"/>
      <c r="O5" s="629"/>
      <c r="P5" s="629"/>
      <c r="Q5" s="629"/>
      <c r="R5" s="630"/>
      <c r="S5" s="629"/>
      <c r="T5" s="629"/>
      <c r="U5" s="629"/>
      <c r="V5" s="629"/>
      <c r="W5" s="629"/>
      <c r="X5" s="629"/>
      <c r="Y5" s="629"/>
      <c r="Z5" s="630"/>
    </row>
    <row r="6" ht="25.5" customHeight="1">
      <c r="A6" s="631"/>
      <c r="B6" s="629"/>
      <c r="C6" s="629" t="s">
        <v>92</v>
      </c>
      <c r="D6" s="629"/>
      <c r="E6" s="629"/>
      <c r="F6" s="629"/>
      <c r="G6" s="629"/>
      <c r="H6" s="629"/>
      <c r="I6" s="629"/>
      <c r="J6" s="629"/>
      <c r="K6" s="629"/>
      <c r="L6" s="629"/>
      <c r="M6" s="629"/>
      <c r="N6" s="629"/>
      <c r="O6" s="629"/>
      <c r="P6" s="629"/>
      <c r="Q6" s="629"/>
      <c r="R6" s="630"/>
      <c r="S6" s="629"/>
      <c r="T6" s="629"/>
      <c r="U6" s="629"/>
      <c r="V6" s="629"/>
      <c r="W6" s="629"/>
      <c r="X6" s="629"/>
      <c r="Y6" s="629"/>
      <c r="Z6" s="630"/>
    </row>
    <row r="7" ht="25.5" customHeight="1">
      <c r="A7" s="631"/>
      <c r="B7" s="629"/>
      <c r="C7" s="629"/>
      <c r="D7" s="629"/>
      <c r="E7" s="629"/>
      <c r="F7" s="629"/>
      <c r="G7" s="629"/>
      <c r="H7" s="629"/>
      <c r="I7" s="629"/>
      <c r="J7" s="629"/>
      <c r="K7" s="629"/>
      <c r="L7" s="629"/>
      <c r="M7" s="629"/>
      <c r="N7" s="629"/>
      <c r="O7" s="629"/>
      <c r="P7" s="629"/>
      <c r="Q7" s="629"/>
      <c r="R7" s="630"/>
      <c r="S7" s="629"/>
      <c r="T7" s="629"/>
      <c r="U7" s="629"/>
      <c r="V7" s="629"/>
      <c r="W7" s="629"/>
      <c r="X7" s="629"/>
      <c r="Y7" s="629"/>
      <c r="Z7" s="630"/>
    </row>
    <row r="8" ht="32.25" customHeight="1">
      <c r="A8" s="628"/>
      <c r="B8" s="629"/>
      <c r="C8" s="632" t="s">
        <v>12</v>
      </c>
      <c r="D8" s="633"/>
      <c r="E8" s="633"/>
      <c r="F8" s="633"/>
      <c r="G8" s="633"/>
      <c r="H8" s="633"/>
      <c r="I8" s="633"/>
      <c r="J8" s="633"/>
      <c r="K8" s="633" t="s">
        <v>29</v>
      </c>
      <c r="L8" s="633"/>
      <c r="M8" s="633"/>
      <c r="N8" s="633"/>
      <c r="O8" s="633"/>
      <c r="P8" s="633"/>
      <c r="Q8" s="633"/>
      <c r="R8" s="634"/>
      <c r="S8" s="633" t="s">
        <v>127</v>
      </c>
      <c r="T8" s="633"/>
      <c r="U8" s="633"/>
      <c r="V8" s="633"/>
      <c r="W8" s="633"/>
      <c r="X8" s="633"/>
      <c r="Y8" s="633"/>
      <c r="Z8" s="634"/>
      <c r="AA8" s="635"/>
      <c r="AB8" s="635"/>
      <c r="AD8" s="636"/>
      <c r="AE8" s="636"/>
      <c r="AF8" s="636"/>
      <c r="AG8" s="636"/>
      <c r="AH8" s="636"/>
      <c r="AI8" s="636"/>
      <c r="AJ8" s="636"/>
    </row>
    <row r="9" ht="22.699999999999999" customHeight="1">
      <c r="A9" s="628"/>
      <c r="B9" s="629"/>
      <c r="C9" s="637" t="s">
        <v>14</v>
      </c>
      <c r="D9" s="638"/>
      <c r="E9" s="638"/>
      <c r="F9" s="638"/>
      <c r="G9" s="639" t="s">
        <v>128</v>
      </c>
      <c r="H9" s="639"/>
      <c r="I9" s="639"/>
      <c r="J9" s="639"/>
      <c r="K9" s="638" t="s">
        <v>128</v>
      </c>
      <c r="L9" s="638"/>
      <c r="M9" s="638"/>
      <c r="N9" s="638"/>
      <c r="O9" s="639" t="s">
        <v>17</v>
      </c>
      <c r="P9" s="639"/>
      <c r="Q9" s="639"/>
      <c r="R9" s="640"/>
      <c r="S9" s="638" t="s">
        <v>14</v>
      </c>
      <c r="T9" s="638"/>
      <c r="U9" s="638"/>
      <c r="V9" s="638"/>
      <c r="W9" s="639" t="s">
        <v>17</v>
      </c>
      <c r="X9" s="639"/>
      <c r="Y9" s="639"/>
      <c r="Z9" s="640"/>
      <c r="AA9" s="635"/>
      <c r="AB9" s="635"/>
    </row>
    <row r="10" ht="18.600000000000001" customHeight="1">
      <c r="A10" s="628"/>
      <c r="B10" s="629"/>
      <c r="C10" s="641" t="s">
        <v>18</v>
      </c>
      <c r="D10" s="642"/>
      <c r="E10" s="643" t="s">
        <v>19</v>
      </c>
      <c r="F10" s="644"/>
      <c r="G10" s="645" t="s">
        <v>18</v>
      </c>
      <c r="H10" s="642"/>
      <c r="I10" s="643" t="s">
        <v>19</v>
      </c>
      <c r="J10" s="644"/>
      <c r="K10" s="645" t="s">
        <v>18</v>
      </c>
      <c r="L10" s="642"/>
      <c r="M10" s="643" t="s">
        <v>19</v>
      </c>
      <c r="N10" s="644"/>
      <c r="O10" s="645" t="s">
        <v>18</v>
      </c>
      <c r="P10" s="642"/>
      <c r="Q10" s="643" t="s">
        <v>19</v>
      </c>
      <c r="R10" s="646"/>
      <c r="S10" s="645" t="s">
        <v>18</v>
      </c>
      <c r="T10" s="642"/>
      <c r="U10" s="643" t="s">
        <v>19</v>
      </c>
      <c r="V10" s="644"/>
      <c r="W10" s="645" t="s">
        <v>18</v>
      </c>
      <c r="X10" s="642"/>
      <c r="Y10" s="643" t="s">
        <v>19</v>
      </c>
      <c r="Z10" s="646"/>
      <c r="AA10" s="635"/>
      <c r="AB10" s="635"/>
    </row>
    <row r="11" ht="21">
      <c r="A11" s="647" t="s">
        <v>20</v>
      </c>
      <c r="B11" s="648" t="s">
        <v>21</v>
      </c>
      <c r="C11" s="649" t="s">
        <v>22</v>
      </c>
      <c r="D11" s="650" t="s">
        <v>23</v>
      </c>
      <c r="E11" s="651" t="s">
        <v>22</v>
      </c>
      <c r="F11" s="652" t="s">
        <v>23</v>
      </c>
      <c r="G11" s="653" t="s">
        <v>22</v>
      </c>
      <c r="H11" s="650" t="s">
        <v>23</v>
      </c>
      <c r="I11" s="651" t="s">
        <v>22</v>
      </c>
      <c r="J11" s="652" t="s">
        <v>23</v>
      </c>
      <c r="K11" s="653" t="s">
        <v>22</v>
      </c>
      <c r="L11" s="650" t="s">
        <v>23</v>
      </c>
      <c r="M11" s="651" t="s">
        <v>22</v>
      </c>
      <c r="N11" s="652" t="s">
        <v>23</v>
      </c>
      <c r="O11" s="653" t="s">
        <v>22</v>
      </c>
      <c r="P11" s="650" t="s">
        <v>23</v>
      </c>
      <c r="Q11" s="651" t="s">
        <v>22</v>
      </c>
      <c r="R11" s="654" t="s">
        <v>23</v>
      </c>
      <c r="S11" s="653" t="s">
        <v>22</v>
      </c>
      <c r="T11" s="650" t="s">
        <v>23</v>
      </c>
      <c r="U11" s="651" t="s">
        <v>22</v>
      </c>
      <c r="V11" s="652" t="s">
        <v>23</v>
      </c>
      <c r="W11" s="653" t="s">
        <v>22</v>
      </c>
      <c r="X11" s="650" t="s">
        <v>23</v>
      </c>
      <c r="Y11" s="651" t="s">
        <v>22</v>
      </c>
      <c r="Z11" s="654" t="s">
        <v>23</v>
      </c>
      <c r="AA11" s="635"/>
      <c r="AB11" s="635"/>
      <c r="AC11" s="655"/>
    </row>
    <row r="12" ht="54.950000000000003" customHeight="1">
      <c r="A12" s="656">
        <v>6</v>
      </c>
      <c r="B12" s="657" t="s">
        <v>24</v>
      </c>
      <c r="C12" s="658"/>
      <c r="D12" s="659"/>
      <c r="E12" s="660"/>
      <c r="F12" s="661"/>
      <c r="G12" s="662"/>
      <c r="H12" s="659"/>
      <c r="I12" s="660"/>
      <c r="J12" s="661"/>
      <c r="K12" s="662"/>
      <c r="L12" s="659"/>
      <c r="M12" s="660"/>
      <c r="N12" s="661"/>
      <c r="O12" s="662"/>
      <c r="P12" s="659"/>
      <c r="Q12" s="660"/>
      <c r="R12" s="663"/>
      <c r="S12" s="662"/>
      <c r="T12" s="659"/>
      <c r="U12" s="660"/>
      <c r="V12" s="661"/>
      <c r="W12" s="662"/>
      <c r="X12" s="659"/>
      <c r="Y12" s="660"/>
      <c r="Z12" s="663"/>
      <c r="AA12" s="635"/>
      <c r="AB12" s="635"/>
      <c r="AC12" s="664"/>
      <c r="AD12" s="664"/>
      <c r="AE12" s="664"/>
      <c r="AF12" s="664"/>
      <c r="AG12" s="664"/>
      <c r="AH12" s="664"/>
      <c r="AI12" s="664"/>
      <c r="AJ12" s="664"/>
    </row>
    <row r="13" ht="54.950000000000003" customHeight="1">
      <c r="A13" s="656"/>
      <c r="B13" s="657" t="s">
        <v>25</v>
      </c>
      <c r="C13" s="658"/>
      <c r="D13" s="659"/>
      <c r="E13" s="660"/>
      <c r="F13" s="661"/>
      <c r="G13" s="662"/>
      <c r="H13" s="659"/>
      <c r="I13" s="660"/>
      <c r="J13" s="661"/>
      <c r="K13" s="662"/>
      <c r="L13" s="659"/>
      <c r="M13" s="660"/>
      <c r="N13" s="661"/>
      <c r="O13" s="662"/>
      <c r="P13" s="659"/>
      <c r="Q13" s="660"/>
      <c r="R13" s="663"/>
      <c r="S13" s="662"/>
      <c r="T13" s="659"/>
      <c r="U13" s="660"/>
      <c r="V13" s="661"/>
      <c r="W13" s="662"/>
      <c r="X13" s="659"/>
      <c r="Y13" s="660"/>
      <c r="Z13" s="663"/>
      <c r="AA13" s="635"/>
      <c r="AB13" s="635"/>
      <c r="AC13" s="664"/>
      <c r="AD13" s="664"/>
      <c r="AE13" s="664"/>
      <c r="AF13" s="664"/>
      <c r="AG13" s="664"/>
      <c r="AH13" s="664"/>
      <c r="AI13" s="664"/>
      <c r="AJ13" s="664"/>
    </row>
    <row r="14" ht="54.950000000000003" customHeight="1">
      <c r="A14" s="656">
        <v>7</v>
      </c>
      <c r="B14" s="657" t="s">
        <v>26</v>
      </c>
      <c r="C14" s="658"/>
      <c r="D14" s="659"/>
      <c r="E14" s="660"/>
      <c r="F14" s="661"/>
      <c r="G14" s="662"/>
      <c r="H14" s="659"/>
      <c r="I14" s="660"/>
      <c r="J14" s="661"/>
      <c r="K14" s="662"/>
      <c r="L14" s="659"/>
      <c r="M14" s="660"/>
      <c r="N14" s="661"/>
      <c r="O14" s="662"/>
      <c r="P14" s="659"/>
      <c r="Q14" s="660"/>
      <c r="R14" s="663"/>
      <c r="S14" s="662"/>
      <c r="T14" s="659"/>
      <c r="U14" s="660"/>
      <c r="V14" s="661"/>
      <c r="W14" s="662"/>
      <c r="X14" s="659"/>
      <c r="Y14" s="660"/>
      <c r="Z14" s="663"/>
      <c r="AA14" s="635"/>
      <c r="AB14" s="635"/>
      <c r="AC14" s="664"/>
      <c r="AD14" s="664"/>
      <c r="AE14" s="664"/>
      <c r="AF14" s="664"/>
      <c r="AG14" s="664"/>
      <c r="AH14" s="664"/>
      <c r="AI14" s="664"/>
      <c r="AJ14" s="664"/>
    </row>
    <row r="15" ht="54.950000000000003" customHeight="1">
      <c r="A15" s="656"/>
      <c r="B15" s="657" t="s">
        <v>27</v>
      </c>
      <c r="C15" s="658"/>
      <c r="D15" s="659"/>
      <c r="E15" s="660"/>
      <c r="F15" s="661"/>
      <c r="G15" s="662"/>
      <c r="H15" s="659"/>
      <c r="I15" s="660"/>
      <c r="J15" s="661"/>
      <c r="K15" s="662"/>
      <c r="L15" s="659"/>
      <c r="M15" s="660"/>
      <c r="N15" s="661"/>
      <c r="O15" s="662"/>
      <c r="P15" s="659"/>
      <c r="Q15" s="660"/>
      <c r="R15" s="663"/>
      <c r="S15" s="662"/>
      <c r="T15" s="659"/>
      <c r="U15" s="660"/>
      <c r="V15" s="661"/>
      <c r="W15" s="662"/>
      <c r="X15" s="659"/>
      <c r="Y15" s="660"/>
      <c r="Z15" s="663"/>
      <c r="AA15" s="635"/>
      <c r="AB15" s="635"/>
      <c r="AC15" s="664"/>
      <c r="AD15" s="664"/>
      <c r="AE15" s="664"/>
      <c r="AF15" s="664"/>
      <c r="AG15" s="664"/>
      <c r="AH15" s="664"/>
      <c r="AI15" s="664"/>
      <c r="AJ15" s="664"/>
    </row>
    <row r="16" ht="54.950000000000003" customHeight="1">
      <c r="A16" s="656"/>
      <c r="B16" s="657" t="s">
        <v>24</v>
      </c>
      <c r="C16" s="658"/>
      <c r="D16" s="659"/>
      <c r="E16" s="660"/>
      <c r="F16" s="661"/>
      <c r="G16" s="662"/>
      <c r="H16" s="659"/>
      <c r="I16" s="660"/>
      <c r="J16" s="661"/>
      <c r="K16" s="662"/>
      <c r="L16" s="659"/>
      <c r="M16" s="660"/>
      <c r="N16" s="661"/>
      <c r="O16" s="662"/>
      <c r="P16" s="659"/>
      <c r="Q16" s="660"/>
      <c r="R16" s="663"/>
      <c r="S16" s="662"/>
      <c r="T16" s="659"/>
      <c r="U16" s="660"/>
      <c r="V16" s="661"/>
      <c r="W16" s="662"/>
      <c r="X16" s="659"/>
      <c r="Y16" s="660"/>
      <c r="Z16" s="663"/>
      <c r="AA16" s="635"/>
      <c r="AB16" s="635"/>
      <c r="AC16" s="664"/>
      <c r="AD16" s="664"/>
      <c r="AE16" s="664"/>
      <c r="AF16" s="664"/>
      <c r="AG16" s="664"/>
      <c r="AH16" s="664"/>
      <c r="AI16" s="664"/>
      <c r="AJ16" s="664"/>
    </row>
    <row r="17" ht="54.950000000000003" customHeight="1">
      <c r="A17" s="656"/>
      <c r="B17" s="657" t="s">
        <v>25</v>
      </c>
      <c r="C17" s="658"/>
      <c r="D17" s="659"/>
      <c r="E17" s="660"/>
      <c r="F17" s="661"/>
      <c r="G17" s="662"/>
      <c r="H17" s="659"/>
      <c r="I17" s="660"/>
      <c r="J17" s="661"/>
      <c r="K17" s="662"/>
      <c r="L17" s="659"/>
      <c r="M17" s="660"/>
      <c r="N17" s="661"/>
      <c r="O17" s="662"/>
      <c r="P17" s="659"/>
      <c r="Q17" s="660"/>
      <c r="R17" s="663"/>
      <c r="S17" s="662"/>
      <c r="T17" s="659"/>
      <c r="U17" s="660"/>
      <c r="V17" s="661"/>
      <c r="W17" s="662"/>
      <c r="X17" s="659"/>
      <c r="Y17" s="660"/>
      <c r="Z17" s="663"/>
      <c r="AA17" s="635"/>
      <c r="AB17" s="635"/>
      <c r="AC17" s="664"/>
      <c r="AD17" s="664"/>
      <c r="AE17" s="664"/>
      <c r="AF17" s="664"/>
      <c r="AG17" s="664"/>
      <c r="AH17" s="664"/>
      <c r="AI17" s="664"/>
      <c r="AJ17" s="664"/>
    </row>
    <row r="18" ht="54.950000000000003" customHeight="1">
      <c r="A18" s="656">
        <v>8</v>
      </c>
      <c r="B18" s="657" t="s">
        <v>26</v>
      </c>
      <c r="C18" s="658"/>
      <c r="D18" s="659"/>
      <c r="E18" s="660"/>
      <c r="F18" s="661"/>
      <c r="G18" s="662"/>
      <c r="H18" s="659"/>
      <c r="I18" s="660"/>
      <c r="J18" s="661"/>
      <c r="K18" s="662"/>
      <c r="L18" s="659"/>
      <c r="M18" s="660"/>
      <c r="N18" s="661"/>
      <c r="O18" s="662"/>
      <c r="P18" s="659"/>
      <c r="Q18" s="660"/>
      <c r="R18" s="663"/>
      <c r="S18" s="662"/>
      <c r="T18" s="659"/>
      <c r="U18" s="660"/>
      <c r="V18" s="661"/>
      <c r="W18" s="662"/>
      <c r="X18" s="659"/>
      <c r="Y18" s="660"/>
      <c r="Z18" s="663"/>
      <c r="AA18" s="635"/>
      <c r="AB18" s="635"/>
      <c r="AC18" s="664"/>
      <c r="AD18" s="664"/>
      <c r="AE18" s="664"/>
      <c r="AF18" s="664"/>
      <c r="AG18" s="664"/>
      <c r="AH18" s="664"/>
      <c r="AI18" s="664"/>
      <c r="AJ18" s="664"/>
    </row>
    <row r="19" ht="54.950000000000003" customHeight="1">
      <c r="A19" s="656"/>
      <c r="B19" s="657" t="s">
        <v>27</v>
      </c>
      <c r="C19" s="658"/>
      <c r="D19" s="659"/>
      <c r="E19" s="660"/>
      <c r="F19" s="661"/>
      <c r="G19" s="662"/>
      <c r="H19" s="659"/>
      <c r="I19" s="660"/>
      <c r="J19" s="661"/>
      <c r="K19" s="662"/>
      <c r="L19" s="659"/>
      <c r="M19" s="660"/>
      <c r="N19" s="661"/>
      <c r="O19" s="662"/>
      <c r="P19" s="659"/>
      <c r="Q19" s="660"/>
      <c r="R19" s="663"/>
      <c r="S19" s="662"/>
      <c r="T19" s="659"/>
      <c r="U19" s="660"/>
      <c r="V19" s="661"/>
      <c r="W19" s="662"/>
      <c r="X19" s="659"/>
      <c r="Y19" s="660"/>
      <c r="Z19" s="663"/>
      <c r="AA19" s="635"/>
      <c r="AB19" s="635"/>
      <c r="AC19" s="664"/>
      <c r="AD19" s="664"/>
      <c r="AE19" s="664"/>
      <c r="AF19" s="664"/>
      <c r="AG19" s="664"/>
      <c r="AH19" s="664"/>
      <c r="AI19" s="664"/>
      <c r="AJ19" s="664"/>
    </row>
    <row r="20" ht="54.950000000000003" customHeight="1">
      <c r="A20" s="656"/>
      <c r="B20" s="657" t="s">
        <v>24</v>
      </c>
      <c r="C20" s="658"/>
      <c r="D20" s="659"/>
      <c r="E20" s="660"/>
      <c r="F20" s="661"/>
      <c r="G20" s="662"/>
      <c r="H20" s="659"/>
      <c r="I20" s="660"/>
      <c r="J20" s="661"/>
      <c r="K20" s="662"/>
      <c r="L20" s="659"/>
      <c r="M20" s="660"/>
      <c r="N20" s="661"/>
      <c r="O20" s="662"/>
      <c r="P20" s="659"/>
      <c r="Q20" s="660"/>
      <c r="R20" s="663"/>
      <c r="S20" s="662"/>
      <c r="T20" s="659"/>
      <c r="U20" s="660"/>
      <c r="V20" s="661"/>
      <c r="W20" s="662"/>
      <c r="X20" s="659"/>
      <c r="Y20" s="660"/>
      <c r="Z20" s="663"/>
      <c r="AA20" s="635"/>
      <c r="AB20" s="635"/>
      <c r="AC20" s="664"/>
      <c r="AD20" s="664"/>
      <c r="AE20" s="664"/>
      <c r="AF20" s="664"/>
      <c r="AG20" s="664"/>
      <c r="AH20" s="664"/>
      <c r="AI20" s="664"/>
      <c r="AJ20" s="664"/>
    </row>
    <row r="21" ht="54.950000000000003" customHeight="1">
      <c r="A21" s="656"/>
      <c r="B21" s="657" t="s">
        <v>25</v>
      </c>
      <c r="C21" s="658"/>
      <c r="D21" s="659"/>
      <c r="E21" s="660"/>
      <c r="F21" s="661"/>
      <c r="G21" s="662"/>
      <c r="H21" s="659"/>
      <c r="I21" s="660"/>
      <c r="J21" s="661"/>
      <c r="K21" s="662"/>
      <c r="L21" s="659"/>
      <c r="M21" s="660"/>
      <c r="N21" s="661"/>
      <c r="O21" s="662"/>
      <c r="P21" s="659"/>
      <c r="Q21" s="660"/>
      <c r="R21" s="663"/>
      <c r="S21" s="662"/>
      <c r="T21" s="659"/>
      <c r="U21" s="660"/>
      <c r="V21" s="661"/>
      <c r="W21" s="662"/>
      <c r="X21" s="659"/>
      <c r="Y21" s="660"/>
      <c r="Z21" s="663"/>
      <c r="AA21" s="635"/>
      <c r="AB21" s="635"/>
      <c r="AC21" s="664"/>
      <c r="AD21" s="664"/>
      <c r="AE21" s="664"/>
      <c r="AF21" s="664"/>
      <c r="AG21" s="664"/>
      <c r="AH21" s="664"/>
      <c r="AI21" s="664"/>
      <c r="AJ21" s="664"/>
    </row>
    <row r="22" ht="54.950000000000003" customHeight="1">
      <c r="A22" s="656">
        <v>9</v>
      </c>
      <c r="B22" s="657" t="s">
        <v>26</v>
      </c>
      <c r="C22" s="658"/>
      <c r="D22" s="659"/>
      <c r="E22" s="660"/>
      <c r="F22" s="661"/>
      <c r="G22" s="662"/>
      <c r="H22" s="659"/>
      <c r="I22" s="660"/>
      <c r="J22" s="661"/>
      <c r="K22" s="662"/>
      <c r="L22" s="659"/>
      <c r="M22" s="660"/>
      <c r="N22" s="661"/>
      <c r="O22" s="662"/>
      <c r="P22" s="659"/>
      <c r="Q22" s="660"/>
      <c r="R22" s="663"/>
      <c r="S22" s="662"/>
      <c r="T22" s="659"/>
      <c r="U22" s="660"/>
      <c r="V22" s="661"/>
      <c r="W22" s="662"/>
      <c r="X22" s="659"/>
      <c r="Y22" s="660"/>
      <c r="Z22" s="663"/>
      <c r="AA22" s="635"/>
      <c r="AB22" s="635"/>
      <c r="AC22" s="664"/>
      <c r="AD22" s="664"/>
      <c r="AE22" s="664"/>
      <c r="AF22" s="664"/>
      <c r="AG22" s="664"/>
      <c r="AH22" s="664"/>
      <c r="AI22" s="664"/>
      <c r="AJ22" s="664"/>
    </row>
    <row r="23" ht="54.950000000000003" customHeight="1">
      <c r="A23" s="665"/>
      <c r="B23" s="666" t="s">
        <v>27</v>
      </c>
      <c r="C23" s="667"/>
      <c r="D23" s="668"/>
      <c r="E23" s="669"/>
      <c r="F23" s="670"/>
      <c r="G23" s="671"/>
      <c r="H23" s="668"/>
      <c r="I23" s="669"/>
      <c r="J23" s="670"/>
      <c r="K23" s="671"/>
      <c r="L23" s="668"/>
      <c r="M23" s="669"/>
      <c r="N23" s="670"/>
      <c r="O23" s="671"/>
      <c r="P23" s="668"/>
      <c r="Q23" s="669"/>
      <c r="R23" s="672"/>
      <c r="S23" s="671"/>
      <c r="T23" s="668"/>
      <c r="U23" s="669"/>
      <c r="V23" s="670"/>
      <c r="W23" s="671"/>
      <c r="X23" s="668"/>
      <c r="Y23" s="669"/>
      <c r="Z23" s="672"/>
      <c r="AA23" s="635"/>
      <c r="AB23" s="635"/>
      <c r="AC23" s="664"/>
      <c r="AD23" s="664"/>
      <c r="AE23" s="664"/>
      <c r="AF23" s="664"/>
      <c r="AG23" s="664"/>
      <c r="AH23" s="664"/>
      <c r="AI23" s="664"/>
      <c r="AJ23" s="664"/>
    </row>
    <row r="24" ht="54.950000000000003" customHeight="1">
      <c r="A24" s="673"/>
      <c r="B24" s="673"/>
      <c r="C24" s="635"/>
      <c r="D24" s="635"/>
      <c r="E24" s="635"/>
      <c r="F24" s="635"/>
      <c r="G24" s="635"/>
      <c r="H24" s="635"/>
      <c r="I24" s="635"/>
      <c r="J24" s="635"/>
      <c r="K24" s="635"/>
      <c r="L24" s="635"/>
      <c r="M24" s="635"/>
      <c r="N24" s="635"/>
      <c r="O24" s="635"/>
      <c r="P24" s="635"/>
      <c r="Q24" s="635"/>
      <c r="R24" s="635"/>
      <c r="S24" s="635"/>
      <c r="T24" s="635"/>
      <c r="U24" s="635"/>
      <c r="V24" s="635"/>
      <c r="W24" s="635"/>
      <c r="X24" s="635"/>
      <c r="Y24" s="635"/>
      <c r="Z24" s="635"/>
      <c r="AA24" s="635"/>
      <c r="AB24" s="635"/>
      <c r="AC24" s="664"/>
      <c r="AD24" s="664"/>
      <c r="AE24" s="664"/>
      <c r="AF24" s="664"/>
      <c r="AG24" s="664"/>
      <c r="AH24" s="664"/>
      <c r="AI24" s="664"/>
      <c r="AJ24" s="664"/>
    </row>
    <row r="25" ht="52.5" customHeight="1">
      <c r="A25" s="898" t="s">
        <v>95</v>
      </c>
      <c r="B25" s="899" t="str">
        <f>B1</f>
        <v xml:space="preserve">SCIENTRIER_Carrefour vers la Tour de Bellecombe</v>
      </c>
      <c r="C25" s="900"/>
      <c r="D25" s="900"/>
      <c r="E25" s="900"/>
      <c r="F25" s="901"/>
      <c r="G25" s="901"/>
      <c r="H25" s="900"/>
      <c r="I25" s="900"/>
      <c r="J25" s="901"/>
      <c r="K25" s="901"/>
      <c r="L25" s="902"/>
      <c r="M25" s="677" t="s">
        <v>2</v>
      </c>
      <c r="N25" s="903" t="str">
        <f>N1</f>
        <v xml:space="preserve">mardi 31 mai 2022</v>
      </c>
      <c r="O25" s="900"/>
      <c r="P25" s="900"/>
      <c r="Q25" s="900"/>
      <c r="R25" s="900"/>
      <c r="S25" s="900"/>
      <c r="T25" s="900"/>
      <c r="U25" s="900"/>
      <c r="V25" s="904"/>
      <c r="W25" s="679"/>
      <c r="X25" s="679"/>
      <c r="Y25" s="679"/>
      <c r="Z25" s="905"/>
      <c r="AA25" s="898" t="s">
        <v>95</v>
      </c>
      <c r="AB25" s="899" t="str">
        <f>B25</f>
        <v xml:space="preserve">SCIENTRIER_Carrefour vers la Tour de Bellecombe</v>
      </c>
      <c r="AC25" s="900"/>
      <c r="AD25" s="900"/>
      <c r="AE25" s="900"/>
      <c r="AF25" s="902"/>
      <c r="AG25" s="677" t="s">
        <v>96</v>
      </c>
      <c r="AH25" s="899" t="str">
        <f>N25</f>
        <v xml:space="preserve">mardi 31 mai 2022</v>
      </c>
      <c r="AI25" s="900"/>
      <c r="AJ25" s="900"/>
      <c r="AK25" s="904"/>
      <c r="AL25" s="906"/>
    </row>
    <row r="26" ht="52.5" customHeight="1">
      <c r="A26" s="898" t="s">
        <v>4</v>
      </c>
      <c r="B26" s="907"/>
      <c r="C26" s="629"/>
      <c r="D26" s="629"/>
      <c r="E26" s="629"/>
      <c r="F26" s="629"/>
      <c r="G26" s="899">
        <f>G2</f>
        <v>0</v>
      </c>
      <c r="H26" s="900"/>
      <c r="I26" s="900"/>
      <c r="J26" s="900"/>
      <c r="K26" s="900"/>
      <c r="L26" s="900"/>
      <c r="M26" s="900"/>
      <c r="N26" s="900"/>
      <c r="O26" s="900"/>
      <c r="P26" s="900"/>
      <c r="Q26" s="900"/>
      <c r="R26" s="900"/>
      <c r="S26" s="900"/>
      <c r="T26" s="900"/>
      <c r="U26" s="900"/>
      <c r="V26" s="904"/>
      <c r="W26" s="679"/>
      <c r="X26" s="679"/>
      <c r="Y26" s="679"/>
      <c r="Z26" s="679"/>
      <c r="AA26" s="898" t="s">
        <v>4</v>
      </c>
      <c r="AB26" s="907"/>
      <c r="AC26" s="629"/>
      <c r="AD26" s="629"/>
      <c r="AE26" s="899">
        <f>G26</f>
        <v>0</v>
      </c>
      <c r="AF26" s="900"/>
      <c r="AG26" s="900"/>
      <c r="AH26" s="900"/>
      <c r="AI26" s="900"/>
      <c r="AJ26" s="900"/>
      <c r="AK26" s="904"/>
      <c r="AL26" s="906"/>
    </row>
    <row r="27" ht="52.5" customHeight="1">
      <c r="A27" s="898" t="s">
        <v>6</v>
      </c>
      <c r="B27" s="679"/>
      <c r="C27" s="899">
        <f t="shared" ref="C27:C33" si="284">C3</f>
        <v>0</v>
      </c>
      <c r="D27" s="900"/>
      <c r="E27" s="900"/>
      <c r="F27" s="900"/>
      <c r="G27" s="900"/>
      <c r="H27" s="900"/>
      <c r="I27" s="900"/>
      <c r="J27" s="900"/>
      <c r="K27" s="900"/>
      <c r="L27" s="900"/>
      <c r="M27" s="900"/>
      <c r="N27" s="900"/>
      <c r="O27" s="900"/>
      <c r="P27" s="900"/>
      <c r="Q27" s="900"/>
      <c r="R27" s="900"/>
      <c r="S27" s="900"/>
      <c r="T27" s="900"/>
      <c r="U27" s="900"/>
      <c r="V27" s="904"/>
      <c r="W27" s="679"/>
      <c r="X27" s="679"/>
      <c r="Y27" s="679"/>
      <c r="Z27" s="905"/>
      <c r="AA27" s="898" t="s">
        <v>6</v>
      </c>
      <c r="AB27" s="679"/>
      <c r="AC27" s="899">
        <f t="shared" ref="AC27:AC28" si="285">C27</f>
        <v>0</v>
      </c>
      <c r="AD27" s="900"/>
      <c r="AE27" s="900"/>
      <c r="AF27" s="900"/>
      <c r="AG27" s="900"/>
      <c r="AH27" s="900"/>
      <c r="AI27" s="900"/>
      <c r="AJ27" s="900"/>
      <c r="AK27" s="904"/>
      <c r="AL27" s="906"/>
    </row>
    <row r="28" ht="52.5" customHeight="1">
      <c r="A28" s="618" t="s">
        <v>8</v>
      </c>
      <c r="B28" s="626"/>
      <c r="C28" s="899">
        <f t="shared" si="284"/>
        <v>0</v>
      </c>
      <c r="D28" s="900"/>
      <c r="E28" s="900"/>
      <c r="F28" s="900"/>
      <c r="G28" s="900"/>
      <c r="H28" s="900"/>
      <c r="I28" s="900"/>
      <c r="J28" s="900"/>
      <c r="K28" s="900"/>
      <c r="L28" s="900"/>
      <c r="M28" s="900"/>
      <c r="N28" s="900"/>
      <c r="O28" s="900"/>
      <c r="P28" s="900"/>
      <c r="Q28" s="900"/>
      <c r="R28" s="900"/>
      <c r="S28" s="900"/>
      <c r="T28" s="900"/>
      <c r="U28" s="900"/>
      <c r="V28" s="904"/>
      <c r="W28" s="626"/>
      <c r="X28" s="626"/>
      <c r="Y28" s="626"/>
      <c r="Z28" s="627"/>
      <c r="AA28" s="618" t="s">
        <v>8</v>
      </c>
      <c r="AB28" s="908"/>
      <c r="AC28" s="899">
        <f t="shared" si="285"/>
        <v>0</v>
      </c>
      <c r="AD28" s="900"/>
      <c r="AE28" s="900"/>
      <c r="AF28" s="900"/>
      <c r="AG28" s="900"/>
      <c r="AH28" s="900"/>
      <c r="AI28" s="900"/>
      <c r="AJ28" s="900"/>
      <c r="AK28" s="904"/>
      <c r="AL28" s="909"/>
    </row>
    <row r="29" ht="25.5" customHeight="1">
      <c r="A29" s="631"/>
      <c r="B29" s="629"/>
      <c r="C29" s="629"/>
      <c r="D29" s="629"/>
      <c r="E29" s="629"/>
      <c r="F29" s="629"/>
      <c r="G29" s="629"/>
      <c r="H29" s="629"/>
      <c r="I29" s="629"/>
      <c r="J29" s="629"/>
      <c r="K29" s="629"/>
      <c r="L29" s="629"/>
      <c r="M29" s="629"/>
      <c r="N29" s="629"/>
      <c r="O29" s="629"/>
      <c r="P29" s="629"/>
      <c r="Q29" s="629"/>
      <c r="R29" s="630"/>
      <c r="S29" s="629"/>
      <c r="T29" s="629"/>
      <c r="U29" s="629"/>
      <c r="V29" s="629"/>
      <c r="W29" s="629"/>
      <c r="X29" s="629"/>
      <c r="Y29" s="629"/>
      <c r="Z29" s="630"/>
      <c r="AA29" s="631"/>
      <c r="AB29" s="629"/>
      <c r="AC29" s="629"/>
      <c r="AD29" s="629"/>
      <c r="AE29" s="629"/>
      <c r="AF29" s="629"/>
      <c r="AG29" s="629"/>
      <c r="AH29" s="629"/>
      <c r="AI29" s="629"/>
      <c r="AJ29" s="629"/>
      <c r="AK29" s="629"/>
      <c r="AL29" s="910"/>
    </row>
    <row r="30" ht="25.5" customHeight="1">
      <c r="A30" s="631"/>
      <c r="B30" s="629"/>
      <c r="C30" s="629"/>
      <c r="D30" s="629"/>
      <c r="E30" s="629"/>
      <c r="F30" s="629"/>
      <c r="G30" s="629"/>
      <c r="H30" s="629"/>
      <c r="I30" s="629"/>
      <c r="J30" s="629"/>
      <c r="K30" s="629"/>
      <c r="L30" s="629"/>
      <c r="M30" s="629"/>
      <c r="N30" s="629"/>
      <c r="O30" s="629"/>
      <c r="P30" s="629"/>
      <c r="Q30" s="629"/>
      <c r="R30" s="630"/>
      <c r="S30" s="629"/>
      <c r="T30" s="629"/>
      <c r="U30" s="629"/>
      <c r="V30" s="629"/>
      <c r="W30" s="629"/>
      <c r="X30" s="629"/>
      <c r="Y30" s="629"/>
      <c r="Z30" s="630"/>
      <c r="AA30" s="631"/>
      <c r="AB30" s="629"/>
      <c r="AC30" s="629"/>
      <c r="AD30" s="629"/>
      <c r="AE30" s="629"/>
      <c r="AF30" s="629"/>
      <c r="AG30" s="629"/>
      <c r="AH30" s="629"/>
      <c r="AI30" s="629"/>
      <c r="AJ30" s="629"/>
      <c r="AK30" s="630"/>
      <c r="AL30" s="911"/>
    </row>
    <row r="31" ht="25.5" customHeight="1">
      <c r="A31" s="631"/>
      <c r="B31" s="629"/>
      <c r="C31" s="629"/>
      <c r="D31" s="629"/>
      <c r="E31" s="629"/>
      <c r="F31" s="629"/>
      <c r="G31" s="629"/>
      <c r="H31" s="629"/>
      <c r="I31" s="629"/>
      <c r="J31" s="629"/>
      <c r="K31" s="629"/>
      <c r="L31" s="629"/>
      <c r="M31" s="629"/>
      <c r="N31" s="629"/>
      <c r="O31" s="629"/>
      <c r="P31" s="629"/>
      <c r="Q31" s="629"/>
      <c r="R31" s="630"/>
      <c r="S31" s="629"/>
      <c r="T31" s="629"/>
      <c r="U31" s="629"/>
      <c r="V31" s="629"/>
      <c r="W31" s="629"/>
      <c r="X31" s="629"/>
      <c r="Y31" s="629"/>
      <c r="Z31" s="630"/>
      <c r="AA31" s="630"/>
      <c r="AB31" s="630"/>
      <c r="AC31" s="630"/>
      <c r="AD31" s="630"/>
      <c r="AE31" s="630"/>
      <c r="AF31" s="630"/>
      <c r="AG31" s="630"/>
      <c r="AH31" s="630"/>
      <c r="AI31" s="630"/>
      <c r="AJ31" s="630"/>
      <c r="AK31" s="630"/>
      <c r="AL31" s="912"/>
    </row>
    <row r="32" ht="32.25" customHeight="1">
      <c r="A32" s="628"/>
      <c r="B32" s="629"/>
      <c r="C32" s="632" t="str">
        <f t="shared" si="284"/>
        <v xml:space="preserve">Depuis 'La Roche'</v>
      </c>
      <c r="D32" s="633"/>
      <c r="E32" s="633"/>
      <c r="F32" s="633"/>
      <c r="G32" s="633"/>
      <c r="H32" s="633"/>
      <c r="I32" s="633"/>
      <c r="J32" s="633"/>
      <c r="K32" s="633" t="str">
        <f t="shared" ref="K32:K33" si="286">K8</f>
        <v xml:space="preserve">Depuis 'Reignier'</v>
      </c>
      <c r="L32" s="633"/>
      <c r="M32" s="633"/>
      <c r="N32" s="633"/>
      <c r="O32" s="633"/>
      <c r="P32" s="633"/>
      <c r="Q32" s="633"/>
      <c r="R32" s="634"/>
      <c r="S32" s="634" t="str">
        <f t="shared" ref="S32:S33" si="287">S8</f>
        <v xml:space="preserve">Depuis 'Findrol'</v>
      </c>
      <c r="T32" s="913"/>
      <c r="U32" s="913"/>
      <c r="V32" s="913"/>
      <c r="W32" s="913"/>
      <c r="X32" s="913"/>
      <c r="Y32" s="913"/>
      <c r="Z32" s="913"/>
      <c r="AA32" s="628"/>
      <c r="AB32" s="629"/>
      <c r="AC32" s="681" t="s">
        <v>31</v>
      </c>
      <c r="AD32" s="682" t="s">
        <v>32</v>
      </c>
      <c r="AE32" s="682" t="s">
        <v>33</v>
      </c>
      <c r="AF32" s="682" t="s">
        <v>34</v>
      </c>
      <c r="AG32" s="682" t="s">
        <v>129</v>
      </c>
      <c r="AH32" s="682" t="s">
        <v>130</v>
      </c>
      <c r="AI32" s="682" t="s">
        <v>36</v>
      </c>
      <c r="AJ32" s="685" t="s">
        <v>38</v>
      </c>
      <c r="AK32" s="686"/>
      <c r="AL32" s="687"/>
    </row>
    <row r="33" ht="22.699999999999999" customHeight="1">
      <c r="A33" s="628"/>
      <c r="B33" s="629"/>
      <c r="C33" s="637" t="str">
        <f t="shared" si="284"/>
        <v xml:space="preserve">vers 'Reignier'</v>
      </c>
      <c r="D33" s="638"/>
      <c r="E33" s="638"/>
      <c r="F33" s="638"/>
      <c r="G33" s="637" t="str">
        <f>G9</f>
        <v xml:space="preserve">vers 'Findrol'</v>
      </c>
      <c r="H33" s="638"/>
      <c r="I33" s="638"/>
      <c r="J33" s="638"/>
      <c r="K33" s="637" t="str">
        <f t="shared" si="286"/>
        <v xml:space="preserve">vers 'Findrol'</v>
      </c>
      <c r="L33" s="638"/>
      <c r="M33" s="638"/>
      <c r="N33" s="638"/>
      <c r="O33" s="637" t="str">
        <f>O9</f>
        <v xml:space="preserve">vers 'La Roche'</v>
      </c>
      <c r="P33" s="638"/>
      <c r="Q33" s="638"/>
      <c r="R33" s="638"/>
      <c r="S33" s="914" t="str">
        <f t="shared" si="287"/>
        <v xml:space="preserve">vers 'Reignier'</v>
      </c>
      <c r="T33" s="914"/>
      <c r="U33" s="914"/>
      <c r="V33" s="914"/>
      <c r="W33" s="914" t="str">
        <f>W9</f>
        <v xml:space="preserve">vers 'La Roche'</v>
      </c>
      <c r="X33" s="914"/>
      <c r="Y33" s="914"/>
      <c r="Z33" s="914"/>
      <c r="AA33" s="628"/>
      <c r="AB33" s="629"/>
      <c r="AC33" s="689"/>
      <c r="AD33" s="690"/>
      <c r="AE33" s="690"/>
      <c r="AF33" s="690"/>
      <c r="AG33" s="690"/>
      <c r="AH33" s="690"/>
      <c r="AI33" s="690"/>
      <c r="AJ33" s="693"/>
      <c r="AK33" s="694"/>
      <c r="AL33" s="695"/>
    </row>
    <row r="34" ht="18.600000000000001" customHeight="1">
      <c r="A34" s="915"/>
      <c r="B34" s="629"/>
      <c r="C34" s="641" t="s">
        <v>18</v>
      </c>
      <c r="D34" s="642"/>
      <c r="E34" s="643" t="s">
        <v>19</v>
      </c>
      <c r="F34" s="644"/>
      <c r="G34" s="645" t="s">
        <v>18</v>
      </c>
      <c r="H34" s="642"/>
      <c r="I34" s="643" t="s">
        <v>19</v>
      </c>
      <c r="J34" s="644"/>
      <c r="K34" s="645" t="s">
        <v>18</v>
      </c>
      <c r="L34" s="642"/>
      <c r="M34" s="643" t="s">
        <v>19</v>
      </c>
      <c r="N34" s="644"/>
      <c r="O34" s="645" t="s">
        <v>18</v>
      </c>
      <c r="P34" s="642"/>
      <c r="Q34" s="643" t="s">
        <v>19</v>
      </c>
      <c r="R34" s="646"/>
      <c r="S34" s="697" t="s">
        <v>18</v>
      </c>
      <c r="T34" s="916"/>
      <c r="U34" s="916" t="s">
        <v>19</v>
      </c>
      <c r="V34" s="916"/>
      <c r="W34" s="916" t="s">
        <v>18</v>
      </c>
      <c r="X34" s="916"/>
      <c r="Y34" s="916" t="s">
        <v>19</v>
      </c>
      <c r="Z34" s="916"/>
      <c r="AA34" s="915"/>
      <c r="AB34" s="629"/>
      <c r="AC34" s="689"/>
      <c r="AD34" s="690"/>
      <c r="AE34" s="690"/>
      <c r="AF34" s="690"/>
      <c r="AG34" s="690"/>
      <c r="AH34" s="690"/>
      <c r="AI34" s="690"/>
      <c r="AJ34" s="693"/>
      <c r="AK34" s="694"/>
      <c r="AL34" s="695"/>
    </row>
    <row r="35" ht="21">
      <c r="A35" s="698" t="s">
        <v>39</v>
      </c>
      <c r="B35" s="699"/>
      <c r="C35" s="649" t="s">
        <v>22</v>
      </c>
      <c r="D35" s="650" t="s">
        <v>23</v>
      </c>
      <c r="E35" s="651" t="s">
        <v>22</v>
      </c>
      <c r="F35" s="652" t="s">
        <v>23</v>
      </c>
      <c r="G35" s="653" t="s">
        <v>22</v>
      </c>
      <c r="H35" s="650" t="s">
        <v>23</v>
      </c>
      <c r="I35" s="651" t="s">
        <v>22</v>
      </c>
      <c r="J35" s="652" t="s">
        <v>23</v>
      </c>
      <c r="K35" s="653" t="s">
        <v>22</v>
      </c>
      <c r="L35" s="650" t="s">
        <v>23</v>
      </c>
      <c r="M35" s="651" t="s">
        <v>22</v>
      </c>
      <c r="N35" s="652" t="s">
        <v>23</v>
      </c>
      <c r="O35" s="653" t="s">
        <v>22</v>
      </c>
      <c r="P35" s="650" t="s">
        <v>23</v>
      </c>
      <c r="Q35" s="651" t="s">
        <v>22</v>
      </c>
      <c r="R35" s="654" t="s">
        <v>23</v>
      </c>
      <c r="S35" s="917" t="s">
        <v>22</v>
      </c>
      <c r="T35" s="918" t="s">
        <v>23</v>
      </c>
      <c r="U35" s="918" t="s">
        <v>22</v>
      </c>
      <c r="V35" s="918" t="s">
        <v>23</v>
      </c>
      <c r="W35" s="918" t="s">
        <v>22</v>
      </c>
      <c r="X35" s="918" t="s">
        <v>23</v>
      </c>
      <c r="Y35" s="918" t="s">
        <v>22</v>
      </c>
      <c r="Z35" s="918" t="s">
        <v>23</v>
      </c>
      <c r="AA35" s="919" t="s">
        <v>39</v>
      </c>
      <c r="AB35" s="919"/>
      <c r="AC35" s="689"/>
      <c r="AD35" s="702"/>
      <c r="AE35" s="702"/>
      <c r="AF35" s="702"/>
      <c r="AG35" s="702"/>
      <c r="AH35" s="702"/>
      <c r="AI35" s="702"/>
      <c r="AJ35" s="705"/>
      <c r="AK35" s="706"/>
      <c r="AL35" s="707"/>
    </row>
    <row r="36" ht="54.950000000000003" customHeight="1">
      <c r="A36" s="708" t="s">
        <v>40</v>
      </c>
      <c r="B36" s="709"/>
      <c r="C36" s="710">
        <f>SUM(C12:C15)</f>
        <v>0</v>
      </c>
      <c r="D36" s="711">
        <f t="shared" ref="D36:Z36" si="288">SUM(D12:D15)</f>
        <v>0</v>
      </c>
      <c r="E36" s="712">
        <f t="shared" si="288"/>
        <v>0</v>
      </c>
      <c r="F36" s="713">
        <f t="shared" si="288"/>
        <v>0</v>
      </c>
      <c r="G36" s="714">
        <f t="shared" si="288"/>
        <v>0</v>
      </c>
      <c r="H36" s="711">
        <f t="shared" si="288"/>
        <v>0</v>
      </c>
      <c r="I36" s="712">
        <f t="shared" si="288"/>
        <v>0</v>
      </c>
      <c r="J36" s="713">
        <f t="shared" si="288"/>
        <v>0</v>
      </c>
      <c r="K36" s="714">
        <f t="shared" si="288"/>
        <v>0</v>
      </c>
      <c r="L36" s="711">
        <f t="shared" si="288"/>
        <v>0</v>
      </c>
      <c r="M36" s="712">
        <f t="shared" si="288"/>
        <v>0</v>
      </c>
      <c r="N36" s="713">
        <f t="shared" si="288"/>
        <v>0</v>
      </c>
      <c r="O36" s="714">
        <f t="shared" si="288"/>
        <v>0</v>
      </c>
      <c r="P36" s="711">
        <f t="shared" si="288"/>
        <v>0</v>
      </c>
      <c r="Q36" s="712">
        <f t="shared" si="288"/>
        <v>0</v>
      </c>
      <c r="R36" s="715">
        <f t="shared" si="288"/>
        <v>0</v>
      </c>
      <c r="S36" s="920">
        <f t="shared" si="288"/>
        <v>0</v>
      </c>
      <c r="T36" s="921">
        <f t="shared" si="288"/>
        <v>0</v>
      </c>
      <c r="U36" s="921">
        <f t="shared" si="288"/>
        <v>0</v>
      </c>
      <c r="V36" s="921">
        <f t="shared" si="288"/>
        <v>0</v>
      </c>
      <c r="W36" s="921">
        <f t="shared" si="288"/>
        <v>0</v>
      </c>
      <c r="X36" s="921">
        <f t="shared" si="288"/>
        <v>0</v>
      </c>
      <c r="Y36" s="921">
        <f t="shared" si="288"/>
        <v>0</v>
      </c>
      <c r="Z36" s="921">
        <f t="shared" si="288"/>
        <v>0</v>
      </c>
      <c r="AA36" s="922" t="s">
        <v>40</v>
      </c>
      <c r="AB36" s="922"/>
      <c r="AC36" s="923">
        <f t="shared" ref="AC36:AC42" si="289">SUM(C36:Z36)</f>
        <v>0</v>
      </c>
      <c r="AD36" s="719">
        <f t="shared" ref="AD36:AD42" si="290">IF(AC36=0,0,AD48/AC36)</f>
        <v>0</v>
      </c>
      <c r="AE36" s="719">
        <f t="shared" ref="AE36:AE42" si="291">IF(AC36=0,0,AE48/AC36)</f>
        <v>0</v>
      </c>
      <c r="AF36" s="719">
        <f t="shared" ref="AF36:AF42" si="292">IF(AE48=0,0,AF48/AE48)</f>
        <v>0</v>
      </c>
      <c r="AG36" s="719">
        <f t="shared" ref="AG36:AG42" si="293">IF(AC36=0,0,AG48/AC36)</f>
        <v>0</v>
      </c>
      <c r="AH36" s="719">
        <f t="shared" ref="AH36:AH42" si="294">IF(AC36=0,0,AH48/AC36)</f>
        <v>0</v>
      </c>
      <c r="AI36" s="719">
        <f t="shared" ref="AI36:AI42" si="295">IF(AC36=0,0,AI48/AC36)</f>
        <v>0</v>
      </c>
      <c r="AJ36" s="924"/>
      <c r="AK36" s="925"/>
      <c r="AL36" s="926"/>
    </row>
    <row r="37" ht="54.950000000000003" customHeight="1">
      <c r="A37" s="723" t="s">
        <v>41</v>
      </c>
      <c r="B37" s="724"/>
      <c r="C37" s="725">
        <f>SUM(C14:C17)</f>
        <v>0</v>
      </c>
      <c r="D37" s="726">
        <f t="shared" ref="D37:Z37" si="296">SUM(D14:D17)</f>
        <v>0</v>
      </c>
      <c r="E37" s="727">
        <f t="shared" si="296"/>
        <v>0</v>
      </c>
      <c r="F37" s="728">
        <f t="shared" si="296"/>
        <v>0</v>
      </c>
      <c r="G37" s="729">
        <f t="shared" si="296"/>
        <v>0</v>
      </c>
      <c r="H37" s="726">
        <f t="shared" si="296"/>
        <v>0</v>
      </c>
      <c r="I37" s="727">
        <f t="shared" si="296"/>
        <v>0</v>
      </c>
      <c r="J37" s="728">
        <f t="shared" si="296"/>
        <v>0</v>
      </c>
      <c r="K37" s="729">
        <f t="shared" si="296"/>
        <v>0</v>
      </c>
      <c r="L37" s="726">
        <f t="shared" si="296"/>
        <v>0</v>
      </c>
      <c r="M37" s="727">
        <f t="shared" si="296"/>
        <v>0</v>
      </c>
      <c r="N37" s="728">
        <f t="shared" si="296"/>
        <v>0</v>
      </c>
      <c r="O37" s="729">
        <f t="shared" si="296"/>
        <v>0</v>
      </c>
      <c r="P37" s="726">
        <f t="shared" si="296"/>
        <v>0</v>
      </c>
      <c r="Q37" s="727">
        <f t="shared" si="296"/>
        <v>0</v>
      </c>
      <c r="R37" s="730">
        <f t="shared" si="296"/>
        <v>0</v>
      </c>
      <c r="S37" s="927">
        <f t="shared" si="296"/>
        <v>0</v>
      </c>
      <c r="T37" s="928">
        <f t="shared" si="296"/>
        <v>0</v>
      </c>
      <c r="U37" s="928">
        <f t="shared" si="296"/>
        <v>0</v>
      </c>
      <c r="V37" s="928">
        <f t="shared" si="296"/>
        <v>0</v>
      </c>
      <c r="W37" s="928">
        <f t="shared" si="296"/>
        <v>0</v>
      </c>
      <c r="X37" s="928">
        <f t="shared" si="296"/>
        <v>0</v>
      </c>
      <c r="Y37" s="928">
        <f t="shared" si="296"/>
        <v>0</v>
      </c>
      <c r="Z37" s="928">
        <f t="shared" si="296"/>
        <v>0</v>
      </c>
      <c r="AA37" s="929" t="s">
        <v>41</v>
      </c>
      <c r="AB37" s="929"/>
      <c r="AC37" s="930">
        <f t="shared" si="289"/>
        <v>0</v>
      </c>
      <c r="AD37" s="734">
        <f t="shared" si="290"/>
        <v>0</v>
      </c>
      <c r="AE37" s="734">
        <f t="shared" si="291"/>
        <v>0</v>
      </c>
      <c r="AF37" s="734">
        <f t="shared" si="292"/>
        <v>0</v>
      </c>
      <c r="AG37" s="734">
        <f t="shared" si="293"/>
        <v>0</v>
      </c>
      <c r="AH37" s="734">
        <f t="shared" si="294"/>
        <v>0</v>
      </c>
      <c r="AI37" s="734">
        <f t="shared" si="295"/>
        <v>0</v>
      </c>
      <c r="AJ37" s="931"/>
      <c r="AK37" s="932"/>
      <c r="AL37" s="933"/>
    </row>
    <row r="38" ht="54.950000000000003" customHeight="1">
      <c r="A38" s="723" t="s">
        <v>42</v>
      </c>
      <c r="B38" s="724"/>
      <c r="C38" s="725">
        <f>SUM(C16:C19)</f>
        <v>0</v>
      </c>
      <c r="D38" s="726">
        <f t="shared" ref="D38:Z38" si="297">SUM(D16:D19)</f>
        <v>0</v>
      </c>
      <c r="E38" s="727">
        <f t="shared" si="297"/>
        <v>0</v>
      </c>
      <c r="F38" s="728">
        <f t="shared" si="297"/>
        <v>0</v>
      </c>
      <c r="G38" s="729">
        <f t="shared" si="297"/>
        <v>0</v>
      </c>
      <c r="H38" s="726">
        <f t="shared" si="297"/>
        <v>0</v>
      </c>
      <c r="I38" s="727">
        <f t="shared" si="297"/>
        <v>0</v>
      </c>
      <c r="J38" s="728">
        <f t="shared" si="297"/>
        <v>0</v>
      </c>
      <c r="K38" s="729">
        <f t="shared" si="297"/>
        <v>0</v>
      </c>
      <c r="L38" s="726">
        <f t="shared" si="297"/>
        <v>0</v>
      </c>
      <c r="M38" s="727">
        <f t="shared" si="297"/>
        <v>0</v>
      </c>
      <c r="N38" s="728">
        <f t="shared" si="297"/>
        <v>0</v>
      </c>
      <c r="O38" s="729">
        <f t="shared" si="297"/>
        <v>0</v>
      </c>
      <c r="P38" s="726">
        <f t="shared" si="297"/>
        <v>0</v>
      </c>
      <c r="Q38" s="727">
        <f t="shared" si="297"/>
        <v>0</v>
      </c>
      <c r="R38" s="730">
        <f t="shared" si="297"/>
        <v>0</v>
      </c>
      <c r="S38" s="927">
        <f t="shared" si="297"/>
        <v>0</v>
      </c>
      <c r="T38" s="928">
        <f t="shared" si="297"/>
        <v>0</v>
      </c>
      <c r="U38" s="928">
        <f t="shared" si="297"/>
        <v>0</v>
      </c>
      <c r="V38" s="928">
        <f t="shared" si="297"/>
        <v>0</v>
      </c>
      <c r="W38" s="928">
        <f t="shared" si="297"/>
        <v>0</v>
      </c>
      <c r="X38" s="928">
        <f t="shared" si="297"/>
        <v>0</v>
      </c>
      <c r="Y38" s="928">
        <f t="shared" si="297"/>
        <v>0</v>
      </c>
      <c r="Z38" s="928">
        <f t="shared" si="297"/>
        <v>0</v>
      </c>
      <c r="AA38" s="929" t="s">
        <v>42</v>
      </c>
      <c r="AB38" s="929"/>
      <c r="AC38" s="930">
        <f t="shared" si="289"/>
        <v>0</v>
      </c>
      <c r="AD38" s="734">
        <f t="shared" si="290"/>
        <v>0</v>
      </c>
      <c r="AE38" s="734">
        <f t="shared" si="291"/>
        <v>0</v>
      </c>
      <c r="AF38" s="734">
        <f t="shared" si="292"/>
        <v>0</v>
      </c>
      <c r="AG38" s="734">
        <f t="shared" si="293"/>
        <v>0</v>
      </c>
      <c r="AH38" s="734">
        <f t="shared" si="294"/>
        <v>0</v>
      </c>
      <c r="AI38" s="734">
        <f t="shared" si="295"/>
        <v>0</v>
      </c>
      <c r="AJ38" s="931"/>
      <c r="AK38" s="932"/>
      <c r="AL38" s="933"/>
    </row>
    <row r="39" ht="54.950000000000003" customHeight="1">
      <c r="A39" s="723" t="s">
        <v>43</v>
      </c>
      <c r="B39" s="724"/>
      <c r="C39" s="725">
        <f>SUM(C18:C21)</f>
        <v>0</v>
      </c>
      <c r="D39" s="726">
        <f t="shared" ref="D39:Z39" si="298">SUM(D18:D21)</f>
        <v>0</v>
      </c>
      <c r="E39" s="727">
        <f t="shared" si="298"/>
        <v>0</v>
      </c>
      <c r="F39" s="728">
        <f t="shared" si="298"/>
        <v>0</v>
      </c>
      <c r="G39" s="729">
        <f t="shared" si="298"/>
        <v>0</v>
      </c>
      <c r="H39" s="726">
        <f t="shared" si="298"/>
        <v>0</v>
      </c>
      <c r="I39" s="727">
        <f t="shared" si="298"/>
        <v>0</v>
      </c>
      <c r="J39" s="728">
        <f t="shared" si="298"/>
        <v>0</v>
      </c>
      <c r="K39" s="729">
        <f t="shared" si="298"/>
        <v>0</v>
      </c>
      <c r="L39" s="726">
        <f t="shared" si="298"/>
        <v>0</v>
      </c>
      <c r="M39" s="727">
        <f t="shared" si="298"/>
        <v>0</v>
      </c>
      <c r="N39" s="728">
        <f t="shared" si="298"/>
        <v>0</v>
      </c>
      <c r="O39" s="729">
        <f t="shared" si="298"/>
        <v>0</v>
      </c>
      <c r="P39" s="726">
        <f t="shared" si="298"/>
        <v>0</v>
      </c>
      <c r="Q39" s="727">
        <f t="shared" si="298"/>
        <v>0</v>
      </c>
      <c r="R39" s="730">
        <f t="shared" si="298"/>
        <v>0</v>
      </c>
      <c r="S39" s="927">
        <f t="shared" si="298"/>
        <v>0</v>
      </c>
      <c r="T39" s="928">
        <f t="shared" si="298"/>
        <v>0</v>
      </c>
      <c r="U39" s="928">
        <f t="shared" si="298"/>
        <v>0</v>
      </c>
      <c r="V39" s="928">
        <f t="shared" si="298"/>
        <v>0</v>
      </c>
      <c r="W39" s="928">
        <f t="shared" si="298"/>
        <v>0</v>
      </c>
      <c r="X39" s="928">
        <f t="shared" si="298"/>
        <v>0</v>
      </c>
      <c r="Y39" s="928">
        <f t="shared" si="298"/>
        <v>0</v>
      </c>
      <c r="Z39" s="928">
        <f t="shared" si="298"/>
        <v>0</v>
      </c>
      <c r="AA39" s="929" t="s">
        <v>43</v>
      </c>
      <c r="AB39" s="929"/>
      <c r="AC39" s="930">
        <f t="shared" si="289"/>
        <v>0</v>
      </c>
      <c r="AD39" s="734">
        <f t="shared" si="290"/>
        <v>0</v>
      </c>
      <c r="AE39" s="734">
        <f t="shared" si="291"/>
        <v>0</v>
      </c>
      <c r="AF39" s="734">
        <f t="shared" si="292"/>
        <v>0</v>
      </c>
      <c r="AG39" s="734">
        <f t="shared" si="293"/>
        <v>0</v>
      </c>
      <c r="AH39" s="734">
        <f t="shared" si="294"/>
        <v>0</v>
      </c>
      <c r="AI39" s="734">
        <f t="shared" si="295"/>
        <v>0</v>
      </c>
      <c r="AJ39" s="931"/>
      <c r="AK39" s="932"/>
      <c r="AL39" s="933"/>
    </row>
    <row r="40" ht="54.950000000000003" customHeight="1">
      <c r="A40" s="738" t="s">
        <v>44</v>
      </c>
      <c r="B40" s="739"/>
      <c r="C40" s="740">
        <f>SUM(C20:C23)</f>
        <v>0</v>
      </c>
      <c r="D40" s="741">
        <f t="shared" ref="D40:Z40" si="299">SUM(D20:D23)</f>
        <v>0</v>
      </c>
      <c r="E40" s="742">
        <f t="shared" si="299"/>
        <v>0</v>
      </c>
      <c r="F40" s="743">
        <f t="shared" si="299"/>
        <v>0</v>
      </c>
      <c r="G40" s="744">
        <f t="shared" si="299"/>
        <v>0</v>
      </c>
      <c r="H40" s="741">
        <f t="shared" si="299"/>
        <v>0</v>
      </c>
      <c r="I40" s="742">
        <f t="shared" si="299"/>
        <v>0</v>
      </c>
      <c r="J40" s="743">
        <f t="shared" si="299"/>
        <v>0</v>
      </c>
      <c r="K40" s="744">
        <f t="shared" si="299"/>
        <v>0</v>
      </c>
      <c r="L40" s="741">
        <f t="shared" si="299"/>
        <v>0</v>
      </c>
      <c r="M40" s="742">
        <f t="shared" si="299"/>
        <v>0</v>
      </c>
      <c r="N40" s="743">
        <f t="shared" si="299"/>
        <v>0</v>
      </c>
      <c r="O40" s="744">
        <f t="shared" si="299"/>
        <v>0</v>
      </c>
      <c r="P40" s="741">
        <f t="shared" si="299"/>
        <v>0</v>
      </c>
      <c r="Q40" s="742">
        <f t="shared" si="299"/>
        <v>0</v>
      </c>
      <c r="R40" s="745">
        <f t="shared" si="299"/>
        <v>0</v>
      </c>
      <c r="S40" s="934">
        <f t="shared" si="299"/>
        <v>0</v>
      </c>
      <c r="T40" s="935">
        <f t="shared" si="299"/>
        <v>0</v>
      </c>
      <c r="U40" s="935">
        <f t="shared" si="299"/>
        <v>0</v>
      </c>
      <c r="V40" s="935">
        <f t="shared" si="299"/>
        <v>0</v>
      </c>
      <c r="W40" s="935">
        <f t="shared" si="299"/>
        <v>0</v>
      </c>
      <c r="X40" s="935">
        <f t="shared" si="299"/>
        <v>0</v>
      </c>
      <c r="Y40" s="935">
        <f t="shared" si="299"/>
        <v>0</v>
      </c>
      <c r="Z40" s="935">
        <f t="shared" si="299"/>
        <v>0</v>
      </c>
      <c r="AA40" s="936" t="s">
        <v>44</v>
      </c>
      <c r="AB40" s="936"/>
      <c r="AC40" s="937">
        <f t="shared" si="289"/>
        <v>0</v>
      </c>
      <c r="AD40" s="749">
        <f t="shared" si="290"/>
        <v>0</v>
      </c>
      <c r="AE40" s="749">
        <f t="shared" si="291"/>
        <v>0</v>
      </c>
      <c r="AF40" s="749">
        <f t="shared" si="292"/>
        <v>0</v>
      </c>
      <c r="AG40" s="749">
        <f t="shared" si="293"/>
        <v>0</v>
      </c>
      <c r="AH40" s="749">
        <f t="shared" si="294"/>
        <v>0</v>
      </c>
      <c r="AI40" s="749">
        <f t="shared" si="295"/>
        <v>0</v>
      </c>
      <c r="AJ40" s="938"/>
      <c r="AK40" s="939"/>
      <c r="AL40" s="940"/>
    </row>
    <row r="41" ht="54.950000000000003" customHeight="1">
      <c r="A41" s="753" t="s">
        <v>31</v>
      </c>
      <c r="B41" s="754"/>
      <c r="C41" s="755">
        <f>SUM(C12:C23)</f>
        <v>0</v>
      </c>
      <c r="D41" s="756">
        <f t="shared" ref="D41:Z41" si="300">SUM(D12:D23)</f>
        <v>0</v>
      </c>
      <c r="E41" s="757">
        <f t="shared" si="300"/>
        <v>0</v>
      </c>
      <c r="F41" s="758">
        <f t="shared" si="300"/>
        <v>0</v>
      </c>
      <c r="G41" s="759">
        <f t="shared" si="300"/>
        <v>0</v>
      </c>
      <c r="H41" s="756">
        <f t="shared" si="300"/>
        <v>0</v>
      </c>
      <c r="I41" s="757">
        <f t="shared" si="300"/>
        <v>0</v>
      </c>
      <c r="J41" s="758">
        <f t="shared" si="300"/>
        <v>0</v>
      </c>
      <c r="K41" s="759">
        <f t="shared" si="300"/>
        <v>0</v>
      </c>
      <c r="L41" s="756">
        <f t="shared" si="300"/>
        <v>0</v>
      </c>
      <c r="M41" s="757">
        <f t="shared" si="300"/>
        <v>0</v>
      </c>
      <c r="N41" s="758">
        <f t="shared" si="300"/>
        <v>0</v>
      </c>
      <c r="O41" s="759">
        <f t="shared" si="300"/>
        <v>0</v>
      </c>
      <c r="P41" s="756">
        <f t="shared" si="300"/>
        <v>0</v>
      </c>
      <c r="Q41" s="757">
        <f t="shared" si="300"/>
        <v>0</v>
      </c>
      <c r="R41" s="760">
        <f t="shared" si="300"/>
        <v>0</v>
      </c>
      <c r="S41" s="941">
        <f t="shared" si="300"/>
        <v>0</v>
      </c>
      <c r="T41" s="942">
        <f t="shared" si="300"/>
        <v>0</v>
      </c>
      <c r="U41" s="942">
        <f t="shared" si="300"/>
        <v>0</v>
      </c>
      <c r="V41" s="942">
        <f t="shared" si="300"/>
        <v>0</v>
      </c>
      <c r="W41" s="942">
        <f t="shared" si="300"/>
        <v>0</v>
      </c>
      <c r="X41" s="942">
        <f t="shared" si="300"/>
        <v>0</v>
      </c>
      <c r="Y41" s="942">
        <f t="shared" si="300"/>
        <v>0</v>
      </c>
      <c r="Z41" s="942">
        <f t="shared" si="300"/>
        <v>0</v>
      </c>
      <c r="AA41" s="943" t="s">
        <v>31</v>
      </c>
      <c r="AB41" s="943"/>
      <c r="AC41" s="944">
        <f t="shared" si="289"/>
        <v>0</v>
      </c>
      <c r="AD41" s="764">
        <f t="shared" si="290"/>
        <v>0</v>
      </c>
      <c r="AE41" s="764">
        <f t="shared" si="291"/>
        <v>0</v>
      </c>
      <c r="AF41" s="764">
        <f t="shared" si="292"/>
        <v>0</v>
      </c>
      <c r="AG41" s="764">
        <f t="shared" si="293"/>
        <v>0</v>
      </c>
      <c r="AH41" s="764">
        <f t="shared" si="294"/>
        <v>0</v>
      </c>
      <c r="AI41" s="764">
        <f t="shared" si="295"/>
        <v>0</v>
      </c>
      <c r="AJ41" s="945"/>
      <c r="AK41" s="946"/>
      <c r="AL41" s="947"/>
    </row>
    <row r="42" ht="54.950000000000003" customHeight="1">
      <c r="A42" s="768" t="str">
        <f>IF($AC$36=MAX($AC$36:$AC$40),A36,IF($AC$37=MAX($AC$36:$AC$40),A37,IF($AC$38=MAX($AC$36:$AC$40),A38,IF($AC$39=MAX($AC$36:$AC$40),A39,A40))))</f>
        <v xml:space="preserve">de 6:30 à 7:30</v>
      </c>
      <c r="B42" s="769"/>
      <c r="C42" s="770">
        <f>IF($AC$36=MAX($AC$36:$AC$40),C36,IF($AC$37=MAX($AC$36:$AC$40),C37,IF($AC$38=MAX($AC$36:$AC$40),C38,IF($AC$39=MAX($AC$36:$AC$40),C39,C40))))</f>
        <v>0</v>
      </c>
      <c r="D42" s="771">
        <f t="shared" ref="D42:Z42" si="301">IF($AC$36=MAX($AC$36:$AC$40),D36,IF($AC$37=MAX($AC$36:$AC$40),D37,IF($AC$38=MAX($AC$36:$AC$40),D38,IF($AC$39=MAX($AC$36:$AC$40),D39,D40))))</f>
        <v>0</v>
      </c>
      <c r="E42" s="772">
        <f t="shared" si="301"/>
        <v>0</v>
      </c>
      <c r="F42" s="773">
        <f t="shared" si="301"/>
        <v>0</v>
      </c>
      <c r="G42" s="774">
        <f t="shared" si="301"/>
        <v>0</v>
      </c>
      <c r="H42" s="771">
        <f t="shared" si="301"/>
        <v>0</v>
      </c>
      <c r="I42" s="772">
        <f t="shared" si="301"/>
        <v>0</v>
      </c>
      <c r="J42" s="773">
        <f t="shared" si="301"/>
        <v>0</v>
      </c>
      <c r="K42" s="774">
        <f t="shared" si="301"/>
        <v>0</v>
      </c>
      <c r="L42" s="771">
        <f t="shared" si="301"/>
        <v>0</v>
      </c>
      <c r="M42" s="772">
        <f t="shared" si="301"/>
        <v>0</v>
      </c>
      <c r="N42" s="773">
        <f t="shared" si="301"/>
        <v>0</v>
      </c>
      <c r="O42" s="774">
        <f t="shared" si="301"/>
        <v>0</v>
      </c>
      <c r="P42" s="771">
        <f t="shared" si="301"/>
        <v>0</v>
      </c>
      <c r="Q42" s="772">
        <f t="shared" si="301"/>
        <v>0</v>
      </c>
      <c r="R42" s="775">
        <f t="shared" si="301"/>
        <v>0</v>
      </c>
      <c r="S42" s="948">
        <f t="shared" si="301"/>
        <v>0</v>
      </c>
      <c r="T42" s="949">
        <f t="shared" si="301"/>
        <v>0</v>
      </c>
      <c r="U42" s="949">
        <f t="shared" si="301"/>
        <v>0</v>
      </c>
      <c r="V42" s="949">
        <f t="shared" si="301"/>
        <v>0</v>
      </c>
      <c r="W42" s="949">
        <f t="shared" si="301"/>
        <v>0</v>
      </c>
      <c r="X42" s="949">
        <f t="shared" si="301"/>
        <v>0</v>
      </c>
      <c r="Y42" s="949">
        <f t="shared" si="301"/>
        <v>0</v>
      </c>
      <c r="Z42" s="949">
        <f t="shared" si="301"/>
        <v>0</v>
      </c>
      <c r="AA42" s="950" t="str">
        <f>A42</f>
        <v xml:space="preserve">de 6:30 à 7:30</v>
      </c>
      <c r="AB42" s="950"/>
      <c r="AC42" s="951">
        <f t="shared" si="289"/>
        <v>0</v>
      </c>
      <c r="AD42" s="779">
        <f t="shared" si="290"/>
        <v>0</v>
      </c>
      <c r="AE42" s="779">
        <f t="shared" si="291"/>
        <v>0</v>
      </c>
      <c r="AF42" s="779">
        <f t="shared" si="292"/>
        <v>0</v>
      </c>
      <c r="AG42" s="779">
        <f t="shared" si="293"/>
        <v>0</v>
      </c>
      <c r="AH42" s="779">
        <f t="shared" si="294"/>
        <v>0</v>
      </c>
      <c r="AI42" s="779">
        <f t="shared" si="295"/>
        <v>0</v>
      </c>
      <c r="AJ42" s="952"/>
      <c r="AK42" s="953"/>
      <c r="AL42" s="954"/>
    </row>
    <row r="43" ht="12.75" customHeight="1">
      <c r="A43" s="783"/>
      <c r="B43" s="784"/>
      <c r="C43" s="784"/>
      <c r="D43" s="784"/>
      <c r="E43" s="784"/>
      <c r="F43" s="784"/>
      <c r="G43" s="784"/>
      <c r="H43" s="784"/>
      <c r="I43" s="784"/>
      <c r="J43" s="784"/>
      <c r="K43" s="784"/>
      <c r="L43" s="784"/>
      <c r="M43" s="784"/>
      <c r="N43" s="784"/>
      <c r="O43" s="784"/>
      <c r="P43" s="784"/>
      <c r="Q43" s="784"/>
      <c r="R43" s="784"/>
      <c r="S43" s="783"/>
      <c r="T43" s="784"/>
      <c r="U43" s="784"/>
      <c r="V43" s="784"/>
      <c r="W43" s="784"/>
      <c r="X43" s="784"/>
      <c r="Y43" s="784"/>
      <c r="Z43" s="784"/>
      <c r="AA43" s="785"/>
      <c r="AB43" s="785"/>
      <c r="AC43" s="784"/>
      <c r="AD43" s="784"/>
      <c r="AE43" s="783"/>
      <c r="AF43" s="784"/>
      <c r="AG43" s="784"/>
      <c r="AH43" s="784"/>
      <c r="AI43" s="784"/>
      <c r="AJ43" s="785"/>
      <c r="AK43" s="785"/>
      <c r="AL43" s="786"/>
      <c r="AM43" s="786"/>
    </row>
    <row r="44" ht="32.25" customHeight="1">
      <c r="A44" s="787"/>
      <c r="B44" s="785"/>
      <c r="C44" s="788"/>
      <c r="D44" s="788"/>
      <c r="E44" s="788"/>
      <c r="F44" s="788"/>
      <c r="G44" s="788"/>
      <c r="H44" s="788"/>
      <c r="I44" s="788"/>
      <c r="J44" s="788"/>
      <c r="K44" s="788"/>
      <c r="L44" s="788"/>
      <c r="M44" s="788"/>
      <c r="N44" s="788"/>
      <c r="O44" s="788"/>
      <c r="P44" s="788"/>
      <c r="Q44" s="788"/>
      <c r="R44" s="788"/>
      <c r="S44" s="788"/>
      <c r="T44" s="788"/>
      <c r="U44" s="788"/>
      <c r="V44" s="788"/>
      <c r="W44" s="788"/>
      <c r="X44" s="788"/>
      <c r="Y44" s="788"/>
      <c r="Z44" s="788"/>
      <c r="AA44" s="787"/>
      <c r="AB44" s="785"/>
      <c r="AC44" s="789"/>
      <c r="AD44" s="790" t="s">
        <v>45</v>
      </c>
      <c r="AE44" s="790" t="s">
        <v>46</v>
      </c>
      <c r="AF44" s="790" t="s">
        <v>47</v>
      </c>
      <c r="AG44" s="790" t="s">
        <v>131</v>
      </c>
      <c r="AH44" s="790" t="s">
        <v>50</v>
      </c>
      <c r="AI44" s="790" t="s">
        <v>60</v>
      </c>
      <c r="AJ44" s="791"/>
      <c r="AK44" s="792"/>
      <c r="AL44" s="792"/>
      <c r="AM44" s="786"/>
    </row>
    <row r="45" ht="22.699999999999999" customHeight="1">
      <c r="A45" s="787"/>
      <c r="B45" s="785"/>
      <c r="C45" s="793"/>
      <c r="D45" s="793"/>
      <c r="E45" s="793"/>
      <c r="F45" s="793"/>
      <c r="G45" s="793"/>
      <c r="H45" s="793"/>
      <c r="I45" s="793"/>
      <c r="J45" s="793"/>
      <c r="K45" s="793"/>
      <c r="L45" s="793"/>
      <c r="M45" s="793"/>
      <c r="N45" s="793"/>
      <c r="O45" s="793"/>
      <c r="P45" s="793"/>
      <c r="Q45" s="793"/>
      <c r="R45" s="793"/>
      <c r="S45" s="793"/>
      <c r="T45" s="793"/>
      <c r="U45" s="793"/>
      <c r="V45" s="793"/>
      <c r="W45" s="793"/>
      <c r="X45" s="793"/>
      <c r="Y45" s="793"/>
      <c r="Z45" s="793"/>
      <c r="AA45" s="787"/>
      <c r="AB45" s="785"/>
      <c r="AC45" s="789"/>
      <c r="AD45" s="794"/>
      <c r="AE45" s="794"/>
      <c r="AF45" s="794"/>
      <c r="AG45" s="794"/>
      <c r="AH45" s="794"/>
      <c r="AI45" s="794"/>
      <c r="AJ45" s="791"/>
      <c r="AK45" s="792"/>
      <c r="AL45" s="792"/>
      <c r="AM45" s="786"/>
    </row>
    <row r="46" ht="18.600000000000001" customHeight="1">
      <c r="A46" s="787"/>
      <c r="B46" s="785"/>
      <c r="C46" s="795"/>
      <c r="D46" s="795"/>
      <c r="E46" s="795"/>
      <c r="F46" s="795"/>
      <c r="G46" s="795"/>
      <c r="H46" s="795"/>
      <c r="I46" s="795"/>
      <c r="J46" s="795"/>
      <c r="K46" s="795"/>
      <c r="L46" s="795"/>
      <c r="M46" s="795"/>
      <c r="N46" s="795"/>
      <c r="O46" s="795"/>
      <c r="P46" s="795"/>
      <c r="Q46" s="795"/>
      <c r="R46" s="795"/>
      <c r="S46" s="795"/>
      <c r="T46" s="795"/>
      <c r="U46" s="795"/>
      <c r="V46" s="795"/>
      <c r="W46" s="795"/>
      <c r="X46" s="795"/>
      <c r="Y46" s="795"/>
      <c r="Z46" s="795"/>
      <c r="AA46" s="787"/>
      <c r="AB46" s="785"/>
      <c r="AC46" s="789"/>
      <c r="AD46" s="794"/>
      <c r="AE46" s="794"/>
      <c r="AF46" s="794"/>
      <c r="AG46" s="794"/>
      <c r="AH46" s="794"/>
      <c r="AI46" s="794"/>
      <c r="AJ46" s="791"/>
      <c r="AK46" s="792"/>
      <c r="AL46" s="792"/>
      <c r="AM46" s="786"/>
    </row>
    <row r="47" ht="20.25">
      <c r="A47" s="796"/>
      <c r="B47" s="796"/>
      <c r="C47" s="797"/>
      <c r="D47" s="797"/>
      <c r="E47" s="797"/>
      <c r="F47" s="797"/>
      <c r="G47" s="797"/>
      <c r="H47" s="797"/>
      <c r="I47" s="797"/>
      <c r="J47" s="797"/>
      <c r="K47" s="797"/>
      <c r="L47" s="797"/>
      <c r="M47" s="797"/>
      <c r="N47" s="797"/>
      <c r="O47" s="797"/>
      <c r="P47" s="797"/>
      <c r="Q47" s="797"/>
      <c r="R47" s="797"/>
      <c r="S47" s="797"/>
      <c r="T47" s="797"/>
      <c r="U47" s="797"/>
      <c r="V47" s="797"/>
      <c r="W47" s="797"/>
      <c r="X47" s="797"/>
      <c r="Y47" s="797"/>
      <c r="Z47" s="797"/>
      <c r="AA47" s="796"/>
      <c r="AB47" s="796"/>
      <c r="AC47" s="789"/>
      <c r="AD47" s="798"/>
      <c r="AE47" s="798"/>
      <c r="AF47" s="798"/>
      <c r="AG47" s="798"/>
      <c r="AH47" s="798"/>
      <c r="AI47" s="798"/>
      <c r="AJ47" s="791"/>
      <c r="AK47" s="792"/>
      <c r="AL47" s="792"/>
      <c r="AM47" s="786"/>
    </row>
    <row r="48" ht="54.950000000000003" customHeight="1">
      <c r="A48" s="796"/>
      <c r="B48" s="796"/>
      <c r="C48" s="799"/>
      <c r="D48" s="799"/>
      <c r="E48" s="799"/>
      <c r="F48" s="799"/>
      <c r="G48" s="799"/>
      <c r="H48" s="799"/>
      <c r="I48" s="799"/>
      <c r="J48" s="799"/>
      <c r="K48" s="799"/>
      <c r="L48" s="799"/>
      <c r="M48" s="799"/>
      <c r="N48" s="799"/>
      <c r="O48" s="799"/>
      <c r="P48" s="799"/>
      <c r="Q48" s="799"/>
      <c r="R48" s="799"/>
      <c r="S48" s="799"/>
      <c r="T48" s="799"/>
      <c r="U48" s="799"/>
      <c r="V48" s="799"/>
      <c r="W48" s="799"/>
      <c r="X48" s="799"/>
      <c r="Y48" s="799"/>
      <c r="Z48" s="799"/>
      <c r="AA48" s="796"/>
      <c r="AB48" s="796"/>
      <c r="AC48" s="800"/>
      <c r="AD48" s="801">
        <f t="shared" ref="AD48:AD54" si="302">(C36+E36+G36+I36+K36+M36+O36+Q36+S36+U36+W36+Y36)</f>
        <v>0</v>
      </c>
      <c r="AE48" s="801">
        <f t="shared" ref="AE48:AE54" si="303">(E36+F36+I36+J36+M36+N36+Q36+R36+U36+V36+Y36+Z36)</f>
        <v>0</v>
      </c>
      <c r="AF48" s="801">
        <f t="shared" ref="AF48:AF54" si="304">(E36+I36+M36+Q36+U36+Y36)</f>
        <v>0</v>
      </c>
      <c r="AG48" s="801">
        <f t="shared" ref="AG48:AG54" si="305">SUM(G36:N36)</f>
        <v>0</v>
      </c>
      <c r="AH48" s="801">
        <f t="shared" ref="AH48:AH54" si="306">SUM(K36:R36)</f>
        <v>0</v>
      </c>
      <c r="AI48" s="801">
        <f t="shared" ref="AI48:AI54" si="307">SUM(C36:J36)</f>
        <v>0</v>
      </c>
      <c r="AJ48" s="802"/>
      <c r="AK48" s="803"/>
      <c r="AL48" s="803"/>
      <c r="AM48" s="786"/>
    </row>
    <row r="49" ht="54.950000000000003" customHeight="1">
      <c r="A49" s="796"/>
      <c r="B49" s="796"/>
      <c r="C49" s="799"/>
      <c r="D49" s="799"/>
      <c r="E49" s="799"/>
      <c r="F49" s="799"/>
      <c r="G49" s="799"/>
      <c r="H49" s="799"/>
      <c r="I49" s="799"/>
      <c r="J49" s="799"/>
      <c r="K49" s="799"/>
      <c r="L49" s="799"/>
      <c r="M49" s="799"/>
      <c r="N49" s="799"/>
      <c r="O49" s="799"/>
      <c r="P49" s="799"/>
      <c r="Q49" s="799"/>
      <c r="R49" s="799"/>
      <c r="S49" s="799"/>
      <c r="T49" s="799"/>
      <c r="U49" s="799"/>
      <c r="V49" s="799"/>
      <c r="W49" s="799"/>
      <c r="X49" s="799"/>
      <c r="Y49" s="799"/>
      <c r="Z49" s="799"/>
      <c r="AA49" s="796"/>
      <c r="AB49" s="796"/>
      <c r="AC49" s="800"/>
      <c r="AD49" s="804">
        <f t="shared" si="302"/>
        <v>0</v>
      </c>
      <c r="AE49" s="804">
        <f t="shared" si="303"/>
        <v>0</v>
      </c>
      <c r="AF49" s="804">
        <f t="shared" si="304"/>
        <v>0</v>
      </c>
      <c r="AG49" s="804">
        <f t="shared" si="305"/>
        <v>0</v>
      </c>
      <c r="AH49" s="804">
        <f t="shared" si="306"/>
        <v>0</v>
      </c>
      <c r="AI49" s="804">
        <f t="shared" si="307"/>
        <v>0</v>
      </c>
      <c r="AJ49" s="802"/>
      <c r="AK49" s="803"/>
      <c r="AL49" s="803"/>
      <c r="AM49" s="786"/>
    </row>
    <row r="50" ht="54.950000000000003" customHeight="1">
      <c r="A50" s="796"/>
      <c r="B50" s="796"/>
      <c r="C50" s="799"/>
      <c r="D50" s="799"/>
      <c r="E50" s="799"/>
      <c r="F50" s="799"/>
      <c r="G50" s="799"/>
      <c r="H50" s="799"/>
      <c r="I50" s="799"/>
      <c r="J50" s="799"/>
      <c r="K50" s="799"/>
      <c r="L50" s="799"/>
      <c r="M50" s="799"/>
      <c r="N50" s="799"/>
      <c r="O50" s="799"/>
      <c r="P50" s="799"/>
      <c r="Q50" s="799"/>
      <c r="R50" s="799"/>
      <c r="S50" s="799"/>
      <c r="T50" s="799"/>
      <c r="U50" s="799"/>
      <c r="V50" s="799"/>
      <c r="W50" s="799"/>
      <c r="X50" s="799"/>
      <c r="Y50" s="799"/>
      <c r="Z50" s="799"/>
      <c r="AA50" s="796"/>
      <c r="AB50" s="796"/>
      <c r="AC50" s="800"/>
      <c r="AD50" s="804">
        <f t="shared" si="302"/>
        <v>0</v>
      </c>
      <c r="AE50" s="804">
        <f t="shared" si="303"/>
        <v>0</v>
      </c>
      <c r="AF50" s="804">
        <f t="shared" si="304"/>
        <v>0</v>
      </c>
      <c r="AG50" s="804">
        <f t="shared" si="305"/>
        <v>0</v>
      </c>
      <c r="AH50" s="804">
        <f t="shared" si="306"/>
        <v>0</v>
      </c>
      <c r="AI50" s="804">
        <f t="shared" si="307"/>
        <v>0</v>
      </c>
      <c r="AJ50" s="802"/>
      <c r="AK50" s="803"/>
      <c r="AL50" s="803"/>
      <c r="AM50" s="786"/>
    </row>
    <row r="51" ht="54.950000000000003" customHeight="1">
      <c r="A51" s="796"/>
      <c r="B51" s="796"/>
      <c r="C51" s="799"/>
      <c r="D51" s="799"/>
      <c r="E51" s="799"/>
      <c r="F51" s="799"/>
      <c r="G51" s="799"/>
      <c r="H51" s="799"/>
      <c r="I51" s="799"/>
      <c r="J51" s="799"/>
      <c r="K51" s="799"/>
      <c r="L51" s="799"/>
      <c r="M51" s="799"/>
      <c r="N51" s="799"/>
      <c r="O51" s="799"/>
      <c r="P51" s="799"/>
      <c r="Q51" s="799"/>
      <c r="R51" s="799"/>
      <c r="S51" s="799"/>
      <c r="T51" s="799"/>
      <c r="U51" s="799"/>
      <c r="V51" s="799"/>
      <c r="W51" s="799"/>
      <c r="X51" s="799"/>
      <c r="Y51" s="799"/>
      <c r="Z51" s="799"/>
      <c r="AA51" s="796"/>
      <c r="AB51" s="796"/>
      <c r="AC51" s="800"/>
      <c r="AD51" s="804">
        <f t="shared" si="302"/>
        <v>0</v>
      </c>
      <c r="AE51" s="804">
        <f t="shared" si="303"/>
        <v>0</v>
      </c>
      <c r="AF51" s="804">
        <f t="shared" si="304"/>
        <v>0</v>
      </c>
      <c r="AG51" s="804">
        <f t="shared" si="305"/>
        <v>0</v>
      </c>
      <c r="AH51" s="804">
        <f t="shared" si="306"/>
        <v>0</v>
      </c>
      <c r="AI51" s="804">
        <f t="shared" si="307"/>
        <v>0</v>
      </c>
      <c r="AJ51" s="802"/>
      <c r="AK51" s="803"/>
      <c r="AL51" s="803"/>
      <c r="AM51" s="786"/>
    </row>
    <row r="52" ht="54.950000000000003" customHeight="1">
      <c r="A52" s="796"/>
      <c r="B52" s="796"/>
      <c r="C52" s="799"/>
      <c r="D52" s="799"/>
      <c r="E52" s="799"/>
      <c r="F52" s="799"/>
      <c r="G52" s="799"/>
      <c r="H52" s="799"/>
      <c r="I52" s="799"/>
      <c r="J52" s="799"/>
      <c r="K52" s="799"/>
      <c r="L52" s="799"/>
      <c r="M52" s="799"/>
      <c r="N52" s="799"/>
      <c r="O52" s="799"/>
      <c r="P52" s="799"/>
      <c r="Q52" s="799"/>
      <c r="R52" s="799"/>
      <c r="S52" s="799"/>
      <c r="T52" s="799"/>
      <c r="U52" s="799"/>
      <c r="V52" s="799"/>
      <c r="W52" s="799"/>
      <c r="X52" s="799"/>
      <c r="Y52" s="799"/>
      <c r="Z52" s="799"/>
      <c r="AA52" s="796"/>
      <c r="AB52" s="796"/>
      <c r="AC52" s="800"/>
      <c r="AD52" s="805">
        <f t="shared" si="302"/>
        <v>0</v>
      </c>
      <c r="AE52" s="805">
        <f t="shared" si="303"/>
        <v>0</v>
      </c>
      <c r="AF52" s="805">
        <f t="shared" si="304"/>
        <v>0</v>
      </c>
      <c r="AG52" s="805">
        <f t="shared" si="305"/>
        <v>0</v>
      </c>
      <c r="AH52" s="805">
        <f t="shared" si="306"/>
        <v>0</v>
      </c>
      <c r="AI52" s="805">
        <f t="shared" si="307"/>
        <v>0</v>
      </c>
      <c r="AJ52" s="802"/>
      <c r="AK52" s="803"/>
      <c r="AL52" s="803"/>
      <c r="AM52" s="786"/>
    </row>
    <row r="53" ht="54.950000000000003" customHeight="1">
      <c r="A53" s="796"/>
      <c r="B53" s="796"/>
      <c r="C53" s="799"/>
      <c r="D53" s="799"/>
      <c r="E53" s="799"/>
      <c r="F53" s="799"/>
      <c r="G53" s="799"/>
      <c r="H53" s="799"/>
      <c r="I53" s="799"/>
      <c r="J53" s="799"/>
      <c r="K53" s="799"/>
      <c r="L53" s="799"/>
      <c r="M53" s="799"/>
      <c r="N53" s="799"/>
      <c r="O53" s="799"/>
      <c r="P53" s="799"/>
      <c r="Q53" s="799"/>
      <c r="R53" s="799"/>
      <c r="S53" s="799"/>
      <c r="T53" s="799"/>
      <c r="U53" s="799"/>
      <c r="V53" s="799"/>
      <c r="W53" s="799"/>
      <c r="X53" s="799"/>
      <c r="Y53" s="799"/>
      <c r="Z53" s="799"/>
      <c r="AA53" s="796"/>
      <c r="AB53" s="796"/>
      <c r="AC53" s="800"/>
      <c r="AD53" s="806">
        <f t="shared" si="302"/>
        <v>0</v>
      </c>
      <c r="AE53" s="806">
        <f t="shared" si="303"/>
        <v>0</v>
      </c>
      <c r="AF53" s="806">
        <f t="shared" si="304"/>
        <v>0</v>
      </c>
      <c r="AG53" s="806">
        <f t="shared" si="305"/>
        <v>0</v>
      </c>
      <c r="AH53" s="806">
        <f t="shared" si="306"/>
        <v>0</v>
      </c>
      <c r="AI53" s="806">
        <f t="shared" si="307"/>
        <v>0</v>
      </c>
      <c r="AJ53" s="802"/>
      <c r="AK53" s="803"/>
      <c r="AL53" s="803"/>
      <c r="AM53" s="786"/>
    </row>
    <row r="54" ht="54.950000000000003" customHeight="1">
      <c r="A54" s="796"/>
      <c r="B54" s="796"/>
      <c r="C54" s="799"/>
      <c r="D54" s="799"/>
      <c r="E54" s="799"/>
      <c r="F54" s="799"/>
      <c r="G54" s="799"/>
      <c r="H54" s="799"/>
      <c r="I54" s="799"/>
      <c r="J54" s="799"/>
      <c r="K54" s="799"/>
      <c r="L54" s="799"/>
      <c r="M54" s="799"/>
      <c r="N54" s="799"/>
      <c r="O54" s="799"/>
      <c r="P54" s="799"/>
      <c r="Q54" s="799"/>
      <c r="R54" s="799"/>
      <c r="S54" s="799"/>
      <c r="T54" s="799"/>
      <c r="U54" s="799"/>
      <c r="V54" s="799"/>
      <c r="W54" s="799"/>
      <c r="X54" s="799"/>
      <c r="Y54" s="799"/>
      <c r="Z54" s="799"/>
      <c r="AA54" s="796"/>
      <c r="AB54" s="796"/>
      <c r="AC54" s="800"/>
      <c r="AD54" s="807">
        <f t="shared" si="302"/>
        <v>0</v>
      </c>
      <c r="AE54" s="807">
        <f t="shared" si="303"/>
        <v>0</v>
      </c>
      <c r="AF54" s="807">
        <f t="shared" si="304"/>
        <v>0</v>
      </c>
      <c r="AG54" s="807">
        <f t="shared" si="305"/>
        <v>0</v>
      </c>
      <c r="AH54" s="807">
        <f t="shared" si="306"/>
        <v>0</v>
      </c>
      <c r="AI54" s="807">
        <f t="shared" si="307"/>
        <v>0</v>
      </c>
      <c r="AJ54" s="802"/>
      <c r="AK54" s="803"/>
      <c r="AL54" s="803"/>
      <c r="AM54" s="786"/>
    </row>
    <row r="55" ht="21">
      <c r="A55" s="810"/>
      <c r="B55" s="811"/>
      <c r="C55" s="811"/>
      <c r="D55" s="811"/>
      <c r="E55" s="811"/>
      <c r="F55" s="811"/>
      <c r="G55" s="811"/>
      <c r="H55" s="811"/>
      <c r="I55" s="811"/>
      <c r="J55" s="811"/>
      <c r="K55" s="811"/>
      <c r="L55" s="811"/>
      <c r="M55" s="811"/>
      <c r="N55" s="811"/>
      <c r="O55" s="811"/>
      <c r="P55" s="811"/>
      <c r="Q55" s="811"/>
      <c r="R55" s="811"/>
      <c r="S55" s="810"/>
      <c r="T55" s="811"/>
      <c r="U55" s="811"/>
      <c r="V55" s="811"/>
      <c r="W55" s="811"/>
      <c r="X55" s="811"/>
      <c r="Y55" s="811"/>
      <c r="Z55" s="811"/>
      <c r="AA55" s="811"/>
      <c r="AB55" s="811"/>
      <c r="AC55" s="811"/>
      <c r="AD55" s="811"/>
      <c r="AE55" s="810"/>
      <c r="AF55" s="811"/>
      <c r="AG55" s="811"/>
      <c r="AH55" s="811"/>
      <c r="AI55" s="811"/>
      <c r="AJ55" s="811"/>
      <c r="AK55" s="811"/>
    </row>
    <row r="56" ht="20.25">
      <c r="A56" s="810"/>
      <c r="B56" s="811"/>
      <c r="C56" s="811"/>
      <c r="D56" s="811"/>
      <c r="E56" s="811"/>
      <c r="F56" s="811"/>
      <c r="G56" s="811"/>
      <c r="H56" s="811"/>
      <c r="I56" s="811"/>
      <c r="J56" s="811"/>
      <c r="K56" s="811"/>
      <c r="L56" s="811"/>
      <c r="M56" s="811"/>
      <c r="N56" s="811"/>
      <c r="O56" s="811"/>
      <c r="P56" s="811"/>
      <c r="Q56" s="811"/>
      <c r="R56" s="811"/>
      <c r="S56" s="810"/>
      <c r="T56" s="811"/>
      <c r="U56" s="811"/>
      <c r="V56" s="811"/>
      <c r="W56" s="811"/>
      <c r="X56" s="811"/>
      <c r="Y56" s="811"/>
      <c r="Z56" s="811"/>
      <c r="AA56" s="811"/>
      <c r="AB56" s="811"/>
      <c r="AC56" s="811"/>
      <c r="AD56" s="811"/>
      <c r="AE56" s="810"/>
      <c r="AF56" s="811"/>
      <c r="AG56" s="811"/>
      <c r="AH56" s="811"/>
      <c r="AI56" s="811"/>
      <c r="AJ56" s="811"/>
      <c r="AK56" s="811"/>
    </row>
    <row r="57" ht="20.25">
      <c r="A57" s="810"/>
      <c r="B57" s="811"/>
      <c r="C57" s="811"/>
      <c r="D57" s="811"/>
      <c r="E57" s="811"/>
      <c r="F57" s="811"/>
      <c r="G57" s="811"/>
      <c r="H57" s="811"/>
      <c r="I57" s="811"/>
      <c r="J57" s="811"/>
      <c r="K57" s="811"/>
      <c r="L57" s="811"/>
      <c r="M57" s="811"/>
      <c r="N57" s="811"/>
      <c r="O57" s="811"/>
      <c r="P57" s="811"/>
      <c r="Q57" s="811"/>
      <c r="R57" s="811"/>
      <c r="S57" s="811"/>
      <c r="T57" s="811"/>
      <c r="U57" s="811"/>
      <c r="V57" s="811"/>
      <c r="W57" s="811"/>
      <c r="X57" s="811"/>
      <c r="Y57" s="811"/>
      <c r="Z57" s="811"/>
      <c r="AA57" s="811"/>
      <c r="AB57" s="811"/>
      <c r="AC57" s="810"/>
      <c r="AD57" s="811"/>
      <c r="AE57" s="811"/>
      <c r="AF57" s="811"/>
      <c r="AG57" s="811"/>
      <c r="AH57" s="811"/>
      <c r="AI57" s="811"/>
      <c r="AJ57" s="811"/>
      <c r="AK57" s="811"/>
      <c r="AL57" s="810"/>
      <c r="AM57" s="811"/>
      <c r="AN57" s="811"/>
      <c r="AO57" s="811"/>
      <c r="AP57" s="811"/>
      <c r="AQ57" s="811"/>
    </row>
    <row r="58" ht="20.25">
      <c r="A58" s="810"/>
      <c r="B58" s="811"/>
      <c r="C58" s="811"/>
      <c r="D58" s="811"/>
      <c r="E58" s="811"/>
      <c r="F58" s="811"/>
      <c r="G58" s="811"/>
      <c r="H58" s="811"/>
      <c r="I58" s="811"/>
      <c r="J58" s="811"/>
      <c r="K58" s="811"/>
      <c r="L58" s="811"/>
      <c r="M58" s="811"/>
      <c r="N58" s="811"/>
      <c r="O58" s="811"/>
      <c r="P58" s="811"/>
      <c r="Q58" s="811"/>
      <c r="R58" s="811"/>
      <c r="S58" s="811"/>
      <c r="T58" s="811"/>
      <c r="U58" s="811"/>
      <c r="V58" s="811"/>
      <c r="W58" s="811"/>
      <c r="X58" s="811"/>
      <c r="Y58" s="811"/>
      <c r="Z58" s="811"/>
      <c r="AA58" s="811"/>
      <c r="AB58" s="811"/>
      <c r="AC58" s="810"/>
      <c r="AD58" s="811"/>
      <c r="AE58" s="811"/>
      <c r="AF58" s="811"/>
      <c r="AG58" s="811"/>
      <c r="AH58" s="811"/>
      <c r="AI58" s="811"/>
      <c r="AJ58" s="811"/>
      <c r="AK58" s="811"/>
      <c r="AL58" s="810"/>
      <c r="AM58" s="811"/>
      <c r="AN58" s="811"/>
      <c r="AO58" s="811"/>
      <c r="AP58" s="811"/>
      <c r="AQ58" s="811"/>
    </row>
    <row r="59" ht="20.25">
      <c r="A59" s="810"/>
      <c r="B59" s="811"/>
      <c r="C59" s="811"/>
      <c r="D59" s="811"/>
      <c r="E59" s="811"/>
      <c r="F59" s="811"/>
      <c r="G59" s="811"/>
      <c r="H59" s="811"/>
      <c r="I59" s="811"/>
      <c r="J59" s="811"/>
      <c r="K59" s="811"/>
      <c r="L59" s="811"/>
      <c r="M59" s="811"/>
      <c r="N59" s="811"/>
      <c r="O59" s="811"/>
      <c r="P59" s="811"/>
      <c r="Q59" s="811"/>
      <c r="R59" s="811"/>
      <c r="S59" s="811"/>
      <c r="T59" s="811"/>
      <c r="U59" s="811"/>
      <c r="V59" s="811"/>
      <c r="W59" s="811"/>
      <c r="X59" s="811"/>
      <c r="Y59" s="811"/>
      <c r="Z59" s="811"/>
      <c r="AA59" s="811"/>
      <c r="AB59" s="811"/>
      <c r="AC59" s="810"/>
      <c r="AD59" s="811"/>
      <c r="AE59" s="811"/>
      <c r="AF59" s="811"/>
      <c r="AG59" s="811"/>
      <c r="AH59" s="811"/>
      <c r="AI59" s="811"/>
      <c r="AJ59" s="811"/>
      <c r="AK59" s="811"/>
      <c r="AL59" s="810"/>
      <c r="AM59" s="811"/>
      <c r="AN59" s="811"/>
      <c r="AO59" s="811"/>
      <c r="AP59" s="811"/>
      <c r="AQ59" s="811"/>
    </row>
    <row r="60" ht="20.25">
      <c r="A60" s="810"/>
      <c r="B60" s="811"/>
      <c r="C60" s="811"/>
      <c r="D60" s="811"/>
      <c r="E60" s="811"/>
      <c r="F60" s="811"/>
      <c r="G60" s="811"/>
      <c r="H60" s="811"/>
      <c r="I60" s="811"/>
      <c r="J60" s="811"/>
      <c r="K60" s="811"/>
      <c r="L60" s="811"/>
      <c r="M60" s="811"/>
      <c r="N60" s="811"/>
      <c r="O60" s="811"/>
      <c r="P60" s="811"/>
      <c r="Q60" s="811"/>
      <c r="R60" s="811"/>
      <c r="S60" s="811"/>
      <c r="T60" s="811"/>
      <c r="U60" s="811"/>
      <c r="V60" s="811"/>
      <c r="W60" s="811"/>
      <c r="X60" s="811"/>
      <c r="Y60" s="811"/>
      <c r="Z60" s="811"/>
      <c r="AA60" s="811"/>
      <c r="AB60" s="811"/>
      <c r="AC60" s="810"/>
      <c r="AD60" s="811"/>
      <c r="AE60" s="811"/>
      <c r="AF60" s="811"/>
      <c r="AG60" s="811"/>
      <c r="AH60" s="811"/>
      <c r="AI60" s="811"/>
      <c r="AJ60" s="811"/>
      <c r="AK60" s="811"/>
      <c r="AL60" s="810"/>
      <c r="AM60" s="811"/>
      <c r="AN60" s="811"/>
      <c r="AO60" s="811"/>
      <c r="AP60" s="811"/>
      <c r="AQ60" s="811"/>
    </row>
    <row r="61" ht="20.25">
      <c r="A61" s="810"/>
      <c r="B61" s="811"/>
      <c r="C61" s="811"/>
      <c r="D61" s="811"/>
      <c r="E61" s="811"/>
      <c r="F61" s="811"/>
      <c r="G61" s="811"/>
      <c r="H61" s="811"/>
      <c r="I61" s="811"/>
      <c r="J61" s="811"/>
      <c r="K61" s="811"/>
      <c r="L61" s="811"/>
      <c r="M61" s="811"/>
      <c r="N61" s="811"/>
      <c r="O61" s="811"/>
      <c r="P61" s="811"/>
      <c r="Q61" s="811"/>
      <c r="R61" s="811"/>
      <c r="S61" s="811"/>
      <c r="T61" s="811"/>
      <c r="U61" s="811"/>
      <c r="V61" s="811"/>
      <c r="W61" s="811"/>
      <c r="X61" s="811"/>
      <c r="Y61" s="811"/>
      <c r="Z61" s="811"/>
      <c r="AA61" s="811"/>
      <c r="AB61" s="811"/>
      <c r="AC61" s="810"/>
      <c r="AD61" s="811"/>
      <c r="AE61" s="811"/>
      <c r="AF61" s="811"/>
      <c r="AG61" s="811"/>
      <c r="AH61" s="811"/>
      <c r="AI61" s="811"/>
      <c r="AJ61" s="811"/>
      <c r="AK61" s="811"/>
      <c r="AL61" s="810"/>
      <c r="AM61" s="811"/>
      <c r="AN61" s="811"/>
      <c r="AO61" s="811"/>
      <c r="AP61" s="811"/>
      <c r="AQ61" s="811"/>
    </row>
    <row r="62" ht="20.25">
      <c r="A62" s="810"/>
      <c r="B62" s="811"/>
      <c r="C62" s="811"/>
      <c r="D62" s="811"/>
      <c r="E62" s="811"/>
      <c r="F62" s="811"/>
      <c r="G62" s="811"/>
      <c r="H62" s="811"/>
      <c r="I62" s="811"/>
      <c r="J62" s="811"/>
      <c r="K62" s="811"/>
      <c r="L62" s="811"/>
      <c r="M62" s="811"/>
      <c r="N62" s="811"/>
      <c r="O62" s="811"/>
      <c r="P62" s="811"/>
      <c r="Q62" s="811"/>
      <c r="R62" s="811"/>
      <c r="S62" s="811"/>
      <c r="T62" s="811"/>
      <c r="U62" s="811"/>
      <c r="V62" s="811"/>
      <c r="W62" s="811"/>
      <c r="X62" s="811"/>
      <c r="Y62" s="811"/>
      <c r="Z62" s="811"/>
      <c r="AA62" s="811"/>
      <c r="AB62" s="811"/>
      <c r="AC62" s="810"/>
      <c r="AD62" s="811"/>
      <c r="AE62" s="811"/>
      <c r="AF62" s="811"/>
      <c r="AG62" s="811"/>
      <c r="AH62" s="811"/>
      <c r="AI62" s="811"/>
      <c r="AJ62" s="811"/>
      <c r="AK62" s="811"/>
      <c r="AL62" s="810"/>
      <c r="AM62" s="811"/>
      <c r="AN62" s="811"/>
      <c r="AO62" s="811"/>
      <c r="AP62" s="811"/>
      <c r="AQ62" s="811"/>
    </row>
    <row r="63" ht="20.25">
      <c r="F63" s="811"/>
      <c r="G63" s="811"/>
      <c r="H63" s="811"/>
      <c r="I63" s="811"/>
      <c r="J63" s="811"/>
      <c r="K63" s="811"/>
      <c r="L63" s="811"/>
      <c r="M63" s="811"/>
      <c r="S63" s="811"/>
      <c r="T63" s="811"/>
      <c r="U63" s="811"/>
    </row>
    <row r="64" ht="20.25">
      <c r="F64" s="811"/>
      <c r="G64" s="811"/>
      <c r="H64" s="811"/>
      <c r="I64" s="811"/>
      <c r="J64" s="811"/>
      <c r="K64" s="811"/>
      <c r="L64" s="811"/>
      <c r="M64" s="811"/>
      <c r="S64" s="811"/>
      <c r="T64" s="811"/>
      <c r="U64" s="811"/>
    </row>
  </sheetData>
  <mergeCells count="79">
    <mergeCell ref="A41:B41"/>
    <mergeCell ref="AA41:AB41"/>
    <mergeCell ref="AK41:AL41"/>
    <mergeCell ref="A42:B42"/>
    <mergeCell ref="AA42:AB42"/>
    <mergeCell ref="AK42:AL42"/>
    <mergeCell ref="A39:B39"/>
    <mergeCell ref="AA39:AB39"/>
    <mergeCell ref="AK39:AL39"/>
    <mergeCell ref="A40:B40"/>
    <mergeCell ref="AA40:AB40"/>
    <mergeCell ref="AK40:AL40"/>
    <mergeCell ref="AK36:AL36"/>
    <mergeCell ref="A37:B37"/>
    <mergeCell ref="AA37:AB37"/>
    <mergeCell ref="AK37:AL37"/>
    <mergeCell ref="A38:B38"/>
    <mergeCell ref="AA38:AB38"/>
    <mergeCell ref="AK38:AL38"/>
    <mergeCell ref="A36:B36"/>
    <mergeCell ref="AA36:AB36"/>
    <mergeCell ref="W34:X34"/>
    <mergeCell ref="Y34:Z34"/>
    <mergeCell ref="A35:B35"/>
    <mergeCell ref="AA35:AB35"/>
    <mergeCell ref="I34:J34"/>
    <mergeCell ref="K34:L34"/>
    <mergeCell ref="M34:N34"/>
    <mergeCell ref="O34:P34"/>
    <mergeCell ref="Q34:R34"/>
    <mergeCell ref="S34:T34"/>
    <mergeCell ref="AF32:AF35"/>
    <mergeCell ref="AG32:AG35"/>
    <mergeCell ref="AH32:AH35"/>
    <mergeCell ref="AI32:AI35"/>
    <mergeCell ref="AJ32:AL35"/>
    <mergeCell ref="AE32:AE35"/>
    <mergeCell ref="W33:Z33"/>
    <mergeCell ref="C34:D34"/>
    <mergeCell ref="E34:F34"/>
    <mergeCell ref="G34:H34"/>
    <mergeCell ref="C32:J32"/>
    <mergeCell ref="K32:R32"/>
    <mergeCell ref="S32:Z32"/>
    <mergeCell ref="AC32:AC35"/>
    <mergeCell ref="AD32:AD35"/>
    <mergeCell ref="C33:F33"/>
    <mergeCell ref="G33:J33"/>
    <mergeCell ref="K33:N33"/>
    <mergeCell ref="O33:R33"/>
    <mergeCell ref="S33:V33"/>
    <mergeCell ref="U34:V34"/>
    <mergeCell ref="Y10:Z10"/>
    <mergeCell ref="C10:D10"/>
    <mergeCell ref="E10:F10"/>
    <mergeCell ref="G10:H10"/>
    <mergeCell ref="I10:J10"/>
    <mergeCell ref="K10:L10"/>
    <mergeCell ref="M10:N10"/>
    <mergeCell ref="O10:P10"/>
    <mergeCell ref="Q10:R10"/>
    <mergeCell ref="S10:T10"/>
    <mergeCell ref="U10:V10"/>
    <mergeCell ref="W10:X10"/>
    <mergeCell ref="C8:J8"/>
    <mergeCell ref="K8:R8"/>
    <mergeCell ref="S8:Z8"/>
    <mergeCell ref="C9:F9"/>
    <mergeCell ref="G9:J9"/>
    <mergeCell ref="K9:N9"/>
    <mergeCell ref="O9:R9"/>
    <mergeCell ref="S9:V9"/>
    <mergeCell ref="W9:Z9"/>
    <mergeCell ref="AI44:AI47"/>
    <mergeCell ref="AD44:AD47"/>
    <mergeCell ref="AE44:AE47"/>
    <mergeCell ref="AF44:AF47"/>
    <mergeCell ref="AG44:AG47"/>
    <mergeCell ref="AH44:AH47"/>
  </mergeCells>
  <printOptions headings="0" gridLines="0"/>
  <pageMargins left="0.39370078740157477" right="0.39370078740157477" top="0.39370078740157477" bottom="0.39370078740157477" header="0.59055118110236238" footer="0.59055118110236238"/>
  <pageSetup paperSize="9" scale="43" fitToWidth="0" fitToHeight="0" pageOrder="overThenDown" orientation="landscape" usePrinterDefaults="1" blackAndWhite="0" draft="0" cellComments="none" useFirstPageNumber="1" errors="displayed" horizontalDpi="600" verticalDpi="600" copies="1"/>
  <headerFooter/>
  <rowBreaks count="1" manualBreakCount="1">
    <brk id="24" man="1" max="16383"/>
  </rowBreaks>
  <colBreaks count="2" manualBreakCount="2">
    <brk id="26" man="1" max="53" min="24"/>
    <brk id="26" man="1" max="22"/>
  </colBreaks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tabColor indexed="2"/>
    <outlinePr applyStyles="0" summaryBelow="1" summaryRight="1" showOutlineSymbols="1"/>
    <pageSetUpPr autoPageBreaks="1" fitToPage="0"/>
  </sheetPr>
  <sheetViews>
    <sheetView view="pageBreakPreview" zoomScale="50" workbookViewId="0">
      <selection activeCell="H13" activeCellId="0" sqref="H13"/>
    </sheetView>
  </sheetViews>
  <sheetFormatPr baseColWidth="10" defaultRowHeight="14.25"/>
  <cols>
    <col customWidth="1" min="1" max="1" style="251" width="9.125"/>
    <col customWidth="1" min="2" max="2" style="251" width="13.75"/>
    <col customWidth="1" min="3" max="26" style="251" width="10.875"/>
    <col customWidth="1" min="27" max="27" style="251" width="9.125"/>
    <col customWidth="1" min="28" max="28" style="251" width="13.75"/>
    <col customWidth="1" min="29" max="36" style="251" width="21.125"/>
    <col customWidth="1" min="37" max="37" style="251" width="82.625"/>
    <col customWidth="1" min="38" max="38" style="251" width="21.125"/>
    <col customWidth="1" min="39" max="43" style="251" width="10.625"/>
    <col min="44" max="16384" style="251" width="11"/>
  </cols>
  <sheetData>
    <row r="1" ht="52.5" customHeight="1">
      <c r="A1" s="2" t="s">
        <v>0</v>
      </c>
      <c r="B1" s="619" t="s">
        <v>132</v>
      </c>
      <c r="C1" s="4"/>
      <c r="D1" s="4"/>
      <c r="E1" s="4"/>
      <c r="F1" s="5"/>
      <c r="G1" s="5"/>
      <c r="H1" s="4"/>
      <c r="I1" s="4"/>
      <c r="J1" s="5"/>
      <c r="K1" s="5"/>
      <c r="L1" s="6"/>
      <c r="M1" s="7" t="s">
        <v>2</v>
      </c>
      <c r="N1" s="624" t="s">
        <v>126</v>
      </c>
      <c r="O1" s="4"/>
      <c r="P1" s="4"/>
      <c r="Q1" s="4"/>
      <c r="R1" s="4"/>
      <c r="S1" s="4"/>
      <c r="T1" s="4"/>
      <c r="U1" s="4"/>
      <c r="V1" s="10"/>
      <c r="W1" s="11"/>
      <c r="X1" s="11"/>
      <c r="Y1" s="11"/>
      <c r="Z1" s="12"/>
    </row>
    <row r="2" ht="52.5" customHeight="1">
      <c r="A2" s="13" t="s">
        <v>4</v>
      </c>
      <c r="B2" s="14"/>
      <c r="C2" s="14"/>
      <c r="D2" s="14"/>
      <c r="E2" s="14"/>
      <c r="F2" s="14"/>
      <c r="G2" s="619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10"/>
      <c r="W2" s="14"/>
      <c r="X2" s="14"/>
      <c r="Y2" s="14"/>
      <c r="Z2" s="14"/>
    </row>
    <row r="3" ht="52.5" customHeight="1">
      <c r="A3" s="13" t="s">
        <v>6</v>
      </c>
      <c r="B3" s="14"/>
      <c r="C3" s="619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10"/>
      <c r="W3" s="14"/>
      <c r="X3" s="14"/>
      <c r="Y3" s="14"/>
      <c r="Z3" s="15"/>
    </row>
    <row r="4" ht="52.5" customHeight="1">
      <c r="A4" s="13" t="s">
        <v>8</v>
      </c>
      <c r="B4" s="14"/>
      <c r="C4" s="619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10"/>
      <c r="W4" s="14"/>
      <c r="X4" s="14"/>
      <c r="Y4" s="14"/>
      <c r="Z4" s="15"/>
    </row>
    <row r="5" ht="25.5" customHeight="1">
      <c r="A5" s="13" t="s">
        <v>90</v>
      </c>
      <c r="B5" s="14"/>
      <c r="C5" s="14" t="s">
        <v>91</v>
      </c>
      <c r="D5" s="14"/>
      <c r="E5" s="14"/>
      <c r="F5" s="14"/>
      <c r="G5" s="14"/>
      <c r="H5" s="14"/>
      <c r="I5" s="14"/>
      <c r="J5" s="14"/>
      <c r="K5" s="14"/>
      <c r="L5" s="14"/>
      <c r="M5" s="14"/>
      <c r="N5" s="14"/>
      <c r="O5" s="14"/>
      <c r="P5" s="14"/>
      <c r="Q5" s="14"/>
      <c r="R5" s="15"/>
      <c r="S5" s="14"/>
      <c r="T5" s="14"/>
      <c r="U5" s="14"/>
      <c r="V5" s="14"/>
      <c r="W5" s="14"/>
      <c r="X5" s="14"/>
      <c r="Y5" s="14"/>
      <c r="Z5" s="15"/>
    </row>
    <row r="6" ht="25.5" customHeight="1">
      <c r="A6" s="23"/>
      <c r="B6" s="14"/>
      <c r="C6" s="14" t="s">
        <v>92</v>
      </c>
      <c r="D6" s="14"/>
      <c r="E6" s="14"/>
      <c r="F6" s="14"/>
      <c r="G6" s="14"/>
      <c r="H6" s="14"/>
      <c r="I6" s="14"/>
      <c r="J6" s="14"/>
      <c r="K6" s="14"/>
      <c r="L6" s="14"/>
      <c r="M6" s="14"/>
      <c r="N6" s="14"/>
      <c r="O6" s="14"/>
      <c r="P6" s="14"/>
      <c r="Q6" s="14"/>
      <c r="R6" s="15"/>
      <c r="S6" s="14"/>
      <c r="T6" s="14"/>
      <c r="U6" s="14"/>
      <c r="V6" s="14"/>
      <c r="W6" s="14"/>
      <c r="X6" s="14"/>
      <c r="Y6" s="14"/>
      <c r="Z6" s="15"/>
    </row>
    <row r="7" ht="25.5" customHeight="1">
      <c r="A7" s="23"/>
      <c r="B7" s="14"/>
      <c r="C7" s="14" t="s">
        <v>133</v>
      </c>
      <c r="D7" s="14"/>
      <c r="E7" s="14"/>
      <c r="F7" s="14"/>
      <c r="G7" s="14"/>
      <c r="H7" s="14"/>
      <c r="I7" s="14"/>
      <c r="J7" s="14"/>
      <c r="K7" s="14"/>
      <c r="L7" s="14"/>
      <c r="M7" s="14"/>
      <c r="N7" s="14"/>
      <c r="O7" s="14"/>
      <c r="P7" s="14"/>
      <c r="Q7" s="14"/>
      <c r="R7" s="15"/>
      <c r="S7" s="14"/>
      <c r="T7" s="14"/>
      <c r="U7" s="14"/>
      <c r="V7" s="14"/>
      <c r="W7" s="14"/>
      <c r="X7" s="14"/>
      <c r="Y7" s="14"/>
      <c r="Z7" s="15"/>
    </row>
    <row r="8" ht="32.25" customHeight="1">
      <c r="A8" s="13"/>
      <c r="B8" s="14"/>
      <c r="C8" s="955"/>
      <c r="D8" s="819"/>
      <c r="E8" s="819"/>
      <c r="F8" s="819"/>
      <c r="G8" s="819"/>
      <c r="H8" s="819"/>
      <c r="I8" s="819"/>
      <c r="J8" s="819"/>
      <c r="K8" s="819"/>
      <c r="L8" s="819"/>
      <c r="M8" s="819"/>
      <c r="N8" s="819"/>
      <c r="O8" s="819"/>
      <c r="P8" s="819"/>
      <c r="Q8" s="819"/>
      <c r="R8" s="819"/>
      <c r="S8" s="819"/>
      <c r="T8" s="819"/>
      <c r="U8" s="819"/>
      <c r="V8" s="819"/>
      <c r="W8" s="819"/>
      <c r="X8" s="819"/>
      <c r="Y8" s="819"/>
      <c r="Z8" s="956"/>
      <c r="AA8" s="255"/>
      <c r="AB8" s="255"/>
      <c r="AD8" s="256"/>
      <c r="AE8" s="256"/>
      <c r="AF8" s="256"/>
      <c r="AG8" s="256"/>
      <c r="AH8" s="256"/>
      <c r="AI8" s="256"/>
      <c r="AJ8" s="256"/>
    </row>
    <row r="9" ht="22.699999999999999" customHeight="1">
      <c r="A9" s="13"/>
      <c r="B9" s="14"/>
      <c r="C9" s="29" t="s">
        <v>134</v>
      </c>
      <c r="D9" s="30"/>
      <c r="E9" s="30"/>
      <c r="F9" s="30"/>
      <c r="G9" s="29" t="s">
        <v>135</v>
      </c>
      <c r="H9" s="30"/>
      <c r="I9" s="30"/>
      <c r="J9" s="30"/>
      <c r="K9" s="29" t="s">
        <v>136</v>
      </c>
      <c r="L9" s="30"/>
      <c r="M9" s="30"/>
      <c r="N9" s="30"/>
      <c r="O9" s="29" t="s">
        <v>137</v>
      </c>
      <c r="P9" s="30"/>
      <c r="Q9" s="30"/>
      <c r="R9" s="30"/>
      <c r="S9" s="29" t="s">
        <v>138</v>
      </c>
      <c r="T9" s="30"/>
      <c r="U9" s="30"/>
      <c r="V9" s="30"/>
      <c r="W9" s="29" t="s">
        <v>139</v>
      </c>
      <c r="X9" s="30"/>
      <c r="Y9" s="30"/>
      <c r="Z9" s="32"/>
      <c r="AA9" s="255"/>
      <c r="AB9" s="255"/>
    </row>
    <row r="10" ht="18.600000000000001" customHeight="1">
      <c r="A10" s="13"/>
      <c r="B10" s="14"/>
      <c r="C10" s="259" t="s">
        <v>18</v>
      </c>
      <c r="D10" s="260"/>
      <c r="E10" s="39" t="s">
        <v>19</v>
      </c>
      <c r="F10" s="40"/>
      <c r="G10" s="261" t="s">
        <v>18</v>
      </c>
      <c r="H10" s="260"/>
      <c r="I10" s="39" t="s">
        <v>19</v>
      </c>
      <c r="J10" s="40"/>
      <c r="K10" s="261" t="s">
        <v>18</v>
      </c>
      <c r="L10" s="260"/>
      <c r="M10" s="39" t="s">
        <v>19</v>
      </c>
      <c r="N10" s="40"/>
      <c r="O10" s="261" t="s">
        <v>18</v>
      </c>
      <c r="P10" s="260"/>
      <c r="Q10" s="39" t="s">
        <v>19</v>
      </c>
      <c r="R10" s="42"/>
      <c r="S10" s="261" t="s">
        <v>18</v>
      </c>
      <c r="T10" s="260"/>
      <c r="U10" s="39" t="s">
        <v>19</v>
      </c>
      <c r="V10" s="40"/>
      <c r="W10" s="261" t="s">
        <v>18</v>
      </c>
      <c r="X10" s="260"/>
      <c r="Y10" s="39" t="s">
        <v>19</v>
      </c>
      <c r="Z10" s="42"/>
      <c r="AA10" s="255"/>
      <c r="AB10" s="255"/>
    </row>
    <row r="11" ht="21">
      <c r="A11" s="43" t="s">
        <v>20</v>
      </c>
      <c r="B11" s="44" t="s">
        <v>21</v>
      </c>
      <c r="C11" s="262" t="s">
        <v>22</v>
      </c>
      <c r="D11" s="52" t="s">
        <v>23</v>
      </c>
      <c r="E11" s="53" t="s">
        <v>22</v>
      </c>
      <c r="F11" s="54" t="s">
        <v>23</v>
      </c>
      <c r="G11" s="51" t="s">
        <v>22</v>
      </c>
      <c r="H11" s="52" t="s">
        <v>23</v>
      </c>
      <c r="I11" s="53" t="s">
        <v>22</v>
      </c>
      <c r="J11" s="54" t="s">
        <v>23</v>
      </c>
      <c r="K11" s="51" t="s">
        <v>22</v>
      </c>
      <c r="L11" s="52" t="s">
        <v>23</v>
      </c>
      <c r="M11" s="53" t="s">
        <v>22</v>
      </c>
      <c r="N11" s="54" t="s">
        <v>23</v>
      </c>
      <c r="O11" s="51" t="s">
        <v>22</v>
      </c>
      <c r="P11" s="52" t="s">
        <v>23</v>
      </c>
      <c r="Q11" s="53" t="s">
        <v>22</v>
      </c>
      <c r="R11" s="56" t="s">
        <v>23</v>
      </c>
      <c r="S11" s="51" t="s">
        <v>22</v>
      </c>
      <c r="T11" s="52" t="s">
        <v>23</v>
      </c>
      <c r="U11" s="53" t="s">
        <v>22</v>
      </c>
      <c r="V11" s="54" t="s">
        <v>23</v>
      </c>
      <c r="W11" s="51" t="s">
        <v>22</v>
      </c>
      <c r="X11" s="52" t="s">
        <v>23</v>
      </c>
      <c r="Y11" s="53" t="s">
        <v>22</v>
      </c>
      <c r="Z11" s="56" t="s">
        <v>23</v>
      </c>
      <c r="AA11" s="255"/>
      <c r="AB11" s="255"/>
      <c r="AC11" s="263"/>
    </row>
    <row r="12" ht="54.950000000000003" customHeight="1">
      <c r="A12" s="58">
        <v>6</v>
      </c>
      <c r="B12" s="59" t="s">
        <v>24</v>
      </c>
      <c r="C12" s="658"/>
      <c r="D12" s="659"/>
      <c r="E12" s="660"/>
      <c r="F12" s="661"/>
      <c r="G12" s="662"/>
      <c r="H12" s="659"/>
      <c r="I12" s="660"/>
      <c r="J12" s="661"/>
      <c r="K12" s="662"/>
      <c r="L12" s="659"/>
      <c r="M12" s="660"/>
      <c r="N12" s="661"/>
      <c r="O12" s="662"/>
      <c r="P12" s="659"/>
      <c r="Q12" s="660"/>
      <c r="R12" s="663"/>
      <c r="S12" s="662"/>
      <c r="T12" s="659"/>
      <c r="U12" s="660"/>
      <c r="V12" s="661"/>
      <c r="W12" s="662"/>
      <c r="X12" s="659"/>
      <c r="Y12" s="660"/>
      <c r="Z12" s="663"/>
      <c r="AA12" s="255"/>
      <c r="AB12" s="255"/>
      <c r="AC12" s="270"/>
      <c r="AD12" s="270"/>
      <c r="AE12" s="270"/>
      <c r="AF12" s="270"/>
      <c r="AG12" s="270"/>
      <c r="AH12" s="270"/>
      <c r="AI12" s="270"/>
      <c r="AJ12" s="270"/>
    </row>
    <row r="13" ht="54.950000000000003" customHeight="1">
      <c r="A13" s="58"/>
      <c r="B13" s="59" t="s">
        <v>25</v>
      </c>
      <c r="C13" s="658"/>
      <c r="D13" s="659"/>
      <c r="E13" s="660"/>
      <c r="F13" s="661"/>
      <c r="G13" s="662"/>
      <c r="H13" s="659"/>
      <c r="I13" s="660"/>
      <c r="J13" s="661"/>
      <c r="K13" s="662"/>
      <c r="L13" s="659"/>
      <c r="M13" s="660"/>
      <c r="N13" s="661"/>
      <c r="O13" s="662"/>
      <c r="P13" s="659"/>
      <c r="Q13" s="660"/>
      <c r="R13" s="663"/>
      <c r="S13" s="662"/>
      <c r="T13" s="659"/>
      <c r="U13" s="660"/>
      <c r="V13" s="661"/>
      <c r="W13" s="662"/>
      <c r="X13" s="659"/>
      <c r="Y13" s="660"/>
      <c r="Z13" s="663"/>
      <c r="AA13" s="255"/>
      <c r="AB13" s="255"/>
      <c r="AC13" s="270"/>
      <c r="AD13" s="270"/>
      <c r="AE13" s="270"/>
      <c r="AF13" s="270"/>
      <c r="AG13" s="270"/>
      <c r="AH13" s="270"/>
      <c r="AI13" s="270"/>
      <c r="AJ13" s="270"/>
    </row>
    <row r="14" ht="54.950000000000003" customHeight="1">
      <c r="A14" s="58">
        <v>7</v>
      </c>
      <c r="B14" s="59" t="s">
        <v>26</v>
      </c>
      <c r="C14" s="658"/>
      <c r="D14" s="659"/>
      <c r="E14" s="660"/>
      <c r="F14" s="661"/>
      <c r="G14" s="662"/>
      <c r="H14" s="659"/>
      <c r="I14" s="660"/>
      <c r="J14" s="661"/>
      <c r="K14" s="662"/>
      <c r="L14" s="659"/>
      <c r="M14" s="660"/>
      <c r="N14" s="661"/>
      <c r="O14" s="662"/>
      <c r="P14" s="659"/>
      <c r="Q14" s="660"/>
      <c r="R14" s="663"/>
      <c r="S14" s="662"/>
      <c r="T14" s="659"/>
      <c r="U14" s="660"/>
      <c r="V14" s="661"/>
      <c r="W14" s="662"/>
      <c r="X14" s="659"/>
      <c r="Y14" s="660"/>
      <c r="Z14" s="663"/>
      <c r="AA14" s="255"/>
      <c r="AB14" s="255"/>
      <c r="AC14" s="270"/>
      <c r="AD14" s="270"/>
      <c r="AE14" s="270"/>
      <c r="AF14" s="270"/>
      <c r="AG14" s="270"/>
      <c r="AH14" s="270"/>
      <c r="AI14" s="270"/>
      <c r="AJ14" s="270"/>
    </row>
    <row r="15" ht="54.950000000000003" customHeight="1">
      <c r="A15" s="58"/>
      <c r="B15" s="59" t="s">
        <v>27</v>
      </c>
      <c r="C15" s="658"/>
      <c r="D15" s="659"/>
      <c r="E15" s="660"/>
      <c r="F15" s="661"/>
      <c r="G15" s="662"/>
      <c r="H15" s="659"/>
      <c r="I15" s="660"/>
      <c r="J15" s="661"/>
      <c r="K15" s="662"/>
      <c r="L15" s="659"/>
      <c r="M15" s="660"/>
      <c r="N15" s="661"/>
      <c r="O15" s="662"/>
      <c r="P15" s="659"/>
      <c r="Q15" s="660"/>
      <c r="R15" s="663"/>
      <c r="S15" s="662"/>
      <c r="T15" s="659"/>
      <c r="U15" s="660"/>
      <c r="V15" s="661"/>
      <c r="W15" s="662"/>
      <c r="X15" s="659"/>
      <c r="Y15" s="660"/>
      <c r="Z15" s="663"/>
      <c r="AA15" s="255"/>
      <c r="AB15" s="255"/>
      <c r="AC15" s="270"/>
      <c r="AD15" s="270"/>
      <c r="AE15" s="270"/>
      <c r="AF15" s="270"/>
      <c r="AG15" s="270"/>
      <c r="AH15" s="270"/>
      <c r="AI15" s="270"/>
      <c r="AJ15" s="270"/>
    </row>
    <row r="16" ht="54.950000000000003" hidden="1" customHeight="1">
      <c r="A16" s="58"/>
      <c r="B16" s="59" t="s">
        <v>24</v>
      </c>
      <c r="C16" s="658"/>
      <c r="D16" s="659"/>
      <c r="E16" s="660"/>
      <c r="F16" s="661"/>
      <c r="G16" s="662"/>
      <c r="H16" s="659"/>
      <c r="I16" s="660"/>
      <c r="J16" s="661"/>
      <c r="K16" s="662"/>
      <c r="L16" s="659"/>
      <c r="M16" s="660"/>
      <c r="N16" s="661"/>
      <c r="O16" s="662"/>
      <c r="P16" s="659"/>
      <c r="Q16" s="660"/>
      <c r="R16" s="663"/>
      <c r="S16" s="662"/>
      <c r="T16" s="659"/>
      <c r="U16" s="660"/>
      <c r="V16" s="661"/>
      <c r="W16" s="662"/>
      <c r="X16" s="659"/>
      <c r="Y16" s="660"/>
      <c r="Z16" s="663"/>
      <c r="AA16" s="255"/>
      <c r="AB16" s="255"/>
      <c r="AC16" s="270"/>
      <c r="AD16" s="270"/>
      <c r="AE16" s="270"/>
      <c r="AF16" s="270"/>
      <c r="AG16" s="270"/>
      <c r="AH16" s="270"/>
      <c r="AI16" s="270"/>
      <c r="AJ16" s="270"/>
    </row>
    <row r="17" ht="54.950000000000003" customHeight="1">
      <c r="A17" s="58"/>
      <c r="B17" s="59" t="s">
        <v>25</v>
      </c>
      <c r="C17" s="658"/>
      <c r="D17" s="659"/>
      <c r="E17" s="660"/>
      <c r="F17" s="661"/>
      <c r="G17" s="662"/>
      <c r="H17" s="659"/>
      <c r="I17" s="660"/>
      <c r="J17" s="661"/>
      <c r="K17" s="662"/>
      <c r="L17" s="659"/>
      <c r="M17" s="660"/>
      <c r="N17" s="661"/>
      <c r="O17" s="662"/>
      <c r="P17" s="659"/>
      <c r="Q17" s="660"/>
      <c r="R17" s="663"/>
      <c r="S17" s="662"/>
      <c r="T17" s="659"/>
      <c r="U17" s="660"/>
      <c r="V17" s="661"/>
      <c r="W17" s="662"/>
      <c r="X17" s="659"/>
      <c r="Y17" s="660"/>
      <c r="Z17" s="663"/>
      <c r="AA17" s="255"/>
      <c r="AB17" s="255"/>
      <c r="AC17" s="270"/>
      <c r="AD17" s="270"/>
      <c r="AE17" s="270"/>
      <c r="AF17" s="270"/>
      <c r="AG17" s="270"/>
      <c r="AH17" s="270"/>
      <c r="AI17" s="270"/>
      <c r="AJ17" s="270"/>
    </row>
    <row r="18" ht="54.950000000000003" customHeight="1">
      <c r="A18" s="58">
        <v>8</v>
      </c>
      <c r="B18" s="59" t="s">
        <v>26</v>
      </c>
      <c r="C18" s="658"/>
      <c r="D18" s="659"/>
      <c r="E18" s="660"/>
      <c r="F18" s="661"/>
      <c r="G18" s="662"/>
      <c r="H18" s="659"/>
      <c r="I18" s="660"/>
      <c r="J18" s="661"/>
      <c r="K18" s="662"/>
      <c r="L18" s="659"/>
      <c r="M18" s="660"/>
      <c r="N18" s="661"/>
      <c r="O18" s="662"/>
      <c r="P18" s="659"/>
      <c r="Q18" s="660"/>
      <c r="R18" s="663"/>
      <c r="S18" s="662"/>
      <c r="T18" s="659"/>
      <c r="U18" s="660"/>
      <c r="V18" s="661"/>
      <c r="W18" s="662"/>
      <c r="X18" s="659"/>
      <c r="Y18" s="660"/>
      <c r="Z18" s="663"/>
      <c r="AA18" s="255"/>
      <c r="AB18" s="255"/>
      <c r="AC18" s="270"/>
      <c r="AD18" s="270"/>
      <c r="AE18" s="270"/>
      <c r="AF18" s="270"/>
      <c r="AG18" s="270"/>
      <c r="AH18" s="270"/>
      <c r="AI18" s="270"/>
      <c r="AJ18" s="270"/>
    </row>
    <row r="19" ht="54.950000000000003" customHeight="1">
      <c r="A19" s="58"/>
      <c r="B19" s="59" t="s">
        <v>27</v>
      </c>
      <c r="C19" s="658"/>
      <c r="D19" s="659"/>
      <c r="E19" s="660"/>
      <c r="F19" s="661"/>
      <c r="G19" s="662"/>
      <c r="H19" s="659"/>
      <c r="I19" s="660"/>
      <c r="J19" s="661"/>
      <c r="K19" s="662"/>
      <c r="L19" s="659"/>
      <c r="M19" s="660"/>
      <c r="N19" s="661"/>
      <c r="O19" s="662"/>
      <c r="P19" s="659"/>
      <c r="Q19" s="660"/>
      <c r="R19" s="663"/>
      <c r="S19" s="662"/>
      <c r="T19" s="659"/>
      <c r="U19" s="660"/>
      <c r="V19" s="661"/>
      <c r="W19" s="662"/>
      <c r="X19" s="659"/>
      <c r="Y19" s="660"/>
      <c r="Z19" s="663"/>
      <c r="AA19" s="255"/>
      <c r="AB19" s="255"/>
      <c r="AC19" s="270"/>
      <c r="AD19" s="270"/>
      <c r="AE19" s="270"/>
      <c r="AF19" s="270"/>
      <c r="AG19" s="270"/>
      <c r="AH19" s="270"/>
      <c r="AI19" s="270"/>
      <c r="AJ19" s="270"/>
    </row>
    <row r="20" ht="54.950000000000003" customHeight="1">
      <c r="A20" s="58"/>
      <c r="B20" s="59" t="s">
        <v>24</v>
      </c>
      <c r="C20" s="658"/>
      <c r="D20" s="659"/>
      <c r="E20" s="660"/>
      <c r="F20" s="661"/>
      <c r="G20" s="662"/>
      <c r="H20" s="659"/>
      <c r="I20" s="660"/>
      <c r="J20" s="661"/>
      <c r="K20" s="662"/>
      <c r="L20" s="659"/>
      <c r="M20" s="660"/>
      <c r="N20" s="661"/>
      <c r="O20" s="662"/>
      <c r="P20" s="659"/>
      <c r="Q20" s="660"/>
      <c r="R20" s="663"/>
      <c r="S20" s="662"/>
      <c r="T20" s="659"/>
      <c r="U20" s="660"/>
      <c r="V20" s="661"/>
      <c r="W20" s="662"/>
      <c r="X20" s="659"/>
      <c r="Y20" s="660"/>
      <c r="Z20" s="663"/>
      <c r="AA20" s="255"/>
      <c r="AB20" s="255"/>
      <c r="AC20" s="270"/>
      <c r="AD20" s="270"/>
      <c r="AE20" s="270"/>
      <c r="AF20" s="270"/>
      <c r="AG20" s="270"/>
      <c r="AH20" s="270"/>
      <c r="AI20" s="270"/>
      <c r="AJ20" s="270"/>
    </row>
    <row r="21" ht="54.950000000000003" customHeight="1">
      <c r="A21" s="58"/>
      <c r="B21" s="59" t="s">
        <v>25</v>
      </c>
      <c r="C21" s="658"/>
      <c r="D21" s="659"/>
      <c r="E21" s="660"/>
      <c r="F21" s="661"/>
      <c r="G21" s="662"/>
      <c r="H21" s="659"/>
      <c r="I21" s="660"/>
      <c r="J21" s="661"/>
      <c r="K21" s="662"/>
      <c r="L21" s="659"/>
      <c r="M21" s="660"/>
      <c r="N21" s="661"/>
      <c r="O21" s="662"/>
      <c r="P21" s="659"/>
      <c r="Q21" s="660"/>
      <c r="R21" s="663"/>
      <c r="S21" s="662"/>
      <c r="T21" s="659"/>
      <c r="U21" s="660"/>
      <c r="V21" s="661"/>
      <c r="W21" s="662"/>
      <c r="X21" s="659"/>
      <c r="Y21" s="660"/>
      <c r="Z21" s="663"/>
      <c r="AA21" s="255"/>
      <c r="AB21" s="255"/>
      <c r="AC21" s="270"/>
      <c r="AD21" s="270"/>
      <c r="AE21" s="270"/>
      <c r="AF21" s="270"/>
      <c r="AG21" s="270"/>
      <c r="AH21" s="270"/>
      <c r="AI21" s="270"/>
      <c r="AJ21" s="270"/>
    </row>
    <row r="22" ht="54.950000000000003" customHeight="1">
      <c r="A22" s="58">
        <v>9</v>
      </c>
      <c r="B22" s="59" t="s">
        <v>26</v>
      </c>
      <c r="C22" s="658"/>
      <c r="D22" s="659"/>
      <c r="E22" s="660"/>
      <c r="F22" s="661"/>
      <c r="G22" s="662"/>
      <c r="H22" s="659"/>
      <c r="I22" s="660"/>
      <c r="J22" s="661"/>
      <c r="K22" s="662"/>
      <c r="L22" s="659"/>
      <c r="M22" s="660"/>
      <c r="N22" s="661"/>
      <c r="O22" s="662"/>
      <c r="P22" s="659"/>
      <c r="Q22" s="660"/>
      <c r="R22" s="663"/>
      <c r="S22" s="662"/>
      <c r="T22" s="659"/>
      <c r="U22" s="660"/>
      <c r="V22" s="661"/>
      <c r="W22" s="662"/>
      <c r="X22" s="659"/>
      <c r="Y22" s="660"/>
      <c r="Z22" s="663"/>
      <c r="AA22" s="255"/>
      <c r="AB22" s="255"/>
      <c r="AC22" s="270"/>
      <c r="AD22" s="270"/>
      <c r="AE22" s="270"/>
      <c r="AF22" s="270"/>
      <c r="AG22" s="270"/>
      <c r="AH22" s="270"/>
      <c r="AI22" s="270"/>
      <c r="AJ22" s="270"/>
    </row>
    <row r="23" ht="54.950000000000003" customHeight="1">
      <c r="A23" s="93"/>
      <c r="B23" s="94" t="s">
        <v>27</v>
      </c>
      <c r="C23" s="667"/>
      <c r="D23" s="668"/>
      <c r="E23" s="669"/>
      <c r="F23" s="670"/>
      <c r="G23" s="671"/>
      <c r="H23" s="668"/>
      <c r="I23" s="669"/>
      <c r="J23" s="670"/>
      <c r="K23" s="671"/>
      <c r="L23" s="668"/>
      <c r="M23" s="669"/>
      <c r="N23" s="670"/>
      <c r="O23" s="671"/>
      <c r="P23" s="668"/>
      <c r="Q23" s="669"/>
      <c r="R23" s="672"/>
      <c r="S23" s="671"/>
      <c r="T23" s="668"/>
      <c r="U23" s="669"/>
      <c r="V23" s="670"/>
      <c r="W23" s="671"/>
      <c r="X23" s="668"/>
      <c r="Y23" s="669"/>
      <c r="Z23" s="672"/>
      <c r="AA23" s="255"/>
      <c r="AB23" s="255"/>
      <c r="AC23" s="270"/>
      <c r="AD23" s="270"/>
      <c r="AE23" s="270"/>
      <c r="AF23" s="270"/>
      <c r="AG23" s="270"/>
      <c r="AH23" s="270"/>
      <c r="AI23" s="270"/>
      <c r="AJ23" s="270"/>
    </row>
    <row r="24" ht="54.950000000000003" customHeight="1">
      <c r="A24" s="55"/>
      <c r="B24" s="55"/>
      <c r="C24" s="255"/>
      <c r="D24" s="255"/>
      <c r="E24" s="255"/>
      <c r="F24" s="255"/>
      <c r="G24" s="255"/>
      <c r="H24" s="255"/>
      <c r="I24" s="255"/>
      <c r="J24" s="255"/>
      <c r="K24" s="255"/>
      <c r="L24" s="255"/>
      <c r="M24" s="255"/>
      <c r="N24" s="255"/>
      <c r="O24" s="255"/>
      <c r="P24" s="255"/>
      <c r="Q24" s="255"/>
      <c r="R24" s="255"/>
      <c r="S24" s="255"/>
      <c r="T24" s="255"/>
      <c r="U24" s="255"/>
      <c r="V24" s="255"/>
      <c r="W24" s="255"/>
      <c r="X24" s="255"/>
      <c r="Y24" s="255"/>
      <c r="Z24" s="255"/>
      <c r="AA24" s="255"/>
      <c r="AB24" s="255"/>
      <c r="AC24" s="270"/>
      <c r="AD24" s="270"/>
      <c r="AE24" s="270"/>
      <c r="AF24" s="270"/>
      <c r="AG24" s="270"/>
      <c r="AH24" s="270"/>
      <c r="AI24" s="270"/>
      <c r="AJ24" s="270"/>
    </row>
    <row r="25" ht="52.5" customHeight="1">
      <c r="A25" s="957" t="s">
        <v>95</v>
      </c>
      <c r="B25" s="860" t="str">
        <f>B1</f>
        <v xml:space="preserve">AMANCY_Giratoire de la Coriandre</v>
      </c>
      <c r="C25" s="861"/>
      <c r="D25" s="861"/>
      <c r="E25" s="861"/>
      <c r="F25" s="862"/>
      <c r="G25" s="862"/>
      <c r="H25" s="861"/>
      <c r="I25" s="861"/>
      <c r="J25" s="862"/>
      <c r="K25" s="862"/>
      <c r="L25" s="958"/>
      <c r="M25" s="7" t="s">
        <v>2</v>
      </c>
      <c r="N25" s="8" t="str">
        <f>N1</f>
        <v xml:space="preserve">mardi 31 mai 2022</v>
      </c>
      <c r="O25" s="861"/>
      <c r="P25" s="861"/>
      <c r="Q25" s="861"/>
      <c r="R25" s="861"/>
      <c r="S25" s="861"/>
      <c r="T25" s="861"/>
      <c r="U25" s="861"/>
      <c r="V25" s="959"/>
      <c r="W25" s="960"/>
      <c r="X25" s="960"/>
      <c r="Y25" s="960"/>
      <c r="Z25" s="961"/>
      <c r="AA25" s="962" t="s">
        <v>95</v>
      </c>
      <c r="AB25" s="860" t="str">
        <f>B25</f>
        <v xml:space="preserve">AMANCY_Giratoire de la Coriandre</v>
      </c>
      <c r="AC25" s="861"/>
      <c r="AD25" s="861"/>
      <c r="AE25" s="861"/>
      <c r="AF25" s="958"/>
      <c r="AG25" s="963" t="s">
        <v>96</v>
      </c>
      <c r="AH25" s="860" t="str">
        <f>N25</f>
        <v xml:space="preserve">mardi 31 mai 2022</v>
      </c>
      <c r="AI25" s="861"/>
      <c r="AJ25" s="861"/>
      <c r="AK25" s="959"/>
      <c r="AL25" s="964"/>
    </row>
    <row r="26" ht="52.5" customHeight="1">
      <c r="A26" s="13" t="s">
        <v>4</v>
      </c>
      <c r="B26" s="14"/>
      <c r="C26" s="14"/>
      <c r="D26" s="14"/>
      <c r="E26" s="14"/>
      <c r="F26" s="14"/>
      <c r="G26" s="860">
        <f>G2</f>
        <v>0</v>
      </c>
      <c r="H26" s="861"/>
      <c r="I26" s="861"/>
      <c r="J26" s="861"/>
      <c r="K26" s="861"/>
      <c r="L26" s="861"/>
      <c r="M26" s="861"/>
      <c r="N26" s="861"/>
      <c r="O26" s="861"/>
      <c r="P26" s="861"/>
      <c r="Q26" s="861"/>
      <c r="R26" s="861"/>
      <c r="S26" s="861"/>
      <c r="T26" s="861"/>
      <c r="U26" s="861"/>
      <c r="V26" s="959"/>
      <c r="W26" s="14"/>
      <c r="X26" s="14"/>
      <c r="Y26" s="14"/>
      <c r="Z26" s="14"/>
      <c r="AA26" s="13" t="s">
        <v>4</v>
      </c>
      <c r="AB26" s="14"/>
      <c r="AC26" s="14"/>
      <c r="AD26" s="14"/>
      <c r="AE26" s="860">
        <f>G26</f>
        <v>0</v>
      </c>
      <c r="AF26" s="861"/>
      <c r="AG26" s="861"/>
      <c r="AH26" s="861"/>
      <c r="AI26" s="861"/>
      <c r="AJ26" s="861"/>
      <c r="AK26" s="959"/>
      <c r="AL26" s="965"/>
    </row>
    <row r="27" ht="52.5" customHeight="1">
      <c r="A27" s="13" t="s">
        <v>6</v>
      </c>
      <c r="B27" s="14"/>
      <c r="C27" s="860">
        <f t="shared" ref="C27:C33" si="308">C3</f>
        <v>0</v>
      </c>
      <c r="D27" s="861"/>
      <c r="E27" s="861"/>
      <c r="F27" s="861"/>
      <c r="G27" s="861"/>
      <c r="H27" s="861"/>
      <c r="I27" s="861"/>
      <c r="J27" s="861"/>
      <c r="K27" s="861"/>
      <c r="L27" s="861"/>
      <c r="M27" s="861"/>
      <c r="N27" s="861"/>
      <c r="O27" s="861"/>
      <c r="P27" s="861"/>
      <c r="Q27" s="861"/>
      <c r="R27" s="861"/>
      <c r="S27" s="861"/>
      <c r="T27" s="861"/>
      <c r="U27" s="861"/>
      <c r="V27" s="959"/>
      <c r="W27" s="14"/>
      <c r="X27" s="14"/>
      <c r="Y27" s="14"/>
      <c r="Z27" s="15"/>
      <c r="AA27" s="13" t="s">
        <v>6</v>
      </c>
      <c r="AB27" s="14"/>
      <c r="AC27" s="860">
        <f t="shared" ref="AC27:AC28" si="309">C27</f>
        <v>0</v>
      </c>
      <c r="AD27" s="861"/>
      <c r="AE27" s="861"/>
      <c r="AF27" s="861"/>
      <c r="AG27" s="861"/>
      <c r="AH27" s="861"/>
      <c r="AI27" s="861"/>
      <c r="AJ27" s="861"/>
      <c r="AK27" s="959"/>
      <c r="AL27" s="966"/>
    </row>
    <row r="28" ht="52.5" customHeight="1">
      <c r="A28" s="13" t="s">
        <v>8</v>
      </c>
      <c r="B28" s="14"/>
      <c r="C28" s="860">
        <f t="shared" si="308"/>
        <v>0</v>
      </c>
      <c r="D28" s="861"/>
      <c r="E28" s="861"/>
      <c r="F28" s="861"/>
      <c r="G28" s="861"/>
      <c r="H28" s="861"/>
      <c r="I28" s="861"/>
      <c r="J28" s="861"/>
      <c r="K28" s="861"/>
      <c r="L28" s="861"/>
      <c r="M28" s="861"/>
      <c r="N28" s="861"/>
      <c r="O28" s="861"/>
      <c r="P28" s="861"/>
      <c r="Q28" s="861"/>
      <c r="R28" s="861"/>
      <c r="S28" s="861"/>
      <c r="T28" s="861"/>
      <c r="U28" s="861"/>
      <c r="V28" s="959"/>
      <c r="W28" s="14"/>
      <c r="X28" s="14"/>
      <c r="Y28" s="14"/>
      <c r="Z28" s="15"/>
      <c r="AA28" s="13" t="s">
        <v>8</v>
      </c>
      <c r="AB28" s="14"/>
      <c r="AC28" s="860">
        <f t="shared" si="309"/>
        <v>0</v>
      </c>
      <c r="AD28" s="861"/>
      <c r="AE28" s="861"/>
      <c r="AF28" s="861"/>
      <c r="AG28" s="861"/>
      <c r="AH28" s="861"/>
      <c r="AI28" s="861"/>
      <c r="AJ28" s="861"/>
      <c r="AK28" s="959"/>
      <c r="AL28" s="966"/>
    </row>
    <row r="29" ht="25.5" customHeight="1">
      <c r="A29" s="23"/>
      <c r="B29" s="14"/>
      <c r="C29" s="14"/>
      <c r="D29" s="14"/>
      <c r="E29" s="14"/>
      <c r="F29" s="14"/>
      <c r="G29" s="14"/>
      <c r="H29" s="14"/>
      <c r="I29" s="14"/>
      <c r="J29" s="14"/>
      <c r="K29" s="14"/>
      <c r="L29" s="14"/>
      <c r="M29" s="14"/>
      <c r="N29" s="14"/>
      <c r="O29" s="14"/>
      <c r="P29" s="14"/>
      <c r="Q29" s="14"/>
      <c r="R29" s="15"/>
      <c r="S29" s="14"/>
      <c r="T29" s="14"/>
      <c r="U29" s="14"/>
      <c r="V29" s="14"/>
      <c r="W29" s="14"/>
      <c r="X29" s="14"/>
      <c r="Y29" s="14"/>
      <c r="Z29" s="15"/>
      <c r="AA29" s="23"/>
      <c r="AB29" s="14"/>
      <c r="AC29" s="14"/>
      <c r="AD29" s="14"/>
      <c r="AE29" s="14"/>
      <c r="AF29" s="14"/>
      <c r="AG29" s="14"/>
      <c r="AH29" s="14"/>
      <c r="AI29" s="14"/>
      <c r="AJ29" s="14"/>
      <c r="AK29" s="14"/>
      <c r="AL29" s="965"/>
    </row>
    <row r="30" ht="25.5" customHeight="1">
      <c r="A30" s="23"/>
      <c r="B30" s="14"/>
      <c r="C30" s="14"/>
      <c r="D30" s="14"/>
      <c r="E30" s="14"/>
      <c r="F30" s="14"/>
      <c r="G30" s="14"/>
      <c r="H30" s="14"/>
      <c r="I30" s="14"/>
      <c r="J30" s="14"/>
      <c r="K30" s="14"/>
      <c r="L30" s="14"/>
      <c r="M30" s="14"/>
      <c r="N30" s="14"/>
      <c r="O30" s="14"/>
      <c r="P30" s="14"/>
      <c r="Q30" s="14"/>
      <c r="R30" s="15"/>
      <c r="S30" s="14"/>
      <c r="T30" s="14"/>
      <c r="U30" s="14"/>
      <c r="V30" s="14"/>
      <c r="W30" s="14"/>
      <c r="X30" s="14"/>
      <c r="Y30" s="14"/>
      <c r="Z30" s="15"/>
      <c r="AA30" s="23"/>
      <c r="AB30" s="14"/>
      <c r="AC30" s="14"/>
      <c r="AD30" s="14"/>
      <c r="AE30" s="14"/>
      <c r="AF30" s="14"/>
      <c r="AG30" s="14"/>
      <c r="AH30" s="14"/>
      <c r="AI30" s="14"/>
      <c r="AJ30" s="14"/>
      <c r="AK30" s="15"/>
      <c r="AL30" s="967"/>
    </row>
    <row r="31" ht="25.5" customHeight="1">
      <c r="A31" s="23"/>
      <c r="B31" s="14"/>
      <c r="C31" s="14"/>
      <c r="D31" s="14"/>
      <c r="E31" s="14"/>
      <c r="F31" s="14"/>
      <c r="G31" s="14"/>
      <c r="H31" s="14"/>
      <c r="I31" s="14"/>
      <c r="J31" s="14"/>
      <c r="K31" s="14"/>
      <c r="L31" s="14"/>
      <c r="M31" s="14"/>
      <c r="N31" s="14"/>
      <c r="O31" s="14"/>
      <c r="P31" s="14"/>
      <c r="Q31" s="14"/>
      <c r="R31" s="15"/>
      <c r="S31" s="14"/>
      <c r="T31" s="14"/>
      <c r="U31" s="14"/>
      <c r="V31" s="14"/>
      <c r="W31" s="14"/>
      <c r="X31" s="14"/>
      <c r="Y31" s="14"/>
      <c r="Z31" s="15"/>
      <c r="AA31" s="15"/>
      <c r="AB31" s="15"/>
      <c r="AC31" s="15"/>
      <c r="AD31" s="15"/>
      <c r="AE31" s="15"/>
      <c r="AF31" s="15"/>
      <c r="AG31" s="15"/>
      <c r="AH31" s="15"/>
      <c r="AI31" s="15"/>
      <c r="AJ31" s="15"/>
      <c r="AK31" s="15"/>
      <c r="AL31" s="967"/>
    </row>
    <row r="32" ht="32.25" customHeight="1">
      <c r="A32" s="13"/>
      <c r="B32" s="14"/>
      <c r="C32" s="955"/>
      <c r="D32" s="819"/>
      <c r="E32" s="819"/>
      <c r="F32" s="819"/>
      <c r="G32" s="819"/>
      <c r="H32" s="819"/>
      <c r="I32" s="819"/>
      <c r="J32" s="819"/>
      <c r="K32" s="819"/>
      <c r="L32" s="819"/>
      <c r="M32" s="819"/>
      <c r="N32" s="819"/>
      <c r="O32" s="819"/>
      <c r="P32" s="819"/>
      <c r="Q32" s="819"/>
      <c r="R32" s="819"/>
      <c r="S32" s="819"/>
      <c r="T32" s="819"/>
      <c r="U32" s="819"/>
      <c r="V32" s="819"/>
      <c r="W32" s="819"/>
      <c r="X32" s="819"/>
      <c r="Y32" s="819"/>
      <c r="Z32" s="956"/>
      <c r="AA32" s="13"/>
      <c r="AB32" s="14"/>
      <c r="AC32" s="278" t="s">
        <v>31</v>
      </c>
      <c r="AD32" s="125" t="s">
        <v>32</v>
      </c>
      <c r="AE32" s="125" t="s">
        <v>33</v>
      </c>
      <c r="AF32" s="125" t="s">
        <v>34</v>
      </c>
      <c r="AG32" s="125"/>
      <c r="AH32" s="125"/>
      <c r="AI32" s="125"/>
      <c r="AJ32" s="126"/>
      <c r="AK32" s="127"/>
      <c r="AL32" s="128"/>
    </row>
    <row r="33" ht="22.699999999999999" customHeight="1">
      <c r="A33" s="13"/>
      <c r="B33" s="14"/>
      <c r="C33" s="29" t="str">
        <f t="shared" si="308"/>
        <v>D'Intermarché</v>
      </c>
      <c r="D33" s="30"/>
      <c r="E33" s="30"/>
      <c r="F33" s="30"/>
      <c r="G33" s="29" t="str">
        <f>G9</f>
        <v xml:space="preserve">de ZA</v>
      </c>
      <c r="H33" s="30"/>
      <c r="I33" s="30"/>
      <c r="J33" s="30"/>
      <c r="K33" s="29" t="str">
        <f>K9</f>
        <v xml:space="preserve">de Bigaille</v>
      </c>
      <c r="L33" s="30"/>
      <c r="M33" s="30"/>
      <c r="N33" s="30"/>
      <c r="O33" s="29" t="str">
        <f>O9</f>
        <v>d'Annecy</v>
      </c>
      <c r="P33" s="30"/>
      <c r="Q33" s="30"/>
      <c r="R33" s="30"/>
      <c r="S33" s="29" t="str">
        <f>S9</f>
        <v xml:space="preserve">de Véto</v>
      </c>
      <c r="T33" s="30"/>
      <c r="U33" s="30"/>
      <c r="V33" s="30"/>
      <c r="W33" s="29" t="str">
        <f>W9</f>
        <v xml:space="preserve">de Collège</v>
      </c>
      <c r="X33" s="30"/>
      <c r="Y33" s="30"/>
      <c r="Z33" s="32"/>
      <c r="AA33" s="13"/>
      <c r="AB33" s="14"/>
      <c r="AC33" s="281"/>
      <c r="AD33" s="135"/>
      <c r="AE33" s="135"/>
      <c r="AF33" s="135"/>
      <c r="AG33" s="135"/>
      <c r="AH33" s="135"/>
      <c r="AI33" s="135"/>
      <c r="AJ33" s="136"/>
      <c r="AK33" s="137"/>
      <c r="AL33" s="138"/>
    </row>
    <row r="34" ht="18.600000000000001" customHeight="1">
      <c r="A34" s="389"/>
      <c r="B34" s="14"/>
      <c r="C34" s="259" t="s">
        <v>18</v>
      </c>
      <c r="D34" s="260"/>
      <c r="E34" s="39" t="s">
        <v>19</v>
      </c>
      <c r="F34" s="40"/>
      <c r="G34" s="261" t="s">
        <v>18</v>
      </c>
      <c r="H34" s="260"/>
      <c r="I34" s="39" t="s">
        <v>19</v>
      </c>
      <c r="J34" s="40"/>
      <c r="K34" s="261" t="s">
        <v>18</v>
      </c>
      <c r="L34" s="260"/>
      <c r="M34" s="39" t="s">
        <v>19</v>
      </c>
      <c r="N34" s="40"/>
      <c r="O34" s="261" t="s">
        <v>18</v>
      </c>
      <c r="P34" s="260"/>
      <c r="Q34" s="39" t="s">
        <v>19</v>
      </c>
      <c r="R34" s="42"/>
      <c r="S34" s="261" t="s">
        <v>18</v>
      </c>
      <c r="T34" s="260"/>
      <c r="U34" s="39" t="s">
        <v>19</v>
      </c>
      <c r="V34" s="40"/>
      <c r="W34" s="261" t="s">
        <v>18</v>
      </c>
      <c r="X34" s="260"/>
      <c r="Y34" s="284" t="s">
        <v>19</v>
      </c>
      <c r="Z34" s="285"/>
      <c r="AA34" s="389"/>
      <c r="AB34" s="14"/>
      <c r="AC34" s="281"/>
      <c r="AD34" s="135"/>
      <c r="AE34" s="135"/>
      <c r="AF34" s="135"/>
      <c r="AG34" s="135"/>
      <c r="AH34" s="135"/>
      <c r="AI34" s="135"/>
      <c r="AJ34" s="136"/>
      <c r="AK34" s="137"/>
      <c r="AL34" s="138"/>
    </row>
    <row r="35" ht="21">
      <c r="A35" s="286" t="s">
        <v>39</v>
      </c>
      <c r="B35" s="287"/>
      <c r="C35" s="262" t="s">
        <v>22</v>
      </c>
      <c r="D35" s="52" t="s">
        <v>23</v>
      </c>
      <c r="E35" s="53" t="s">
        <v>22</v>
      </c>
      <c r="F35" s="54" t="s">
        <v>23</v>
      </c>
      <c r="G35" s="51" t="s">
        <v>22</v>
      </c>
      <c r="H35" s="52" t="s">
        <v>23</v>
      </c>
      <c r="I35" s="53" t="s">
        <v>22</v>
      </c>
      <c r="J35" s="54" t="s">
        <v>23</v>
      </c>
      <c r="K35" s="51" t="s">
        <v>22</v>
      </c>
      <c r="L35" s="52" t="s">
        <v>23</v>
      </c>
      <c r="M35" s="53" t="s">
        <v>22</v>
      </c>
      <c r="N35" s="54" t="s">
        <v>23</v>
      </c>
      <c r="O35" s="51" t="s">
        <v>22</v>
      </c>
      <c r="P35" s="52" t="s">
        <v>23</v>
      </c>
      <c r="Q35" s="53" t="s">
        <v>22</v>
      </c>
      <c r="R35" s="56" t="s">
        <v>23</v>
      </c>
      <c r="S35" s="51" t="s">
        <v>22</v>
      </c>
      <c r="T35" s="52" t="s">
        <v>23</v>
      </c>
      <c r="U35" s="53" t="s">
        <v>22</v>
      </c>
      <c r="V35" s="54" t="s">
        <v>23</v>
      </c>
      <c r="W35" s="51" t="s">
        <v>22</v>
      </c>
      <c r="X35" s="52" t="s">
        <v>23</v>
      </c>
      <c r="Y35" s="53" t="s">
        <v>22</v>
      </c>
      <c r="Z35" s="56" t="s">
        <v>23</v>
      </c>
      <c r="AA35" s="289" t="s">
        <v>39</v>
      </c>
      <c r="AB35" s="290"/>
      <c r="AC35" s="281"/>
      <c r="AD35" s="154"/>
      <c r="AE35" s="154"/>
      <c r="AF35" s="154"/>
      <c r="AG35" s="154"/>
      <c r="AH35" s="154"/>
      <c r="AI35" s="154"/>
      <c r="AJ35" s="155"/>
      <c r="AK35" s="156"/>
      <c r="AL35" s="157"/>
    </row>
    <row r="36" ht="54.950000000000003" customHeight="1">
      <c r="A36" s="293" t="s">
        <v>40</v>
      </c>
      <c r="B36" s="294"/>
      <c r="C36" s="73">
        <f>SUM(C12:C15)</f>
        <v>0</v>
      </c>
      <c r="D36" s="74">
        <f t="shared" ref="D36:Z36" si="310">SUM(D12:D15)</f>
        <v>0</v>
      </c>
      <c r="E36" s="75">
        <f t="shared" si="310"/>
        <v>0</v>
      </c>
      <c r="F36" s="76">
        <f t="shared" si="310"/>
        <v>0</v>
      </c>
      <c r="G36" s="77">
        <f t="shared" si="310"/>
        <v>0</v>
      </c>
      <c r="H36" s="74">
        <f t="shared" si="310"/>
        <v>0</v>
      </c>
      <c r="I36" s="75">
        <f t="shared" si="310"/>
        <v>0</v>
      </c>
      <c r="J36" s="76">
        <f t="shared" si="310"/>
        <v>0</v>
      </c>
      <c r="K36" s="77">
        <f t="shared" si="310"/>
        <v>0</v>
      </c>
      <c r="L36" s="74">
        <f t="shared" si="310"/>
        <v>0</v>
      </c>
      <c r="M36" s="75">
        <f t="shared" si="310"/>
        <v>0</v>
      </c>
      <c r="N36" s="76">
        <f t="shared" si="310"/>
        <v>0</v>
      </c>
      <c r="O36" s="77">
        <f t="shared" si="310"/>
        <v>0</v>
      </c>
      <c r="P36" s="74">
        <f t="shared" si="310"/>
        <v>0</v>
      </c>
      <c r="Q36" s="75">
        <f t="shared" si="310"/>
        <v>0</v>
      </c>
      <c r="R36" s="296">
        <f t="shared" si="310"/>
        <v>0</v>
      </c>
      <c r="S36" s="77">
        <f t="shared" si="310"/>
        <v>0</v>
      </c>
      <c r="T36" s="74">
        <f t="shared" si="310"/>
        <v>0</v>
      </c>
      <c r="U36" s="75">
        <f t="shared" si="310"/>
        <v>0</v>
      </c>
      <c r="V36" s="76">
        <f t="shared" si="310"/>
        <v>0</v>
      </c>
      <c r="W36" s="77">
        <f t="shared" si="310"/>
        <v>0</v>
      </c>
      <c r="X36" s="74">
        <f t="shared" si="310"/>
        <v>0</v>
      </c>
      <c r="Y36" s="75">
        <f t="shared" si="310"/>
        <v>0</v>
      </c>
      <c r="Z36" s="296">
        <f t="shared" si="310"/>
        <v>0</v>
      </c>
      <c r="AA36" s="297" t="s">
        <v>40</v>
      </c>
      <c r="AB36" s="298"/>
      <c r="AC36" s="398">
        <f t="shared" ref="AC36:AC42" si="311">SUM(C36:Z36)</f>
        <v>0</v>
      </c>
      <c r="AD36" s="169">
        <f t="shared" ref="AD36:AD42" si="312">IF(AC36=0,0,AD48/AC36)</f>
        <v>0</v>
      </c>
      <c r="AE36" s="169">
        <f t="shared" ref="AE36:AE42" si="313">IF(AC36=0,0,AE48/AC36)</f>
        <v>0</v>
      </c>
      <c r="AF36" s="169">
        <f t="shared" ref="AF36:AF42" si="314">IF(AE48=0,0,AF48/AE48)</f>
        <v>0</v>
      </c>
      <c r="AG36" s="968"/>
      <c r="AH36" s="969"/>
      <c r="AI36" s="969"/>
      <c r="AJ36" s="399"/>
      <c r="AK36" s="970"/>
      <c r="AL36" s="971"/>
    </row>
    <row r="37" ht="54.950000000000003" customHeight="1">
      <c r="A37" s="300" t="s">
        <v>41</v>
      </c>
      <c r="B37" s="301"/>
      <c r="C37" s="83">
        <f>SUM(C14:C17)</f>
        <v>0</v>
      </c>
      <c r="D37" s="84">
        <f t="shared" ref="D37:Z37" si="315">SUM(D14:D17)</f>
        <v>0</v>
      </c>
      <c r="E37" s="85">
        <f t="shared" si="315"/>
        <v>0</v>
      </c>
      <c r="F37" s="86">
        <f t="shared" si="315"/>
        <v>0</v>
      </c>
      <c r="G37" s="87">
        <f t="shared" si="315"/>
        <v>0</v>
      </c>
      <c r="H37" s="84">
        <f t="shared" si="315"/>
        <v>0</v>
      </c>
      <c r="I37" s="85">
        <f t="shared" si="315"/>
        <v>0</v>
      </c>
      <c r="J37" s="86">
        <f t="shared" si="315"/>
        <v>0</v>
      </c>
      <c r="K37" s="87">
        <f t="shared" si="315"/>
        <v>0</v>
      </c>
      <c r="L37" s="84">
        <f t="shared" si="315"/>
        <v>0</v>
      </c>
      <c r="M37" s="85">
        <f t="shared" si="315"/>
        <v>0</v>
      </c>
      <c r="N37" s="86">
        <f t="shared" si="315"/>
        <v>0</v>
      </c>
      <c r="O37" s="87">
        <f t="shared" si="315"/>
        <v>0</v>
      </c>
      <c r="P37" s="84">
        <f t="shared" si="315"/>
        <v>0</v>
      </c>
      <c r="Q37" s="85">
        <f t="shared" si="315"/>
        <v>0</v>
      </c>
      <c r="R37" s="303">
        <f t="shared" si="315"/>
        <v>0</v>
      </c>
      <c r="S37" s="87">
        <f t="shared" si="315"/>
        <v>0</v>
      </c>
      <c r="T37" s="84">
        <f t="shared" si="315"/>
        <v>0</v>
      </c>
      <c r="U37" s="85">
        <f t="shared" si="315"/>
        <v>0</v>
      </c>
      <c r="V37" s="86">
        <f t="shared" si="315"/>
        <v>0</v>
      </c>
      <c r="W37" s="87">
        <f t="shared" si="315"/>
        <v>0</v>
      </c>
      <c r="X37" s="84">
        <f t="shared" si="315"/>
        <v>0</v>
      </c>
      <c r="Y37" s="85">
        <f t="shared" si="315"/>
        <v>0</v>
      </c>
      <c r="Z37" s="303">
        <f t="shared" si="315"/>
        <v>0</v>
      </c>
      <c r="AA37" s="304" t="s">
        <v>41</v>
      </c>
      <c r="AB37" s="305"/>
      <c r="AC37" s="409">
        <f t="shared" si="311"/>
        <v>0</v>
      </c>
      <c r="AD37" s="184">
        <f t="shared" si="312"/>
        <v>0</v>
      </c>
      <c r="AE37" s="184">
        <f t="shared" si="313"/>
        <v>0</v>
      </c>
      <c r="AF37" s="184">
        <f t="shared" si="314"/>
        <v>0</v>
      </c>
      <c r="AG37" s="972"/>
      <c r="AH37" s="973"/>
      <c r="AI37" s="973"/>
      <c r="AJ37" s="410"/>
      <c r="AK37" s="974"/>
      <c r="AL37" s="975"/>
    </row>
    <row r="38" ht="54.950000000000003" customHeight="1">
      <c r="A38" s="300" t="s">
        <v>42</v>
      </c>
      <c r="B38" s="301"/>
      <c r="C38" s="83">
        <f>SUM(C16:C19)</f>
        <v>0</v>
      </c>
      <c r="D38" s="84">
        <f t="shared" ref="D38:Z38" si="316">SUM(D16:D19)</f>
        <v>0</v>
      </c>
      <c r="E38" s="85">
        <f t="shared" si="316"/>
        <v>0</v>
      </c>
      <c r="F38" s="86">
        <f t="shared" si="316"/>
        <v>0</v>
      </c>
      <c r="G38" s="87">
        <f t="shared" si="316"/>
        <v>0</v>
      </c>
      <c r="H38" s="84">
        <f t="shared" si="316"/>
        <v>0</v>
      </c>
      <c r="I38" s="85">
        <f t="shared" si="316"/>
        <v>0</v>
      </c>
      <c r="J38" s="86">
        <f t="shared" si="316"/>
        <v>0</v>
      </c>
      <c r="K38" s="87">
        <f t="shared" si="316"/>
        <v>0</v>
      </c>
      <c r="L38" s="84">
        <f t="shared" si="316"/>
        <v>0</v>
      </c>
      <c r="M38" s="85">
        <f t="shared" si="316"/>
        <v>0</v>
      </c>
      <c r="N38" s="86">
        <f t="shared" si="316"/>
        <v>0</v>
      </c>
      <c r="O38" s="87">
        <f t="shared" si="316"/>
        <v>0</v>
      </c>
      <c r="P38" s="84">
        <f t="shared" si="316"/>
        <v>0</v>
      </c>
      <c r="Q38" s="85">
        <f t="shared" si="316"/>
        <v>0</v>
      </c>
      <c r="R38" s="303">
        <f t="shared" si="316"/>
        <v>0</v>
      </c>
      <c r="S38" s="87">
        <f t="shared" si="316"/>
        <v>0</v>
      </c>
      <c r="T38" s="84">
        <f t="shared" si="316"/>
        <v>0</v>
      </c>
      <c r="U38" s="85">
        <f t="shared" si="316"/>
        <v>0</v>
      </c>
      <c r="V38" s="86">
        <f t="shared" si="316"/>
        <v>0</v>
      </c>
      <c r="W38" s="87">
        <f t="shared" si="316"/>
        <v>0</v>
      </c>
      <c r="X38" s="84">
        <f t="shared" si="316"/>
        <v>0</v>
      </c>
      <c r="Y38" s="85">
        <f t="shared" si="316"/>
        <v>0</v>
      </c>
      <c r="Z38" s="303">
        <f t="shared" si="316"/>
        <v>0</v>
      </c>
      <c r="AA38" s="304" t="s">
        <v>42</v>
      </c>
      <c r="AB38" s="305"/>
      <c r="AC38" s="409">
        <f t="shared" si="311"/>
        <v>0</v>
      </c>
      <c r="AD38" s="184">
        <f t="shared" si="312"/>
        <v>0</v>
      </c>
      <c r="AE38" s="184">
        <f t="shared" si="313"/>
        <v>0</v>
      </c>
      <c r="AF38" s="184">
        <f t="shared" si="314"/>
        <v>0</v>
      </c>
      <c r="AG38" s="972"/>
      <c r="AH38" s="973"/>
      <c r="AI38" s="973"/>
      <c r="AJ38" s="410"/>
      <c r="AK38" s="974"/>
      <c r="AL38" s="975"/>
    </row>
    <row r="39" ht="54.950000000000003" customHeight="1">
      <c r="A39" s="300" t="s">
        <v>43</v>
      </c>
      <c r="B39" s="301"/>
      <c r="C39" s="83">
        <f>SUM(C18:C21)</f>
        <v>0</v>
      </c>
      <c r="D39" s="84">
        <f t="shared" ref="D39:Z39" si="317">SUM(D18:D21)</f>
        <v>0</v>
      </c>
      <c r="E39" s="85">
        <f t="shared" si="317"/>
        <v>0</v>
      </c>
      <c r="F39" s="86">
        <f t="shared" si="317"/>
        <v>0</v>
      </c>
      <c r="G39" s="87">
        <f t="shared" si="317"/>
        <v>0</v>
      </c>
      <c r="H39" s="84">
        <f t="shared" si="317"/>
        <v>0</v>
      </c>
      <c r="I39" s="85">
        <f t="shared" si="317"/>
        <v>0</v>
      </c>
      <c r="J39" s="86">
        <f t="shared" si="317"/>
        <v>0</v>
      </c>
      <c r="K39" s="87">
        <f t="shared" si="317"/>
        <v>0</v>
      </c>
      <c r="L39" s="84">
        <f t="shared" si="317"/>
        <v>0</v>
      </c>
      <c r="M39" s="85">
        <f t="shared" si="317"/>
        <v>0</v>
      </c>
      <c r="N39" s="86">
        <f t="shared" si="317"/>
        <v>0</v>
      </c>
      <c r="O39" s="87">
        <f t="shared" si="317"/>
        <v>0</v>
      </c>
      <c r="P39" s="84">
        <f t="shared" si="317"/>
        <v>0</v>
      </c>
      <c r="Q39" s="85">
        <f t="shared" si="317"/>
        <v>0</v>
      </c>
      <c r="R39" s="303">
        <f t="shared" si="317"/>
        <v>0</v>
      </c>
      <c r="S39" s="87">
        <f t="shared" si="317"/>
        <v>0</v>
      </c>
      <c r="T39" s="84">
        <f t="shared" si="317"/>
        <v>0</v>
      </c>
      <c r="U39" s="85">
        <f t="shared" si="317"/>
        <v>0</v>
      </c>
      <c r="V39" s="86">
        <f t="shared" si="317"/>
        <v>0</v>
      </c>
      <c r="W39" s="87">
        <f t="shared" si="317"/>
        <v>0</v>
      </c>
      <c r="X39" s="84">
        <f t="shared" si="317"/>
        <v>0</v>
      </c>
      <c r="Y39" s="85">
        <f t="shared" si="317"/>
        <v>0</v>
      </c>
      <c r="Z39" s="303">
        <f t="shared" si="317"/>
        <v>0</v>
      </c>
      <c r="AA39" s="304" t="s">
        <v>43</v>
      </c>
      <c r="AB39" s="305"/>
      <c r="AC39" s="409">
        <f t="shared" si="311"/>
        <v>0</v>
      </c>
      <c r="AD39" s="184">
        <f t="shared" si="312"/>
        <v>0</v>
      </c>
      <c r="AE39" s="184">
        <f t="shared" si="313"/>
        <v>0</v>
      </c>
      <c r="AF39" s="184">
        <f t="shared" si="314"/>
        <v>0</v>
      </c>
      <c r="AG39" s="972"/>
      <c r="AH39" s="973"/>
      <c r="AI39" s="973"/>
      <c r="AJ39" s="410"/>
      <c r="AK39" s="974"/>
      <c r="AL39" s="975"/>
    </row>
    <row r="40" ht="54.950000000000003" customHeight="1">
      <c r="A40" s="307" t="s">
        <v>44</v>
      </c>
      <c r="B40" s="308"/>
      <c r="C40" s="309">
        <f>SUM(C20:C23)</f>
        <v>0</v>
      </c>
      <c r="D40" s="310">
        <f t="shared" ref="D40:Z40" si="318">SUM(D20:D23)</f>
        <v>0</v>
      </c>
      <c r="E40" s="311">
        <f t="shared" si="318"/>
        <v>0</v>
      </c>
      <c r="F40" s="312">
        <f t="shared" si="318"/>
        <v>0</v>
      </c>
      <c r="G40" s="313">
        <f t="shared" si="318"/>
        <v>0</v>
      </c>
      <c r="H40" s="310">
        <f t="shared" si="318"/>
        <v>0</v>
      </c>
      <c r="I40" s="311">
        <f t="shared" si="318"/>
        <v>0</v>
      </c>
      <c r="J40" s="312">
        <f t="shared" si="318"/>
        <v>0</v>
      </c>
      <c r="K40" s="313">
        <f t="shared" si="318"/>
        <v>0</v>
      </c>
      <c r="L40" s="310">
        <f t="shared" si="318"/>
        <v>0</v>
      </c>
      <c r="M40" s="311">
        <f t="shared" si="318"/>
        <v>0</v>
      </c>
      <c r="N40" s="312">
        <f t="shared" si="318"/>
        <v>0</v>
      </c>
      <c r="O40" s="313">
        <f t="shared" si="318"/>
        <v>0</v>
      </c>
      <c r="P40" s="310">
        <f t="shared" si="318"/>
        <v>0</v>
      </c>
      <c r="Q40" s="311">
        <f t="shared" si="318"/>
        <v>0</v>
      </c>
      <c r="R40" s="315">
        <f t="shared" si="318"/>
        <v>0</v>
      </c>
      <c r="S40" s="313">
        <f t="shared" si="318"/>
        <v>0</v>
      </c>
      <c r="T40" s="310">
        <f t="shared" si="318"/>
        <v>0</v>
      </c>
      <c r="U40" s="311">
        <f t="shared" si="318"/>
        <v>0</v>
      </c>
      <c r="V40" s="312">
        <f t="shared" si="318"/>
        <v>0</v>
      </c>
      <c r="W40" s="313">
        <f t="shared" si="318"/>
        <v>0</v>
      </c>
      <c r="X40" s="310">
        <f t="shared" si="318"/>
        <v>0</v>
      </c>
      <c r="Y40" s="311">
        <f t="shared" si="318"/>
        <v>0</v>
      </c>
      <c r="Z40" s="315">
        <f t="shared" si="318"/>
        <v>0</v>
      </c>
      <c r="AA40" s="316" t="s">
        <v>44</v>
      </c>
      <c r="AB40" s="317"/>
      <c r="AC40" s="976">
        <f t="shared" si="311"/>
        <v>0</v>
      </c>
      <c r="AD40" s="199">
        <f t="shared" si="312"/>
        <v>0</v>
      </c>
      <c r="AE40" s="199">
        <f t="shared" si="313"/>
        <v>0</v>
      </c>
      <c r="AF40" s="199">
        <f t="shared" si="314"/>
        <v>0</v>
      </c>
      <c r="AG40" s="977"/>
      <c r="AH40" s="978"/>
      <c r="AI40" s="978"/>
      <c r="AJ40" s="979"/>
      <c r="AK40" s="980"/>
      <c r="AL40" s="981"/>
    </row>
    <row r="41" ht="54.950000000000003" customHeight="1">
      <c r="A41" s="319" t="s">
        <v>31</v>
      </c>
      <c r="B41" s="320"/>
      <c r="C41" s="321">
        <f>SUM(C12:C23)</f>
        <v>0</v>
      </c>
      <c r="D41" s="322">
        <f t="shared" ref="D41:Z41" si="319">SUM(D12:D23)</f>
        <v>0</v>
      </c>
      <c r="E41" s="323">
        <f t="shared" si="319"/>
        <v>0</v>
      </c>
      <c r="F41" s="324">
        <f t="shared" si="319"/>
        <v>0</v>
      </c>
      <c r="G41" s="325">
        <f t="shared" si="319"/>
        <v>0</v>
      </c>
      <c r="H41" s="322">
        <f t="shared" si="319"/>
        <v>0</v>
      </c>
      <c r="I41" s="323">
        <f t="shared" si="319"/>
        <v>0</v>
      </c>
      <c r="J41" s="324">
        <f t="shared" si="319"/>
        <v>0</v>
      </c>
      <c r="K41" s="325">
        <f t="shared" si="319"/>
        <v>0</v>
      </c>
      <c r="L41" s="322">
        <f t="shared" si="319"/>
        <v>0</v>
      </c>
      <c r="M41" s="323">
        <f t="shared" si="319"/>
        <v>0</v>
      </c>
      <c r="N41" s="324">
        <f t="shared" si="319"/>
        <v>0</v>
      </c>
      <c r="O41" s="325">
        <f t="shared" si="319"/>
        <v>0</v>
      </c>
      <c r="P41" s="322">
        <f t="shared" si="319"/>
        <v>0</v>
      </c>
      <c r="Q41" s="323">
        <f t="shared" si="319"/>
        <v>0</v>
      </c>
      <c r="R41" s="327">
        <f t="shared" si="319"/>
        <v>0</v>
      </c>
      <c r="S41" s="325">
        <f t="shared" si="319"/>
        <v>0</v>
      </c>
      <c r="T41" s="322">
        <f t="shared" si="319"/>
        <v>0</v>
      </c>
      <c r="U41" s="323">
        <f t="shared" si="319"/>
        <v>0</v>
      </c>
      <c r="V41" s="324">
        <f t="shared" si="319"/>
        <v>0</v>
      </c>
      <c r="W41" s="325">
        <f t="shared" si="319"/>
        <v>0</v>
      </c>
      <c r="X41" s="322">
        <f t="shared" si="319"/>
        <v>0</v>
      </c>
      <c r="Y41" s="323">
        <f t="shared" si="319"/>
        <v>0</v>
      </c>
      <c r="Z41" s="327">
        <f t="shared" si="319"/>
        <v>0</v>
      </c>
      <c r="AA41" s="328" t="s">
        <v>31</v>
      </c>
      <c r="AB41" s="329"/>
      <c r="AC41" s="842">
        <f t="shared" si="311"/>
        <v>0</v>
      </c>
      <c r="AD41" s="214">
        <f t="shared" si="312"/>
        <v>0</v>
      </c>
      <c r="AE41" s="214">
        <f t="shared" si="313"/>
        <v>0</v>
      </c>
      <c r="AF41" s="214">
        <f t="shared" si="314"/>
        <v>0</v>
      </c>
      <c r="AG41" s="843"/>
      <c r="AH41" s="844"/>
      <c r="AI41" s="844"/>
      <c r="AJ41" s="982" t="s">
        <v>140</v>
      </c>
      <c r="AK41" s="983"/>
      <c r="AL41" s="984"/>
    </row>
    <row r="42" ht="54.950000000000003" customHeight="1">
      <c r="A42" s="331" t="str">
        <f>IF($AC$36=MAX($AC$36:$AC$40),A36,IF($AC$37=MAX($AC$36:$AC$40),A37,IF($AC$38=MAX($AC$36:$AC$40),A38,IF($AC$39=MAX($AC$36:$AC$40),A39,A40))))</f>
        <v xml:space="preserve">de 6:30 à 7:30</v>
      </c>
      <c r="B42" s="332"/>
      <c r="C42" s="333">
        <f>IF($AC$36=MAX($AC$36:$AC$40),C36,IF($AC$37=MAX($AC$36:$AC$40),C37,IF($AC$38=MAX($AC$36:$AC$40),C38,IF($AC$39=MAX($AC$36:$AC$40),C39,C40))))</f>
        <v>0</v>
      </c>
      <c r="D42" s="334">
        <f t="shared" ref="D42:Z42" si="320">IF($AC$36=MAX($AC$36:$AC$40),D36,IF($AC$37=MAX($AC$36:$AC$40),D37,IF($AC$38=MAX($AC$36:$AC$40),D38,IF($AC$39=MAX($AC$36:$AC$40),D39,D40))))</f>
        <v>0</v>
      </c>
      <c r="E42" s="335">
        <f t="shared" si="320"/>
        <v>0</v>
      </c>
      <c r="F42" s="336">
        <f t="shared" si="320"/>
        <v>0</v>
      </c>
      <c r="G42" s="337">
        <f t="shared" si="320"/>
        <v>0</v>
      </c>
      <c r="H42" s="334">
        <f t="shared" si="320"/>
        <v>0</v>
      </c>
      <c r="I42" s="335">
        <f t="shared" si="320"/>
        <v>0</v>
      </c>
      <c r="J42" s="336">
        <f t="shared" si="320"/>
        <v>0</v>
      </c>
      <c r="K42" s="337">
        <f t="shared" si="320"/>
        <v>0</v>
      </c>
      <c r="L42" s="334">
        <f t="shared" si="320"/>
        <v>0</v>
      </c>
      <c r="M42" s="335">
        <f t="shared" si="320"/>
        <v>0</v>
      </c>
      <c r="N42" s="336">
        <f t="shared" si="320"/>
        <v>0</v>
      </c>
      <c r="O42" s="337">
        <f t="shared" si="320"/>
        <v>0</v>
      </c>
      <c r="P42" s="334">
        <f t="shared" si="320"/>
        <v>0</v>
      </c>
      <c r="Q42" s="335">
        <f t="shared" si="320"/>
        <v>0</v>
      </c>
      <c r="R42" s="339">
        <f t="shared" si="320"/>
        <v>0</v>
      </c>
      <c r="S42" s="337">
        <f t="shared" si="320"/>
        <v>0</v>
      </c>
      <c r="T42" s="334">
        <f t="shared" si="320"/>
        <v>0</v>
      </c>
      <c r="U42" s="335">
        <f t="shared" si="320"/>
        <v>0</v>
      </c>
      <c r="V42" s="336">
        <f t="shared" si="320"/>
        <v>0</v>
      </c>
      <c r="W42" s="337">
        <f t="shared" si="320"/>
        <v>0</v>
      </c>
      <c r="X42" s="334">
        <f t="shared" si="320"/>
        <v>0</v>
      </c>
      <c r="Y42" s="335">
        <f t="shared" si="320"/>
        <v>0</v>
      </c>
      <c r="Z42" s="339">
        <f t="shared" si="320"/>
        <v>0</v>
      </c>
      <c r="AA42" s="340" t="str">
        <f>A42</f>
        <v xml:space="preserve">de 6:30 à 7:30</v>
      </c>
      <c r="AB42" s="341"/>
      <c r="AC42" s="985">
        <f t="shared" si="311"/>
        <v>0</v>
      </c>
      <c r="AD42" s="229">
        <f t="shared" si="312"/>
        <v>0</v>
      </c>
      <c r="AE42" s="229">
        <f t="shared" si="313"/>
        <v>0</v>
      </c>
      <c r="AF42" s="229">
        <f t="shared" si="314"/>
        <v>0</v>
      </c>
      <c r="AG42" s="848"/>
      <c r="AH42" s="849"/>
      <c r="AI42" s="849"/>
      <c r="AJ42" s="986"/>
      <c r="AK42" s="987"/>
      <c r="AL42" s="988"/>
    </row>
    <row r="43" ht="12.75" customHeight="1">
      <c r="A43" s="343"/>
      <c r="B43" s="344"/>
      <c r="C43" s="344"/>
      <c r="D43" s="344"/>
      <c r="E43" s="344"/>
      <c r="F43" s="344"/>
      <c r="G43" s="344"/>
      <c r="H43" s="344"/>
      <c r="I43" s="344"/>
      <c r="J43" s="344"/>
      <c r="K43" s="344"/>
      <c r="L43" s="344"/>
      <c r="M43" s="344"/>
      <c r="N43" s="344"/>
      <c r="O43" s="344"/>
      <c r="P43" s="344"/>
      <c r="Q43" s="344"/>
      <c r="R43" s="344"/>
      <c r="S43" s="343"/>
      <c r="T43" s="344"/>
      <c r="U43" s="344"/>
      <c r="V43" s="344"/>
      <c r="W43" s="344"/>
      <c r="X43" s="344"/>
      <c r="Y43" s="344"/>
      <c r="Z43" s="344"/>
      <c r="AA43" s="345"/>
      <c r="AB43" s="345"/>
      <c r="AC43" s="344"/>
      <c r="AD43" s="344"/>
      <c r="AE43" s="343"/>
      <c r="AF43" s="344"/>
      <c r="AG43" s="344"/>
      <c r="AH43" s="344"/>
      <c r="AI43" s="344"/>
      <c r="AJ43" s="345"/>
      <c r="AK43" s="345"/>
      <c r="AL43" s="346"/>
      <c r="AM43" s="346"/>
    </row>
    <row r="44" ht="32.25" customHeight="1">
      <c r="A44" s="347"/>
      <c r="B44" s="345"/>
      <c r="C44" s="348"/>
      <c r="D44" s="348"/>
      <c r="E44" s="348"/>
      <c r="F44" s="348"/>
      <c r="G44" s="348"/>
      <c r="H44" s="348"/>
      <c r="I44" s="348"/>
      <c r="J44" s="348"/>
      <c r="K44" s="348"/>
      <c r="L44" s="348"/>
      <c r="M44" s="348"/>
      <c r="N44" s="348"/>
      <c r="O44" s="348"/>
      <c r="P44" s="348"/>
      <c r="Q44" s="348"/>
      <c r="R44" s="348"/>
      <c r="S44" s="348"/>
      <c r="T44" s="348"/>
      <c r="U44" s="348"/>
      <c r="V44" s="348"/>
      <c r="W44" s="348"/>
      <c r="X44" s="348"/>
      <c r="Y44" s="348"/>
      <c r="Z44" s="348"/>
      <c r="AA44" s="347"/>
      <c r="AB44" s="345"/>
      <c r="AC44" s="349"/>
      <c r="AD44" s="350" t="s">
        <v>45</v>
      </c>
      <c r="AE44" s="350" t="s">
        <v>46</v>
      </c>
      <c r="AF44" s="350" t="s">
        <v>47</v>
      </c>
      <c r="AG44" s="350"/>
      <c r="AH44" s="350"/>
      <c r="AI44" s="350"/>
      <c r="AJ44" s="351"/>
      <c r="AK44" s="352"/>
      <c r="AL44" s="352"/>
      <c r="AM44" s="346"/>
    </row>
    <row r="45" ht="22.699999999999999" customHeight="1">
      <c r="A45" s="347"/>
      <c r="B45" s="345"/>
      <c r="C45" s="353"/>
      <c r="D45" s="353"/>
      <c r="E45" s="353"/>
      <c r="F45" s="353"/>
      <c r="G45" s="353"/>
      <c r="H45" s="353"/>
      <c r="I45" s="353"/>
      <c r="J45" s="353"/>
      <c r="K45" s="353"/>
      <c r="L45" s="353"/>
      <c r="M45" s="353"/>
      <c r="N45" s="353"/>
      <c r="O45" s="353"/>
      <c r="P45" s="353"/>
      <c r="Q45" s="353"/>
      <c r="R45" s="353"/>
      <c r="S45" s="353"/>
      <c r="T45" s="353"/>
      <c r="U45" s="353"/>
      <c r="V45" s="353"/>
      <c r="W45" s="353"/>
      <c r="X45" s="353"/>
      <c r="Y45" s="353"/>
      <c r="Z45" s="353"/>
      <c r="AA45" s="347"/>
      <c r="AB45" s="345"/>
      <c r="AC45" s="349"/>
      <c r="AD45" s="354"/>
      <c r="AE45" s="354"/>
      <c r="AF45" s="354"/>
      <c r="AG45" s="354"/>
      <c r="AH45" s="354"/>
      <c r="AI45" s="354"/>
      <c r="AJ45" s="351"/>
      <c r="AK45" s="352"/>
      <c r="AL45" s="352"/>
      <c r="AM45" s="346"/>
    </row>
    <row r="46" ht="18.600000000000001" customHeight="1">
      <c r="A46" s="347"/>
      <c r="B46" s="345"/>
      <c r="C46" s="355"/>
      <c r="D46" s="355"/>
      <c r="E46" s="355"/>
      <c r="F46" s="355"/>
      <c r="G46" s="355"/>
      <c r="H46" s="355"/>
      <c r="I46" s="355"/>
      <c r="J46" s="355"/>
      <c r="K46" s="355"/>
      <c r="L46" s="355"/>
      <c r="M46" s="355"/>
      <c r="N46" s="355"/>
      <c r="O46" s="355"/>
      <c r="P46" s="355"/>
      <c r="Q46" s="355"/>
      <c r="R46" s="355"/>
      <c r="S46" s="355"/>
      <c r="T46" s="355"/>
      <c r="U46" s="355"/>
      <c r="V46" s="355"/>
      <c r="W46" s="355"/>
      <c r="X46" s="355"/>
      <c r="Y46" s="355"/>
      <c r="Z46" s="355"/>
      <c r="AA46" s="347"/>
      <c r="AB46" s="345"/>
      <c r="AC46" s="349"/>
      <c r="AD46" s="354"/>
      <c r="AE46" s="354"/>
      <c r="AF46" s="354"/>
      <c r="AG46" s="354"/>
      <c r="AH46" s="354"/>
      <c r="AI46" s="354"/>
      <c r="AJ46" s="351"/>
      <c r="AK46" s="352"/>
      <c r="AL46" s="352"/>
      <c r="AM46" s="346"/>
    </row>
    <row r="47" ht="20.25">
      <c r="A47" s="356"/>
      <c r="B47" s="356"/>
      <c r="C47" s="357"/>
      <c r="D47" s="357"/>
      <c r="E47" s="357"/>
      <c r="F47" s="357"/>
      <c r="G47" s="357"/>
      <c r="H47" s="357"/>
      <c r="I47" s="357"/>
      <c r="J47" s="357"/>
      <c r="K47" s="357"/>
      <c r="L47" s="357"/>
      <c r="M47" s="357"/>
      <c r="N47" s="357"/>
      <c r="O47" s="357"/>
      <c r="P47" s="357"/>
      <c r="Q47" s="357"/>
      <c r="R47" s="357"/>
      <c r="S47" s="357"/>
      <c r="T47" s="357"/>
      <c r="U47" s="357"/>
      <c r="V47" s="357"/>
      <c r="W47" s="357"/>
      <c r="X47" s="357"/>
      <c r="Y47" s="357"/>
      <c r="Z47" s="357"/>
      <c r="AA47" s="356"/>
      <c r="AB47" s="356"/>
      <c r="AC47" s="349"/>
      <c r="AD47" s="358"/>
      <c r="AE47" s="358"/>
      <c r="AF47" s="358"/>
      <c r="AG47" s="358"/>
      <c r="AH47" s="358"/>
      <c r="AI47" s="358"/>
      <c r="AJ47" s="351"/>
      <c r="AK47" s="352"/>
      <c r="AL47" s="352"/>
      <c r="AM47" s="346"/>
    </row>
    <row r="48" ht="54.950000000000003" customHeight="1">
      <c r="A48" s="356"/>
      <c r="B48" s="356"/>
      <c r="C48" s="113"/>
      <c r="D48" s="113"/>
      <c r="E48" s="113"/>
      <c r="F48" s="113"/>
      <c r="G48" s="113"/>
      <c r="H48" s="113"/>
      <c r="I48" s="113"/>
      <c r="J48" s="113"/>
      <c r="K48" s="113"/>
      <c r="L48" s="113"/>
      <c r="M48" s="113"/>
      <c r="N48" s="113"/>
      <c r="O48" s="113"/>
      <c r="P48" s="113"/>
      <c r="Q48" s="113"/>
      <c r="R48" s="113"/>
      <c r="S48" s="113"/>
      <c r="T48" s="113"/>
      <c r="U48" s="113"/>
      <c r="V48" s="113"/>
      <c r="W48" s="113"/>
      <c r="X48" s="113"/>
      <c r="Y48" s="113"/>
      <c r="Z48" s="113"/>
      <c r="AA48" s="356"/>
      <c r="AB48" s="356"/>
      <c r="AC48" s="359"/>
      <c r="AD48" s="360">
        <f t="shared" ref="AD48:AD54" si="321">(C36+E36+G36+I36+K36+M36+O36+Q36+S36+U36+W36+Y36)</f>
        <v>0</v>
      </c>
      <c r="AE48" s="360">
        <f t="shared" ref="AE48:AE54" si="322">(E36+F36+I36+J36+M36+N36+Q36+R36+U36+V36+Y36+Z36)</f>
        <v>0</v>
      </c>
      <c r="AF48" s="360">
        <f t="shared" ref="AF48:AF54" si="323">(E36+I36+M36+Q36+U36+Y36)</f>
        <v>0</v>
      </c>
      <c r="AG48" s="360"/>
      <c r="AH48" s="360"/>
      <c r="AI48" s="360"/>
      <c r="AJ48" s="361"/>
      <c r="AK48" s="362"/>
      <c r="AL48" s="362"/>
      <c r="AM48" s="346"/>
    </row>
    <row r="49" ht="54.950000000000003" customHeight="1">
      <c r="A49" s="356"/>
      <c r="B49" s="356"/>
      <c r="C49" s="113"/>
      <c r="D49" s="113"/>
      <c r="E49" s="113"/>
      <c r="F49" s="113"/>
      <c r="G49" s="113"/>
      <c r="H49" s="113"/>
      <c r="I49" s="113"/>
      <c r="J49" s="113"/>
      <c r="K49" s="113"/>
      <c r="L49" s="113"/>
      <c r="M49" s="113"/>
      <c r="N49" s="113"/>
      <c r="O49" s="113"/>
      <c r="P49" s="113"/>
      <c r="Q49" s="113"/>
      <c r="R49" s="113"/>
      <c r="S49" s="113"/>
      <c r="T49" s="113"/>
      <c r="U49" s="113"/>
      <c r="V49" s="113"/>
      <c r="W49" s="113"/>
      <c r="X49" s="113"/>
      <c r="Y49" s="113"/>
      <c r="Z49" s="113"/>
      <c r="AA49" s="356"/>
      <c r="AB49" s="356"/>
      <c r="AC49" s="359"/>
      <c r="AD49" s="363">
        <f t="shared" si="321"/>
        <v>0</v>
      </c>
      <c r="AE49" s="363">
        <f t="shared" si="322"/>
        <v>0</v>
      </c>
      <c r="AF49" s="363">
        <f t="shared" si="323"/>
        <v>0</v>
      </c>
      <c r="AG49" s="363"/>
      <c r="AH49" s="363"/>
      <c r="AI49" s="363"/>
      <c r="AJ49" s="361"/>
      <c r="AK49" s="362"/>
      <c r="AL49" s="362"/>
      <c r="AM49" s="346"/>
    </row>
    <row r="50" ht="54.950000000000003" customHeight="1">
      <c r="A50" s="356"/>
      <c r="B50" s="356"/>
      <c r="C50" s="113"/>
      <c r="D50" s="113"/>
      <c r="E50" s="113"/>
      <c r="F50" s="113"/>
      <c r="G50" s="113"/>
      <c r="H50" s="113"/>
      <c r="I50" s="113"/>
      <c r="J50" s="113"/>
      <c r="K50" s="113"/>
      <c r="L50" s="113"/>
      <c r="M50" s="113"/>
      <c r="N50" s="113"/>
      <c r="O50" s="113"/>
      <c r="P50" s="113"/>
      <c r="Q50" s="113"/>
      <c r="R50" s="113"/>
      <c r="S50" s="113"/>
      <c r="T50" s="113"/>
      <c r="U50" s="113"/>
      <c r="V50" s="113"/>
      <c r="W50" s="113"/>
      <c r="X50" s="113"/>
      <c r="Y50" s="113"/>
      <c r="Z50" s="113"/>
      <c r="AA50" s="356"/>
      <c r="AB50" s="356"/>
      <c r="AC50" s="359"/>
      <c r="AD50" s="363">
        <f t="shared" si="321"/>
        <v>0</v>
      </c>
      <c r="AE50" s="363">
        <f t="shared" si="322"/>
        <v>0</v>
      </c>
      <c r="AF50" s="363">
        <f t="shared" si="323"/>
        <v>0</v>
      </c>
      <c r="AG50" s="363"/>
      <c r="AH50" s="363"/>
      <c r="AI50" s="363"/>
      <c r="AJ50" s="361"/>
      <c r="AK50" s="362"/>
      <c r="AL50" s="362"/>
      <c r="AM50" s="346"/>
    </row>
    <row r="51" ht="54.950000000000003" customHeight="1">
      <c r="A51" s="356"/>
      <c r="B51" s="356"/>
      <c r="C51" s="113"/>
      <c r="D51" s="113"/>
      <c r="E51" s="113"/>
      <c r="F51" s="113"/>
      <c r="G51" s="113"/>
      <c r="H51" s="113"/>
      <c r="I51" s="113"/>
      <c r="J51" s="113"/>
      <c r="K51" s="113"/>
      <c r="L51" s="113"/>
      <c r="M51" s="113"/>
      <c r="N51" s="113"/>
      <c r="O51" s="113"/>
      <c r="P51" s="113"/>
      <c r="Q51" s="113"/>
      <c r="R51" s="113"/>
      <c r="S51" s="113"/>
      <c r="T51" s="113"/>
      <c r="U51" s="113"/>
      <c r="V51" s="113"/>
      <c r="W51" s="113"/>
      <c r="X51" s="113"/>
      <c r="Y51" s="113"/>
      <c r="Z51" s="113"/>
      <c r="AA51" s="356"/>
      <c r="AB51" s="356"/>
      <c r="AC51" s="359"/>
      <c r="AD51" s="363">
        <f t="shared" si="321"/>
        <v>0</v>
      </c>
      <c r="AE51" s="363">
        <f t="shared" si="322"/>
        <v>0</v>
      </c>
      <c r="AF51" s="363">
        <f t="shared" si="323"/>
        <v>0</v>
      </c>
      <c r="AG51" s="363"/>
      <c r="AH51" s="363"/>
      <c r="AI51" s="363"/>
      <c r="AJ51" s="361"/>
      <c r="AK51" s="362"/>
      <c r="AL51" s="362"/>
      <c r="AM51" s="346"/>
    </row>
    <row r="52" ht="54.950000000000003" customHeight="1">
      <c r="A52" s="356"/>
      <c r="B52" s="356"/>
      <c r="C52" s="113"/>
      <c r="D52" s="113"/>
      <c r="E52" s="113"/>
      <c r="F52" s="113"/>
      <c r="G52" s="113"/>
      <c r="H52" s="113"/>
      <c r="I52" s="113"/>
      <c r="J52" s="113"/>
      <c r="K52" s="113"/>
      <c r="L52" s="113"/>
      <c r="M52" s="113"/>
      <c r="N52" s="113"/>
      <c r="O52" s="113"/>
      <c r="P52" s="113"/>
      <c r="Q52" s="113"/>
      <c r="R52" s="113"/>
      <c r="S52" s="113"/>
      <c r="T52" s="113"/>
      <c r="U52" s="113"/>
      <c r="V52" s="113"/>
      <c r="W52" s="113"/>
      <c r="X52" s="113"/>
      <c r="Y52" s="113"/>
      <c r="Z52" s="113"/>
      <c r="AA52" s="356"/>
      <c r="AB52" s="356"/>
      <c r="AC52" s="359"/>
      <c r="AD52" s="364">
        <f t="shared" si="321"/>
        <v>0</v>
      </c>
      <c r="AE52" s="364">
        <f t="shared" si="322"/>
        <v>0</v>
      </c>
      <c r="AF52" s="364">
        <f t="shared" si="323"/>
        <v>0</v>
      </c>
      <c r="AG52" s="364"/>
      <c r="AH52" s="364"/>
      <c r="AI52" s="364"/>
      <c r="AJ52" s="361"/>
      <c r="AK52" s="362"/>
      <c r="AL52" s="362"/>
      <c r="AM52" s="346"/>
    </row>
    <row r="53" ht="54.950000000000003" customHeight="1">
      <c r="A53" s="356"/>
      <c r="B53" s="356"/>
      <c r="C53" s="113"/>
      <c r="D53" s="113"/>
      <c r="E53" s="113"/>
      <c r="F53" s="113"/>
      <c r="G53" s="113"/>
      <c r="H53" s="113"/>
      <c r="I53" s="113"/>
      <c r="J53" s="113"/>
      <c r="K53" s="113"/>
      <c r="L53" s="113"/>
      <c r="M53" s="113"/>
      <c r="N53" s="113"/>
      <c r="O53" s="113"/>
      <c r="P53" s="113"/>
      <c r="Q53" s="113"/>
      <c r="R53" s="113"/>
      <c r="S53" s="113"/>
      <c r="T53" s="113"/>
      <c r="U53" s="113"/>
      <c r="V53" s="113"/>
      <c r="W53" s="113"/>
      <c r="X53" s="113"/>
      <c r="Y53" s="113"/>
      <c r="Z53" s="113"/>
      <c r="AA53" s="356"/>
      <c r="AB53" s="356"/>
      <c r="AC53" s="359"/>
      <c r="AD53" s="365">
        <f t="shared" si="321"/>
        <v>0</v>
      </c>
      <c r="AE53" s="365">
        <f t="shared" si="322"/>
        <v>0</v>
      </c>
      <c r="AF53" s="365">
        <f t="shared" si="323"/>
        <v>0</v>
      </c>
      <c r="AG53" s="365"/>
      <c r="AH53" s="365"/>
      <c r="AI53" s="365"/>
      <c r="AJ53" s="361"/>
      <c r="AK53" s="362"/>
      <c r="AL53" s="362"/>
      <c r="AM53" s="346"/>
    </row>
    <row r="54" ht="54.950000000000003" customHeight="1">
      <c r="A54" s="356"/>
      <c r="B54" s="356"/>
      <c r="C54" s="113"/>
      <c r="D54" s="113"/>
      <c r="E54" s="113"/>
      <c r="F54" s="113"/>
      <c r="G54" s="113"/>
      <c r="H54" s="113"/>
      <c r="I54" s="113"/>
      <c r="J54" s="113"/>
      <c r="K54" s="113"/>
      <c r="L54" s="113"/>
      <c r="M54" s="113"/>
      <c r="N54" s="113"/>
      <c r="O54" s="113"/>
      <c r="P54" s="113"/>
      <c r="Q54" s="113"/>
      <c r="R54" s="113"/>
      <c r="S54" s="113"/>
      <c r="T54" s="113"/>
      <c r="U54" s="113"/>
      <c r="V54" s="113"/>
      <c r="W54" s="113"/>
      <c r="X54" s="113"/>
      <c r="Y54" s="113"/>
      <c r="Z54" s="113"/>
      <c r="AA54" s="356"/>
      <c r="AB54" s="356"/>
      <c r="AC54" s="359"/>
      <c r="AD54" s="366">
        <f t="shared" si="321"/>
        <v>0</v>
      </c>
      <c r="AE54" s="366">
        <f t="shared" si="322"/>
        <v>0</v>
      </c>
      <c r="AF54" s="366">
        <f t="shared" si="323"/>
        <v>0</v>
      </c>
      <c r="AG54" s="366"/>
      <c r="AH54" s="366"/>
      <c r="AI54" s="366"/>
      <c r="AJ54" s="361"/>
      <c r="AK54" s="362"/>
      <c r="AL54" s="362"/>
      <c r="AM54" s="346"/>
    </row>
    <row r="55" ht="21">
      <c r="A55" s="372"/>
      <c r="B55" s="371"/>
      <c r="C55" s="371"/>
      <c r="D55" s="371"/>
      <c r="E55" s="371"/>
      <c r="F55" s="371"/>
      <c r="G55" s="371"/>
      <c r="H55" s="371"/>
      <c r="I55" s="371"/>
      <c r="J55" s="371"/>
      <c r="K55" s="371"/>
      <c r="L55" s="371"/>
      <c r="M55" s="371"/>
      <c r="N55" s="371"/>
      <c r="O55" s="371"/>
      <c r="P55" s="371"/>
      <c r="Q55" s="371"/>
      <c r="R55" s="371"/>
      <c r="S55" s="372"/>
      <c r="T55" s="371"/>
      <c r="U55" s="371"/>
      <c r="V55" s="371"/>
      <c r="W55" s="371"/>
      <c r="X55" s="371"/>
      <c r="Y55" s="371"/>
      <c r="Z55" s="371"/>
      <c r="AA55" s="371"/>
      <c r="AB55" s="371"/>
      <c r="AC55" s="371"/>
      <c r="AD55" s="371"/>
      <c r="AE55" s="372"/>
      <c r="AF55" s="371"/>
      <c r="AG55" s="371"/>
      <c r="AH55" s="371"/>
      <c r="AI55" s="371"/>
      <c r="AJ55" s="371"/>
      <c r="AK55" s="371"/>
    </row>
    <row r="56" ht="20.25">
      <c r="A56" s="372"/>
      <c r="B56" s="371"/>
      <c r="C56" s="371"/>
      <c r="D56" s="371"/>
      <c r="E56" s="371"/>
      <c r="F56" s="371"/>
      <c r="G56" s="371"/>
      <c r="H56" s="371"/>
      <c r="I56" s="371"/>
      <c r="J56" s="371"/>
      <c r="K56" s="371"/>
      <c r="L56" s="371"/>
      <c r="M56" s="371"/>
      <c r="N56" s="371"/>
      <c r="O56" s="371"/>
      <c r="P56" s="371"/>
      <c r="Q56" s="371"/>
      <c r="R56" s="371"/>
      <c r="S56" s="372"/>
      <c r="T56" s="371"/>
      <c r="U56" s="371"/>
      <c r="V56" s="371"/>
      <c r="W56" s="371"/>
      <c r="X56" s="371"/>
      <c r="Y56" s="371"/>
      <c r="Z56" s="371"/>
      <c r="AA56" s="371"/>
      <c r="AB56" s="371"/>
      <c r="AC56" s="371"/>
      <c r="AD56" s="371"/>
      <c r="AE56" s="372"/>
      <c r="AF56" s="371"/>
      <c r="AG56" s="371"/>
      <c r="AH56" s="371"/>
      <c r="AI56" s="371"/>
      <c r="AJ56" s="371"/>
      <c r="AK56" s="371"/>
    </row>
    <row r="57" ht="20.25">
      <c r="A57" s="372"/>
      <c r="B57" s="371"/>
      <c r="C57" s="371"/>
      <c r="D57" s="371"/>
      <c r="E57" s="371"/>
      <c r="F57" s="371"/>
      <c r="G57" s="371"/>
      <c r="H57" s="371"/>
      <c r="I57" s="371"/>
      <c r="J57" s="371"/>
      <c r="K57" s="371"/>
      <c r="L57" s="371"/>
      <c r="M57" s="371"/>
      <c r="N57" s="371"/>
      <c r="O57" s="371"/>
      <c r="P57" s="371"/>
      <c r="Q57" s="371"/>
      <c r="R57" s="371"/>
      <c r="S57" s="371"/>
      <c r="T57" s="371"/>
      <c r="U57" s="371"/>
      <c r="V57" s="371"/>
      <c r="W57" s="371"/>
      <c r="X57" s="371"/>
      <c r="Y57" s="371"/>
      <c r="Z57" s="371"/>
      <c r="AA57" s="371"/>
      <c r="AB57" s="371"/>
      <c r="AC57" s="372"/>
      <c r="AD57" s="371"/>
      <c r="AE57" s="371"/>
      <c r="AF57" s="371"/>
      <c r="AG57" s="371"/>
      <c r="AH57" s="371"/>
      <c r="AI57" s="371"/>
      <c r="AJ57" s="371"/>
      <c r="AK57" s="371"/>
      <c r="AL57" s="372"/>
      <c r="AM57" s="371"/>
      <c r="AN57" s="371"/>
      <c r="AO57" s="371"/>
      <c r="AP57" s="371"/>
      <c r="AQ57" s="371"/>
    </row>
    <row r="58" ht="20.25">
      <c r="A58" s="372"/>
      <c r="B58" s="371"/>
      <c r="C58" s="371"/>
      <c r="D58" s="371"/>
      <c r="E58" s="371"/>
      <c r="F58" s="371"/>
      <c r="G58" s="371"/>
      <c r="H58" s="371"/>
      <c r="I58" s="371"/>
      <c r="J58" s="371"/>
      <c r="K58" s="371"/>
      <c r="L58" s="371"/>
      <c r="M58" s="371"/>
      <c r="N58" s="371"/>
      <c r="O58" s="371"/>
      <c r="P58" s="371"/>
      <c r="Q58" s="371"/>
      <c r="R58" s="371"/>
      <c r="S58" s="371"/>
      <c r="T58" s="371"/>
      <c r="U58" s="371"/>
      <c r="V58" s="371"/>
      <c r="W58" s="371"/>
      <c r="X58" s="371"/>
      <c r="Y58" s="371"/>
      <c r="Z58" s="371"/>
      <c r="AA58" s="371"/>
      <c r="AB58" s="371"/>
      <c r="AC58" s="372"/>
      <c r="AD58" s="371"/>
      <c r="AE58" s="371"/>
      <c r="AF58" s="371"/>
      <c r="AG58" s="371"/>
      <c r="AH58" s="371"/>
      <c r="AI58" s="371"/>
      <c r="AJ58" s="371"/>
      <c r="AK58" s="371"/>
      <c r="AL58" s="372"/>
      <c r="AM58" s="371"/>
      <c r="AN58" s="371"/>
      <c r="AO58" s="371"/>
      <c r="AP58" s="371"/>
      <c r="AQ58" s="371"/>
    </row>
    <row r="59" ht="20.25">
      <c r="A59" s="372"/>
      <c r="B59" s="371"/>
      <c r="C59" s="371"/>
      <c r="D59" s="371"/>
      <c r="E59" s="371"/>
      <c r="F59" s="371"/>
      <c r="G59" s="371"/>
      <c r="H59" s="371"/>
      <c r="I59" s="371"/>
      <c r="J59" s="371"/>
      <c r="K59" s="371"/>
      <c r="L59" s="371"/>
      <c r="M59" s="371"/>
      <c r="N59" s="371"/>
      <c r="O59" s="371"/>
      <c r="P59" s="371"/>
      <c r="Q59" s="371"/>
      <c r="R59" s="371"/>
      <c r="S59" s="371"/>
      <c r="T59" s="371"/>
      <c r="U59" s="371"/>
      <c r="V59" s="371"/>
      <c r="W59" s="371"/>
      <c r="X59" s="371"/>
      <c r="Y59" s="371"/>
      <c r="Z59" s="371"/>
      <c r="AA59" s="371"/>
      <c r="AB59" s="371"/>
      <c r="AC59" s="372"/>
      <c r="AD59" s="371"/>
      <c r="AE59" s="371"/>
      <c r="AF59" s="371"/>
      <c r="AG59" s="371"/>
      <c r="AH59" s="371"/>
      <c r="AI59" s="371"/>
      <c r="AJ59" s="371"/>
      <c r="AK59" s="371"/>
      <c r="AL59" s="372"/>
      <c r="AM59" s="371"/>
      <c r="AN59" s="371"/>
      <c r="AO59" s="371"/>
      <c r="AP59" s="371"/>
      <c r="AQ59" s="371"/>
    </row>
    <row r="60" ht="20.25">
      <c r="A60" s="372"/>
      <c r="B60" s="371"/>
      <c r="C60" s="371"/>
      <c r="D60" s="371"/>
      <c r="E60" s="371"/>
      <c r="F60" s="371"/>
      <c r="G60" s="371"/>
      <c r="H60" s="371"/>
      <c r="I60" s="371"/>
      <c r="J60" s="371"/>
      <c r="K60" s="371"/>
      <c r="L60" s="371"/>
      <c r="M60" s="371"/>
      <c r="N60" s="371"/>
      <c r="O60" s="371"/>
      <c r="P60" s="371"/>
      <c r="Q60" s="371"/>
      <c r="R60" s="371"/>
      <c r="S60" s="371"/>
      <c r="T60" s="371"/>
      <c r="U60" s="371"/>
      <c r="V60" s="371"/>
      <c r="W60" s="371"/>
      <c r="X60" s="371"/>
      <c r="Y60" s="371"/>
      <c r="Z60" s="371"/>
      <c r="AA60" s="371"/>
      <c r="AB60" s="371"/>
      <c r="AC60" s="372"/>
      <c r="AD60" s="371"/>
      <c r="AE60" s="371"/>
      <c r="AF60" s="371"/>
      <c r="AG60" s="371"/>
      <c r="AH60" s="371"/>
      <c r="AI60" s="371"/>
      <c r="AJ60" s="371"/>
      <c r="AK60" s="371"/>
      <c r="AL60" s="372"/>
      <c r="AM60" s="371"/>
      <c r="AN60" s="371"/>
      <c r="AO60" s="371"/>
      <c r="AP60" s="371"/>
      <c r="AQ60" s="371"/>
    </row>
    <row r="61" ht="20.25">
      <c r="A61" s="372"/>
      <c r="B61" s="371"/>
      <c r="C61" s="371"/>
      <c r="D61" s="371"/>
      <c r="E61" s="371"/>
      <c r="F61" s="371"/>
      <c r="G61" s="371"/>
      <c r="H61" s="371"/>
      <c r="I61" s="371"/>
      <c r="J61" s="371"/>
      <c r="K61" s="371"/>
      <c r="L61" s="371"/>
      <c r="M61" s="371"/>
      <c r="N61" s="371"/>
      <c r="O61" s="371"/>
      <c r="P61" s="371"/>
      <c r="Q61" s="371"/>
      <c r="R61" s="371"/>
      <c r="S61" s="371"/>
      <c r="T61" s="371"/>
      <c r="U61" s="371"/>
      <c r="V61" s="371"/>
      <c r="W61" s="371"/>
      <c r="X61" s="371"/>
      <c r="Y61" s="371"/>
      <c r="Z61" s="371"/>
      <c r="AA61" s="371"/>
      <c r="AB61" s="371"/>
      <c r="AC61" s="372"/>
      <c r="AD61" s="371"/>
      <c r="AE61" s="371"/>
      <c r="AF61" s="371"/>
      <c r="AG61" s="371"/>
      <c r="AH61" s="371"/>
      <c r="AI61" s="371"/>
      <c r="AJ61" s="371"/>
      <c r="AK61" s="371"/>
      <c r="AL61" s="372"/>
      <c r="AM61" s="371"/>
      <c r="AN61" s="371"/>
      <c r="AO61" s="371"/>
      <c r="AP61" s="371"/>
      <c r="AQ61" s="371"/>
    </row>
    <row r="62" ht="20.25">
      <c r="A62" s="372"/>
      <c r="B62" s="371"/>
      <c r="C62" s="371"/>
      <c r="D62" s="371"/>
      <c r="E62" s="371"/>
      <c r="F62" s="371"/>
      <c r="G62" s="371"/>
      <c r="H62" s="371"/>
      <c r="I62" s="371"/>
      <c r="J62" s="371"/>
      <c r="K62" s="371"/>
      <c r="L62" s="371"/>
      <c r="M62" s="371"/>
      <c r="N62" s="371"/>
      <c r="O62" s="371"/>
      <c r="P62" s="371"/>
      <c r="Q62" s="371"/>
      <c r="R62" s="371"/>
      <c r="S62" s="371"/>
      <c r="T62" s="371"/>
      <c r="U62" s="371"/>
      <c r="V62" s="371"/>
      <c r="W62" s="371"/>
      <c r="X62" s="371"/>
      <c r="Y62" s="371"/>
      <c r="Z62" s="371"/>
      <c r="AA62" s="371"/>
      <c r="AB62" s="371"/>
      <c r="AC62" s="372"/>
      <c r="AD62" s="371"/>
      <c r="AE62" s="371"/>
      <c r="AF62" s="371"/>
      <c r="AG62" s="371"/>
      <c r="AH62" s="371"/>
      <c r="AI62" s="371"/>
      <c r="AJ62" s="371"/>
      <c r="AK62" s="371"/>
      <c r="AL62" s="372"/>
      <c r="AM62" s="371"/>
      <c r="AN62" s="371"/>
      <c r="AO62" s="371"/>
      <c r="AP62" s="371"/>
      <c r="AQ62" s="371"/>
    </row>
    <row r="63" ht="20.25">
      <c r="F63" s="371"/>
      <c r="G63" s="371"/>
      <c r="H63" s="371"/>
      <c r="I63" s="371"/>
      <c r="J63" s="371"/>
      <c r="K63" s="371"/>
      <c r="L63" s="371"/>
      <c r="M63" s="371"/>
      <c r="S63" s="371"/>
      <c r="T63" s="371"/>
      <c r="U63" s="371"/>
    </row>
    <row r="64" ht="20.25">
      <c r="F64" s="371"/>
      <c r="G64" s="371"/>
      <c r="H64" s="371"/>
      <c r="I64" s="371"/>
      <c r="J64" s="371"/>
      <c r="K64" s="371"/>
      <c r="L64" s="371"/>
      <c r="M64" s="371"/>
      <c r="S64" s="371"/>
      <c r="T64" s="371"/>
      <c r="U64" s="371"/>
    </row>
  </sheetData>
  <mergeCells count="75">
    <mergeCell ref="AK36:AL36"/>
    <mergeCell ref="A37:B37"/>
    <mergeCell ref="AA37:AB37"/>
    <mergeCell ref="A42:B42"/>
    <mergeCell ref="AA42:AB42"/>
    <mergeCell ref="AK42:AL42"/>
    <mergeCell ref="A39:B39"/>
    <mergeCell ref="AA39:AB39"/>
    <mergeCell ref="AK39:AL39"/>
    <mergeCell ref="A40:B40"/>
    <mergeCell ref="AA40:AB40"/>
    <mergeCell ref="AK40:AL40"/>
    <mergeCell ref="O34:P34"/>
    <mergeCell ref="Q34:R34"/>
    <mergeCell ref="C32:Z32"/>
    <mergeCell ref="A41:B41"/>
    <mergeCell ref="AA41:AB41"/>
    <mergeCell ref="AH32:AH35"/>
    <mergeCell ref="AI32:AI35"/>
    <mergeCell ref="AK37:AL37"/>
    <mergeCell ref="A38:B38"/>
    <mergeCell ref="AA38:AB38"/>
    <mergeCell ref="AK38:AL38"/>
    <mergeCell ref="U34:V34"/>
    <mergeCell ref="W34:X34"/>
    <mergeCell ref="Y34:Z34"/>
    <mergeCell ref="A35:B35"/>
    <mergeCell ref="AA35:AB35"/>
    <mergeCell ref="A36:B36"/>
    <mergeCell ref="AA36:AB36"/>
    <mergeCell ref="I34:J34"/>
    <mergeCell ref="K34:L34"/>
    <mergeCell ref="M34:N34"/>
    <mergeCell ref="AJ32:AL35"/>
    <mergeCell ref="C33:F33"/>
    <mergeCell ref="G33:J33"/>
    <mergeCell ref="K33:N33"/>
    <mergeCell ref="O33:R33"/>
    <mergeCell ref="S33:V33"/>
    <mergeCell ref="AC32:AC35"/>
    <mergeCell ref="AD32:AD35"/>
    <mergeCell ref="AE32:AE35"/>
    <mergeCell ref="W33:Z33"/>
    <mergeCell ref="C34:D34"/>
    <mergeCell ref="E34:F34"/>
    <mergeCell ref="G34:H34"/>
    <mergeCell ref="S34:T34"/>
    <mergeCell ref="AF32:AF35"/>
    <mergeCell ref="AG32:AG35"/>
    <mergeCell ref="Y10:Z10"/>
    <mergeCell ref="C10:D10"/>
    <mergeCell ref="E10:F10"/>
    <mergeCell ref="G10:H10"/>
    <mergeCell ref="I10:J10"/>
    <mergeCell ref="K10:L10"/>
    <mergeCell ref="M10:N10"/>
    <mergeCell ref="O10:P10"/>
    <mergeCell ref="Q10:R10"/>
    <mergeCell ref="S10:T10"/>
    <mergeCell ref="U10:V10"/>
    <mergeCell ref="W10:X10"/>
    <mergeCell ref="W9:Z9"/>
    <mergeCell ref="C8:Z8"/>
    <mergeCell ref="C9:F9"/>
    <mergeCell ref="G9:J9"/>
    <mergeCell ref="K9:N9"/>
    <mergeCell ref="O9:R9"/>
    <mergeCell ref="S9:V9"/>
    <mergeCell ref="AI44:AI47"/>
    <mergeCell ref="AJ41:AL41"/>
    <mergeCell ref="AD44:AD47"/>
    <mergeCell ref="AE44:AE47"/>
    <mergeCell ref="AF44:AF47"/>
    <mergeCell ref="AG44:AG47"/>
    <mergeCell ref="AH44:AH47"/>
  </mergeCells>
  <printOptions headings="0" gridLines="0"/>
  <pageMargins left="0.39370078740157477" right="0.39370078740157477" top="0.39370078740157477" bottom="0.39370078740157477" header="0.59055118110236238" footer="0.59055118110236238"/>
  <pageSetup paperSize="9" scale="43" fitToWidth="0" fitToHeight="0" pageOrder="overThenDown" orientation="landscape" usePrinterDefaults="1" blackAndWhite="0" draft="0" cellComments="none" useFirstPageNumber="1" errors="displayed" horizontalDpi="600" verticalDpi="600" copies="1"/>
  <headerFooter/>
  <rowBreaks count="1" manualBreakCount="1">
    <brk id="24" man="1" max="16383"/>
  </rowBreaks>
  <colBreaks count="2" manualBreakCount="2">
    <brk id="26" man="1" max="53" min="24"/>
    <brk id="26" man="1" max="22"/>
  </colBreak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 filterMode="1">
    <tabColor theme="1"/>
    <outlinePr applyStyles="0" summaryBelow="1" summaryRight="1" showOutlineSymbols="1"/>
    <pageSetUpPr autoPageBreaks="1" fitToPage="1"/>
  </sheetPr>
  <sheetViews>
    <sheetView zoomScale="85" workbookViewId="0">
      <pane xSplit="2" ySplit="4" topLeftCell="C5" activePane="bottomRight" state="frozen"/>
      <selection activeCell="I28" activeCellId="0" sqref="I28"/>
    </sheetView>
  </sheetViews>
  <sheetFormatPr baseColWidth="10" defaultRowHeight="14.25"/>
  <cols>
    <col customWidth="1" min="1" max="1" style="1" width="4"/>
    <col bestFit="1" customWidth="1" min="2" max="2" style="1" width="60.5"/>
    <col customWidth="1" hidden="1" min="3" max="4" style="72" width="9"/>
    <col customWidth="1" min="5" max="5" style="989" width="10"/>
    <col bestFit="1" customWidth="1" min="6" max="6" style="72" width="7.875"/>
    <col customWidth="1" min="7" max="7" style="72" width="12.375"/>
    <col customWidth="1" min="8" max="8" style="72" width="9.5"/>
    <col customWidth="1" min="9" max="9" style="989" width="10"/>
    <col customWidth="1" min="10" max="10" style="72" width="9.5"/>
    <col min="11" max="11" style="989" width="11"/>
    <col customWidth="1" min="12" max="12" style="72" width="9.5"/>
    <col min="13" max="13" style="990" width="11"/>
    <col customWidth="1" min="14" max="14" style="1" width="9.5"/>
    <col min="15" max="15" style="990" width="11"/>
    <col min="16" max="16384" style="1" width="11"/>
  </cols>
  <sheetData>
    <row r="1" ht="19.5">
      <c r="B1" s="991" t="s">
        <v>141</v>
      </c>
    </row>
    <row r="2" ht="19.5">
      <c r="B2" s="991"/>
    </row>
    <row r="3" s="992" customFormat="1" ht="21.949999999999999" customHeight="1">
      <c r="A3" s="992" t="s">
        <v>142</v>
      </c>
      <c r="B3" s="993" t="s">
        <v>143</v>
      </c>
      <c r="C3" s="994" t="s">
        <v>144</v>
      </c>
      <c r="D3" s="995"/>
      <c r="E3" s="996" t="s">
        <v>145</v>
      </c>
      <c r="F3" s="997" t="s">
        <v>146</v>
      </c>
      <c r="G3" s="995"/>
      <c r="H3" s="998" t="s">
        <v>147</v>
      </c>
      <c r="I3" s="999"/>
      <c r="J3" s="997" t="s">
        <v>148</v>
      </c>
      <c r="K3" s="995"/>
      <c r="L3" s="997" t="s">
        <v>149</v>
      </c>
      <c r="M3" s="995"/>
      <c r="N3" s="997" t="s">
        <v>150</v>
      </c>
      <c r="O3" s="1000"/>
    </row>
    <row r="4" s="992" customFormat="1" ht="21.949999999999999" customHeight="1">
      <c r="A4" s="992" t="s">
        <v>142</v>
      </c>
      <c r="B4" s="1001" t="s">
        <v>151</v>
      </c>
      <c r="C4" s="1002" t="s">
        <v>152</v>
      </c>
      <c r="D4" s="1003" t="s">
        <v>153</v>
      </c>
      <c r="E4" s="1004"/>
      <c r="F4" s="1005" t="s">
        <v>154</v>
      </c>
      <c r="G4" s="1003" t="s">
        <v>20</v>
      </c>
      <c r="H4" s="1006" t="s">
        <v>155</v>
      </c>
      <c r="I4" s="1007" t="s">
        <v>154</v>
      </c>
      <c r="J4" s="1006" t="s">
        <v>155</v>
      </c>
      <c r="K4" s="1007" t="s">
        <v>154</v>
      </c>
      <c r="L4" s="1006" t="s">
        <v>155</v>
      </c>
      <c r="M4" s="1007" t="s">
        <v>154</v>
      </c>
      <c r="N4" s="1006" t="s">
        <v>155</v>
      </c>
      <c r="O4" s="1008" t="s">
        <v>154</v>
      </c>
    </row>
    <row r="5" ht="21.949999999999999" customHeight="1">
      <c r="A5" s="1" t="s">
        <v>142</v>
      </c>
      <c r="B5" s="1009" t="str">
        <f>'ETR_D2 (ex-PN93)'!B1</f>
        <v xml:space="preserve">ETREMBIERES_D2 route de la Libération / D906a (ex-PN93)</v>
      </c>
      <c r="C5" s="1010" t="s">
        <v>156</v>
      </c>
      <c r="D5" s="1011" t="s">
        <v>157</v>
      </c>
      <c r="E5" s="1012">
        <f>IF('ETR_D2 (ex-PN93)'!$AD53=0,"",'ETR_D2 (ex-PN93)'!$AD53)</f>
        <v>81</v>
      </c>
      <c r="F5" s="1013">
        <f>IF('ETR_D2 (ex-PN93)'!$AD54=0,"",'ETR_D2 (ex-PN93)'!$AD54)</f>
        <v>54</v>
      </c>
      <c r="G5" s="1014" t="str">
        <f>'ETR_D2 (ex-PN93)'!AB54</f>
        <v xml:space="preserve">de 7:00 à 8:00</v>
      </c>
      <c r="H5" s="1015">
        <f>'ETR_D2 (ex-PN93)'!AE53</f>
        <v>0.59259259259259256</v>
      </c>
      <c r="I5" s="1016">
        <f t="shared" ref="I5:I9" si="324">IF($E5="","",$E5*H5)</f>
        <v>48</v>
      </c>
      <c r="J5" s="1015">
        <f>'ETR_D2 (ex-PN93)'!AF53</f>
        <v>0.30864197530864196</v>
      </c>
      <c r="K5" s="1016">
        <f t="shared" ref="K5:K15" si="325">IF($E5="","",$E5*J5)</f>
        <v>25</v>
      </c>
      <c r="L5" s="1015">
        <f>'ETR_D2 (ex-PN93)'!AG53</f>
        <v>0.80000000000000004</v>
      </c>
      <c r="M5" s="1016">
        <f t="shared" ref="M5:M15" si="326">IF($K5="","",$K5*L5)</f>
        <v>20</v>
      </c>
      <c r="N5" s="1015">
        <f>'ETR_D2 (ex-PN93)'!AH53</f>
        <v>0.35802469135802467</v>
      </c>
      <c r="O5" s="1017">
        <f t="shared" ref="O5:O15" si="327">IF($E5="","-",$E5*N5)</f>
        <v>29</v>
      </c>
    </row>
    <row r="6" ht="21.949999999999999" customHeight="1">
      <c r="A6" s="1" t="s">
        <v>142</v>
      </c>
      <c r="B6" s="1018" t="str">
        <f>ETR_Château!B1</f>
        <v xml:space="preserve">ETREMBIERES_Rte de St-Julien / Rte du Salève (sous château)</v>
      </c>
      <c r="C6" s="1019" t="s">
        <v>156</v>
      </c>
      <c r="D6" s="1020" t="s">
        <v>157</v>
      </c>
      <c r="E6" s="1021">
        <f>IF(ETR_Château!$AE34=0,"",ETR_Château!$AE34)</f>
        <v>50</v>
      </c>
      <c r="F6" s="1022">
        <f>IF(ETR_Château!$AE35=0,"",ETR_Château!$AE35)</f>
        <v>29</v>
      </c>
      <c r="G6" s="1023" t="str">
        <f>ETR_Château!AC35</f>
        <v xml:space="preserve">de 7:00 à 8:00</v>
      </c>
      <c r="H6" s="1024">
        <f>ETR_Château!AF34</f>
        <v>0.5</v>
      </c>
      <c r="I6" s="1025">
        <f t="shared" si="324"/>
        <v>25</v>
      </c>
      <c r="J6" s="1024">
        <f>ETR_Château!AG34</f>
        <v>0.28000000000000003</v>
      </c>
      <c r="K6" s="1025">
        <f t="shared" si="325"/>
        <v>14.000000000000002</v>
      </c>
      <c r="L6" s="1024">
        <f>ETR_Château!AH34</f>
        <v>0.8571428571428571</v>
      </c>
      <c r="M6" s="1025">
        <f t="shared" si="326"/>
        <v>12</v>
      </c>
      <c r="N6" s="1024">
        <f>ETR_Château!AI34</f>
        <v>0.85999999999999999</v>
      </c>
      <c r="O6" s="1026">
        <f t="shared" si="327"/>
        <v>43</v>
      </c>
    </row>
    <row r="7" ht="18.75" hidden="1" customHeight="1">
      <c r="B7" s="1027" t="str">
        <f>SCI_Bellecombe!B1</f>
        <v xml:space="preserve">SCIENTRIER_Carrefour vers la Tour de Bellecombe</v>
      </c>
      <c r="C7" s="1019" t="s">
        <v>156</v>
      </c>
      <c r="D7" s="1020" t="s">
        <v>157</v>
      </c>
      <c r="E7" s="1028" t="str">
        <f>IF(SCI_Bellecombe!$AC41=0,"",SCI_Bellecombe!$AC41)</f>
        <v/>
      </c>
      <c r="F7" s="1029" t="str">
        <f>IF(SCI_Bellecombe!$AC42=0,"",SCI_Bellecombe!$AC42)</f>
        <v/>
      </c>
      <c r="G7" s="1030" t="str">
        <f>SCI_Bellecombe!AA42</f>
        <v xml:space="preserve">de 6:30 à 7:30</v>
      </c>
      <c r="H7" s="1031">
        <f>SCI_Bellecombe!AD41</f>
        <v>0</v>
      </c>
      <c r="I7" s="1032" t="str">
        <f t="shared" si="324"/>
        <v/>
      </c>
      <c r="J7" s="1031">
        <f>SCI_Bellecombe!AE41</f>
        <v>0</v>
      </c>
      <c r="K7" s="1032" t="str">
        <f t="shared" si="325"/>
        <v/>
      </c>
      <c r="L7" s="1031">
        <f>SCI_Bellecombe!AF41</f>
        <v>0</v>
      </c>
      <c r="M7" s="1032" t="str">
        <f t="shared" si="326"/>
        <v/>
      </c>
      <c r="N7" s="1031">
        <f>SCI_Bellecombe!AG41</f>
        <v>0</v>
      </c>
      <c r="O7" s="1033" t="str">
        <f t="shared" si="327"/>
        <v>-</v>
      </c>
    </row>
    <row r="8" ht="21.949999999999999" customHeight="1">
      <c r="A8" s="1" t="s">
        <v>142</v>
      </c>
      <c r="B8" s="1018" t="str">
        <f>RE_Eglise!B1</f>
        <v xml:space="preserve">REIGNIER_Giratoire des Jonquilles (devant l'église)</v>
      </c>
      <c r="C8" s="1019" t="s">
        <v>156</v>
      </c>
      <c r="D8" s="1020" t="s">
        <v>157</v>
      </c>
      <c r="E8" s="1021">
        <f>IF(RE_Eglise!$AD53=0,"",RE_Eglise!$AD53)</f>
        <v>49</v>
      </c>
      <c r="F8" s="1022">
        <f>IF(RE_Eglise!$AD54=0,"",RE_Eglise!$AD54)</f>
        <v>32</v>
      </c>
      <c r="G8" s="1023" t="str">
        <f>RE_Eglise!AB54</f>
        <v xml:space="preserve">de 7:30 à 8:30</v>
      </c>
      <c r="H8" s="1024">
        <f>RE_Eglise!AE53</f>
        <v>0.34693877551020408</v>
      </c>
      <c r="I8" s="1025">
        <f t="shared" si="324"/>
        <v>17</v>
      </c>
      <c r="J8" s="1024">
        <f>RE_Eglise!AF53</f>
        <v>0.34693877551020408</v>
      </c>
      <c r="K8" s="1025">
        <f t="shared" si="325"/>
        <v>17</v>
      </c>
      <c r="L8" s="1024">
        <f>RE_Eglise!AG53</f>
        <v>0.58823529411764708</v>
      </c>
      <c r="M8" s="1025">
        <f t="shared" si="326"/>
        <v>10</v>
      </c>
      <c r="N8" s="1024">
        <f>RE_Eglise!AH53</f>
        <v>0.30612244897959184</v>
      </c>
      <c r="O8" s="1026">
        <f t="shared" si="327"/>
        <v>15</v>
      </c>
    </row>
    <row r="9" ht="21.949999999999999" customHeight="1">
      <c r="A9" s="1" t="s">
        <v>142</v>
      </c>
      <c r="B9" s="1018" t="str">
        <f>RE_Foron!B1</f>
        <v xml:space="preserve">REIGNIER BAS_Giratoire D2 / D202 (vers le Foron)</v>
      </c>
      <c r="C9" s="1019" t="s">
        <v>156</v>
      </c>
      <c r="D9" s="1020" t="s">
        <v>157</v>
      </c>
      <c r="E9" s="1021">
        <f>IF(RE_Foron!$AE34=0,"",RE_Foron!$AE34)</f>
        <v>26</v>
      </c>
      <c r="F9" s="1022">
        <f>IF(RE_Foron!$AE35=0,"",RE_Foron!$AE35)</f>
        <v>13</v>
      </c>
      <c r="G9" s="1023" t="str">
        <f>RE_Foron!AC35</f>
        <v xml:space="preserve">de 7:00 à 8:00</v>
      </c>
      <c r="H9" s="1024">
        <f>RE_Foron!AF34</f>
        <v>0.61538461538461542</v>
      </c>
      <c r="I9" s="1025">
        <f t="shared" si="324"/>
        <v>16</v>
      </c>
      <c r="J9" s="1024">
        <f>RE_Foron!AG34</f>
        <v>0.15384615384615385</v>
      </c>
      <c r="K9" s="1025">
        <f t="shared" si="325"/>
        <v>4</v>
      </c>
      <c r="L9" s="1024">
        <f>RE_Foron!AH34</f>
        <v>1</v>
      </c>
      <c r="M9" s="1025">
        <f t="shared" si="326"/>
        <v>4</v>
      </c>
      <c r="N9" s="1024">
        <f>RE_Foron!AI34</f>
        <v>0.57692307692307687</v>
      </c>
      <c r="O9" s="1026">
        <f t="shared" si="327"/>
        <v>14.999999999999998</v>
      </c>
    </row>
    <row r="10" ht="18.75" hidden="1" customHeight="1">
      <c r="B10" s="1027" t="str">
        <f>'RE_La Forge (gir.)'!B1</f>
        <v xml:space="preserve">REIGNIER_Giratoire de la Forge (en-dessous du Fil des Saisons)</v>
      </c>
      <c r="C10" s="1019" t="s">
        <v>156</v>
      </c>
      <c r="D10" s="1020" t="s">
        <v>157</v>
      </c>
      <c r="E10" s="1028" t="str">
        <f>IF('RE_La Forge (gir.)'!$AC41=0,"",'RE_La Forge (gir.)'!$AC41)</f>
        <v/>
      </c>
      <c r="F10" s="1029" t="str">
        <f>IF('RE_La Forge (gir.)'!$AC42=0,"",'RE_La Forge (gir.)'!$AC42)</f>
        <v/>
      </c>
      <c r="G10" s="1030" t="str">
        <f>'RE_La Forge (gir.)'!AA42</f>
        <v xml:space="preserve">de 6:30 à 7:30</v>
      </c>
      <c r="H10" s="1031">
        <f>'RE_La Forge (gir.)'!AD41</f>
        <v>0</v>
      </c>
      <c r="I10" s="1032" t="str">
        <f t="shared" ref="I10:I15" si="328">IF($E10="","",$E10*H10)</f>
        <v/>
      </c>
      <c r="J10" s="1031">
        <f>'RE_La Forge (gir.)'!AE41</f>
        <v>0</v>
      </c>
      <c r="K10" s="1032" t="str">
        <f t="shared" si="325"/>
        <v/>
      </c>
      <c r="L10" s="1031">
        <f>'RE_La Forge (gir.)'!AF41</f>
        <v>0</v>
      </c>
      <c r="M10" s="1032" t="str">
        <f t="shared" si="326"/>
        <v/>
      </c>
      <c r="N10" s="1031">
        <f>'RE_La Forge (gir.)'!AG41</f>
        <v>0</v>
      </c>
      <c r="O10" s="1033" t="str">
        <f t="shared" si="327"/>
        <v>-</v>
      </c>
    </row>
    <row r="11" ht="21.949999999999999" customHeight="1">
      <c r="A11" s="1" t="s">
        <v>142</v>
      </c>
      <c r="B11" s="1018" t="str">
        <f>PJ_Casino!B1</f>
        <v xml:space="preserve">PERS-JUSSY_Giratoire de Casino</v>
      </c>
      <c r="C11" s="1019" t="s">
        <v>156</v>
      </c>
      <c r="D11" s="1020" t="s">
        <v>157</v>
      </c>
      <c r="E11" s="1021">
        <f>IF(PJ_Casino!$AD53=0,"",PJ_Casino!$AD53)</f>
        <v>27</v>
      </c>
      <c r="F11" s="1022">
        <f>IF(PJ_Casino!$AD54=0,"",PJ_Casino!$AD54)</f>
        <v>17</v>
      </c>
      <c r="G11" s="1023" t="str">
        <f>PJ_Casino!AB54</f>
        <v xml:space="preserve">de 7:00 à 8:00</v>
      </c>
      <c r="H11" s="1024">
        <f>PJ_Casino!AE53</f>
        <v>0.44444444444444442</v>
      </c>
      <c r="I11" s="1025">
        <f t="shared" si="328"/>
        <v>12</v>
      </c>
      <c r="J11" s="1024">
        <f>PJ_Casino!AF53</f>
        <v>0.48148148148148145</v>
      </c>
      <c r="K11" s="1025">
        <f t="shared" si="325"/>
        <v>13</v>
      </c>
      <c r="L11" s="1024">
        <f>PJ_Casino!AG53</f>
        <v>0.61538461538461542</v>
      </c>
      <c r="M11" s="1025">
        <f t="shared" si="326"/>
        <v>8</v>
      </c>
      <c r="N11" s="1024"/>
      <c r="O11" s="1026">
        <f t="shared" si="327"/>
        <v>0</v>
      </c>
    </row>
    <row r="12" ht="21.949999999999999" customHeight="1">
      <c r="A12" s="1" t="s">
        <v>142</v>
      </c>
      <c r="B12" s="1034" t="str">
        <f>'RE_ex-gendarmerie'!B1</f>
        <v xml:space="preserve">REIGNIER_Giratoire de l'ancienne gendarmerie</v>
      </c>
      <c r="C12" s="1035" t="s">
        <v>156</v>
      </c>
      <c r="D12" s="1036" t="s">
        <v>157</v>
      </c>
      <c r="E12" s="1037">
        <f>IF('RE_ex-gendarmerie'!$AD53=0,"",'RE_ex-gendarmerie'!$AD53)</f>
        <v>58</v>
      </c>
      <c r="F12" s="1038">
        <f>IF('RE_ex-gendarmerie'!$AD54=0,"",'RE_ex-gendarmerie'!$AD54)</f>
        <v>27</v>
      </c>
      <c r="G12" s="1039" t="str">
        <f>'RE_ex-gendarmerie'!AB54</f>
        <v xml:space="preserve">de 7:00 à 8:00</v>
      </c>
      <c r="H12" s="1040">
        <f>'RE_ex-gendarmerie'!AE53</f>
        <v>0.5</v>
      </c>
      <c r="I12" s="1041">
        <f t="shared" si="328"/>
        <v>29</v>
      </c>
      <c r="J12" s="1040">
        <f>'RE_ex-gendarmerie'!AF53</f>
        <v>0.39655172413793105</v>
      </c>
      <c r="K12" s="1041">
        <f t="shared" si="325"/>
        <v>23</v>
      </c>
      <c r="L12" s="1040">
        <f>'RE_ex-gendarmerie'!AG53</f>
        <v>0.73913043478260865</v>
      </c>
      <c r="M12" s="1041">
        <f t="shared" si="326"/>
        <v>17</v>
      </c>
      <c r="N12" s="1040"/>
      <c r="O12" s="1042">
        <f t="shared" si="327"/>
        <v>0</v>
      </c>
    </row>
    <row r="13" ht="21.949999999999999" customHeight="1">
      <c r="A13" s="1" t="s">
        <v>142</v>
      </c>
      <c r="B13" s="1034" t="str">
        <f>RE_Gare!B1</f>
        <v xml:space="preserve">REIGNIER_Carrefour Rue de la Gare / Rte de Bellecombe (vers Tour d'Ivoire)</v>
      </c>
      <c r="C13" s="1035" t="s">
        <v>156</v>
      </c>
      <c r="D13" s="1036" t="s">
        <v>157</v>
      </c>
      <c r="E13" s="1037">
        <f>IF(RE_Gare!$AE34=0,"",RE_Gare!$AE34)</f>
        <v>30</v>
      </c>
      <c r="F13" s="1038">
        <f>IF(RE_Gare!$AE35=0,"",RE_Gare!$AE35)</f>
        <v>20</v>
      </c>
      <c r="G13" s="1039" t="str">
        <f>RE_Gare!AC35</f>
        <v xml:space="preserve">de 7:00 à 8:00</v>
      </c>
      <c r="H13" s="1040">
        <f>RE_Gare!AF34</f>
        <v>0.59999999999999998</v>
      </c>
      <c r="I13" s="1041">
        <f t="shared" si="328"/>
        <v>18</v>
      </c>
      <c r="J13" s="1040">
        <f>RE_Gare!AG34</f>
        <v>0.36666666666666664</v>
      </c>
      <c r="K13" s="1041">
        <f>IF($E13="","",$E13*J13)</f>
        <v>11</v>
      </c>
      <c r="L13" s="1040">
        <f>RE_Gare!AH34</f>
        <v>0.72727272727272729</v>
      </c>
      <c r="M13" s="1041">
        <f>IF($K13="","",$K13*L13)</f>
        <v>8</v>
      </c>
      <c r="N13" s="1040"/>
      <c r="O13" s="1042">
        <f>IF($E13="","-",$E13*N13)</f>
        <v>0</v>
      </c>
    </row>
    <row r="14" s="617" customFormat="1" ht="21.949999999999999" customHeight="1">
      <c r="A14" s="1" t="s">
        <v>142</v>
      </c>
      <c r="B14" s="1034" t="str">
        <f>'RE_Fil Saisons'!B1</f>
        <v xml:space="preserve">REIGNIER_Carrefour Marsinge / Viaison (au-dessus du Fil des Saisons)</v>
      </c>
      <c r="C14" s="1019" t="s">
        <v>156</v>
      </c>
      <c r="D14" s="1020" t="s">
        <v>157</v>
      </c>
      <c r="E14" s="1037">
        <f>IF('RE_Fil Saisons'!$AE34=0,"",'RE_Fil Saisons'!$AE34)</f>
        <v>28</v>
      </c>
      <c r="F14" s="1038">
        <f>IF('RE_Fil Saisons'!$AE35=0,"",'RE_Fil Saisons'!$AE35)</f>
        <v>20</v>
      </c>
      <c r="G14" s="1039" t="str">
        <f>'RE_Fil Saisons'!AC35</f>
        <v xml:space="preserve">de 7:00 à 8:00</v>
      </c>
      <c r="H14" s="1040">
        <f>'RE_Fil Saisons'!AF34</f>
        <v>0.5357142857142857</v>
      </c>
      <c r="I14" s="1041">
        <f t="shared" si="328"/>
        <v>15</v>
      </c>
      <c r="J14" s="1040">
        <f>'RE_Fil Saisons'!AG34</f>
        <v>0.21428571428571427</v>
      </c>
      <c r="K14" s="1041">
        <f t="shared" si="325"/>
        <v>6</v>
      </c>
      <c r="L14" s="1040">
        <f>'RE_Fil Saisons'!AH34</f>
        <v>1</v>
      </c>
      <c r="M14" s="1041">
        <f t="shared" si="326"/>
        <v>6</v>
      </c>
      <c r="N14" s="1040">
        <f>'RE_Fil Saisons'!AI34</f>
        <v>0.9285714285714286</v>
      </c>
      <c r="O14" s="1042">
        <f t="shared" si="327"/>
        <v>26</v>
      </c>
    </row>
    <row r="15" s="251" customFormat="1" ht="21.949999999999999" customHeight="1">
      <c r="A15" s="1" t="s">
        <v>142</v>
      </c>
      <c r="B15" s="1043" t="str">
        <f>'ART_Lavage auto'!B1</f>
        <v xml:space="preserve">ARTHAZ_Route de Reignier D202 / Route Nationale D1205</v>
      </c>
      <c r="C15" s="1044" t="s">
        <v>156</v>
      </c>
      <c r="D15" s="1045" t="s">
        <v>157</v>
      </c>
      <c r="E15" s="1046">
        <f>IF('ART_Lavage auto'!$AD53=0,"",'ART_Lavage auto'!$AD53)</f>
        <v>37</v>
      </c>
      <c r="F15" s="1047">
        <f>IF('ART_Lavage auto'!$AD54=0,"",'ART_Lavage auto'!$AD54)</f>
        <v>23</v>
      </c>
      <c r="G15" s="1048" t="str">
        <f>'ART_Lavage auto'!AB54</f>
        <v xml:space="preserve">de 7:00 à 8:00</v>
      </c>
      <c r="H15" s="1049">
        <f>'ART_Lavage auto'!AE53</f>
        <v>0.40540540540540543</v>
      </c>
      <c r="I15" s="1050">
        <f t="shared" si="328"/>
        <v>15</v>
      </c>
      <c r="J15" s="1049">
        <f>'ART_Lavage auto'!AF53</f>
        <v>0.32432432432432434</v>
      </c>
      <c r="K15" s="1050">
        <f t="shared" si="325"/>
        <v>12</v>
      </c>
      <c r="L15" s="1049">
        <f>'ART_Lavage auto'!AG53</f>
        <v>0.25</v>
      </c>
      <c r="M15" s="1050">
        <f t="shared" si="326"/>
        <v>3</v>
      </c>
      <c r="N15" s="1049">
        <f>'ART_Lavage auto'!AH53</f>
        <v>0.70270270270270274</v>
      </c>
      <c r="O15" s="1051">
        <f t="shared" si="327"/>
        <v>26</v>
      </c>
    </row>
    <row r="16" s="992" customFormat="1" ht="21.949999999999999" customHeight="1">
      <c r="A16" s="992" t="s">
        <v>142</v>
      </c>
      <c r="B16" s="1052" t="str">
        <f>"TOTAL "&amp;RIGHT(B1,4)&amp;" ["&amp;COUNT(E5:E15)&amp;" carrefours enquêtés]"</f>
        <v xml:space="preserve">TOTAL 2023 [9 carrefours enquêtés]</v>
      </c>
      <c r="C16" s="1053"/>
      <c r="D16" s="1054"/>
      <c r="E16" s="1055">
        <f>SUM(E5:E15)</f>
        <v>386</v>
      </c>
      <c r="F16" s="1056">
        <f>SUM(F5:F15)</f>
        <v>235</v>
      </c>
      <c r="G16" s="1057" t="str">
        <f>G5</f>
        <v xml:space="preserve">de 7:00 à 8:00</v>
      </c>
      <c r="H16" s="1058">
        <f>I16/$E16</f>
        <v>0.50518134715025909</v>
      </c>
      <c r="I16" s="1059">
        <f>SUM(I5:I15)</f>
        <v>195</v>
      </c>
      <c r="J16" s="1058">
        <f>K16/$E16</f>
        <v>0.32383419689119169</v>
      </c>
      <c r="K16" s="1059">
        <f>SUM(K5:K15)</f>
        <v>125</v>
      </c>
      <c r="L16" s="1058">
        <f>M16/$E16</f>
        <v>0.22797927461139897</v>
      </c>
      <c r="M16" s="1059">
        <f>SUM(M5:M15)</f>
        <v>88</v>
      </c>
      <c r="N16" s="1058">
        <f>O16/$E16</f>
        <v>0.39896373056994816</v>
      </c>
      <c r="O16" s="1060">
        <f>SUM(O5:O15)</f>
        <v>154</v>
      </c>
    </row>
    <row r="17" s="992" customFormat="1" ht="21.949999999999999" customHeight="1">
      <c r="A17" s="992" t="s">
        <v>142</v>
      </c>
      <c r="B17" s="1052" t="str">
        <f>"TOTAL "&amp;RIGHT(B1,4)-1&amp;" ["&amp;COUNT([1]SYNTHESE!$E$5:$E$14)&amp;" carrefours enquêtés]"</f>
        <v xml:space="preserve">TOTAL 2022 [6 carrefours enquêtés]</v>
      </c>
      <c r="C17" s="1053"/>
      <c r="D17" s="1054"/>
      <c r="E17" s="1055">
        <f>[1]SYNTHESE!E16</f>
        <v>148</v>
      </c>
      <c r="F17" s="1056">
        <f>[1]SYNTHESE!F16</f>
        <v>96</v>
      </c>
      <c r="G17" s="1057" t="str">
        <f>[1]SYNTHESE!G16</f>
        <v xml:space="preserve">de 7:00 à 8:00</v>
      </c>
      <c r="H17" s="1058">
        <f>[1]SYNTHESE!H16</f>
        <v>0.49324324324324326</v>
      </c>
      <c r="I17" s="1059">
        <f>[1]SYNTHESE!I16</f>
        <v>73</v>
      </c>
      <c r="J17" s="1058">
        <f>[1]SYNTHESE!J16</f>
        <v>0.22297297297297297</v>
      </c>
      <c r="K17" s="1059">
        <f>[1]SYNTHESE!K16</f>
        <v>33</v>
      </c>
      <c r="L17" s="1058">
        <f>[1]SYNTHESE!L16</f>
        <v>0.16216216216216217</v>
      </c>
      <c r="M17" s="1059">
        <f>[1]SYNTHESE!M16</f>
        <v>24</v>
      </c>
      <c r="N17" s="1058">
        <f>[1]SYNTHESE!N16</f>
        <v>0.77702702702702697</v>
      </c>
      <c r="O17" s="1060">
        <f>[1]SYNTHESE!O16</f>
        <v>115</v>
      </c>
    </row>
    <row r="18" s="992" customFormat="1" ht="21.949999999999999" customHeight="1">
      <c r="A18" s="992" t="s">
        <v>142</v>
      </c>
      <c r="B18" s="1061" t="str">
        <f>"Différence "&amp;RIGHT(B1,4)-1&amp;" - "&amp;RIGHT(B1,4)&amp;" [#]"</f>
        <v xml:space="preserve">Différence 2022 - 2023 [#]</v>
      </c>
      <c r="C18" s="1053"/>
      <c r="D18" s="1054"/>
      <c r="E18" s="1062">
        <f>E16-E17</f>
        <v>238</v>
      </c>
      <c r="F18" s="1063">
        <f t="shared" ref="F18:O18" si="329">F16-F17</f>
        <v>139</v>
      </c>
      <c r="G18" s="1064"/>
      <c r="H18" s="1065">
        <f t="shared" si="329"/>
        <v>0.011938103907015829</v>
      </c>
      <c r="I18" s="1066">
        <f t="shared" si="329"/>
        <v>122</v>
      </c>
      <c r="J18" s="1065">
        <f t="shared" si="329"/>
        <v>0.10086122391821872</v>
      </c>
      <c r="K18" s="1066">
        <f t="shared" si="329"/>
        <v>92</v>
      </c>
      <c r="L18" s="1065">
        <f t="shared" si="329"/>
        <v>0.065817112449236798</v>
      </c>
      <c r="M18" s="1066">
        <f t="shared" si="329"/>
        <v>64</v>
      </c>
      <c r="N18" s="1065">
        <f>N16-N17</f>
        <v>-0.37806329645707881</v>
      </c>
      <c r="O18" s="1067">
        <f t="shared" si="329"/>
        <v>39</v>
      </c>
    </row>
    <row r="19" s="992" customFormat="1" ht="21.949999999999999" customHeight="1">
      <c r="A19" s="992" t="s">
        <v>142</v>
      </c>
      <c r="B19" s="1068" t="str">
        <f>"Différence "&amp;RIGHT(B1,4)-1&amp;" - "&amp;RIGHT(B1,4)&amp;" [%]"</f>
        <v xml:space="preserve">Différence 2022 - 2023 [%]</v>
      </c>
      <c r="C19" s="1053"/>
      <c r="D19" s="1054"/>
      <c r="E19" s="1069">
        <f>E16/E17-1</f>
        <v>1.6081081081081079</v>
      </c>
      <c r="F19" s="1070">
        <f>F16/F17-1</f>
        <v>1.4479166666666665</v>
      </c>
      <c r="G19" s="1071"/>
      <c r="H19" s="1070"/>
      <c r="I19" s="1071">
        <f>I16/I17-1</f>
        <v>1.6712328767123288</v>
      </c>
      <c r="J19" s="1070"/>
      <c r="K19" s="1071">
        <f>K16/K17-1</f>
        <v>2.7878787878787881</v>
      </c>
      <c r="L19" s="1070"/>
      <c r="M19" s="1071">
        <f>M16/M17-1</f>
        <v>2.6666666666666665</v>
      </c>
      <c r="N19" s="1070"/>
      <c r="O19" s="1072">
        <f>O16/O17-1</f>
        <v>0.33913043478260874</v>
      </c>
    </row>
    <row r="20" ht="21.949999999999999" customHeight="1">
      <c r="A20" s="992" t="s">
        <v>142</v>
      </c>
      <c r="H20" s="1073" t="s">
        <v>158</v>
      </c>
      <c r="I20" s="989">
        <f>I16-M16</f>
        <v>107</v>
      </c>
      <c r="J20" s="1073" t="s">
        <v>159</v>
      </c>
      <c r="K20" s="989">
        <f>E16-K16</f>
        <v>261</v>
      </c>
      <c r="L20" s="1" t="s">
        <v>158</v>
      </c>
      <c r="M20" s="1073">
        <f>I20/K20</f>
        <v>0.40996168582375481</v>
      </c>
      <c r="N20" s="1073"/>
      <c r="O20" s="989"/>
    </row>
    <row r="21" s="617" customFormat="1" hidden="1">
      <c r="B21" s="617" t="str">
        <f>"Différence "&amp;RIGHT(B1,4)-1&amp;" - "&amp;RIGHT(B1,4)</f>
        <v xml:space="preserve">Différence 2022 - 2023</v>
      </c>
    </row>
    <row r="23">
      <c r="F23" s="1073"/>
      <c r="G23" s="1073"/>
    </row>
  </sheetData>
  <autoFilter ref="A2:O21">
    <filterColumn colId="0">
      <customFilters>
        <customFilter operator="notEqual" val=" "/>
      </customFilters>
    </filterColumn>
  </autoFilter>
  <mergeCells count="7">
    <mergeCell ref="C3:D3"/>
    <mergeCell ref="E3:E4"/>
    <mergeCell ref="F3:G3"/>
    <mergeCell ref="H3:I3"/>
    <mergeCell ref="J3:K3"/>
    <mergeCell ref="L3:M3"/>
    <mergeCell ref="N3:O3"/>
  </mergeCells>
  <printOptions headings="0" gridLines="0"/>
  <pageMargins left="0.31496062992125984" right="0.31496062992125984" top="0.74803149606299213" bottom="0.74803149606299213" header="0.31496062992125984" footer="0.31496062992125984"/>
  <pageSetup paperSize="9" scale="73" fitToWidth="1" fitToHeight="1" pageOrder="downThenOver" orientation="landscape" usePrinterDefaults="1" blackAndWhite="0" draft="0" cellComments="none" useFirstPageNumber="0" errors="displayed" horizontalDpi="600" verticalDpi="600" copies="1"/>
  <headerFooter/>
  <legacyDrawing r:id="rId3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zoomScale="130" workbookViewId="0">
      <selection activeCell="A1" activeCellId="0" sqref="A1:K19"/>
    </sheetView>
  </sheetViews>
  <sheetFormatPr baseColWidth="10" defaultRowHeight="15"/>
  <cols>
    <col customWidth="1" min="1" max="1" style="1074" width="30.5"/>
    <col customWidth="1" min="2" max="6" style="1074" width="6.75"/>
    <col customWidth="1" min="7" max="7" style="1074" width="30.5"/>
    <col customWidth="1" min="8" max="11" style="1074" width="6.75"/>
    <col min="12" max="16384" style="1074" width="11"/>
  </cols>
  <sheetData>
    <row r="1" ht="15.75">
      <c r="A1" s="1075"/>
      <c r="B1" s="1076" t="s">
        <v>31</v>
      </c>
      <c r="C1" s="1077"/>
      <c r="D1" s="1077"/>
      <c r="E1" s="1078"/>
      <c r="F1" s="1079"/>
      <c r="G1" s="1079"/>
      <c r="H1" s="1076" t="s">
        <v>146</v>
      </c>
      <c r="I1" s="1077"/>
      <c r="J1" s="1077"/>
      <c r="K1" s="1078"/>
    </row>
    <row r="2" ht="16.5">
      <c r="A2" s="1075"/>
      <c r="B2" s="1080">
        <v>2020</v>
      </c>
      <c r="C2" s="1081">
        <v>2021</v>
      </c>
      <c r="D2" s="1081">
        <v>2022</v>
      </c>
      <c r="E2" s="1082">
        <v>2023</v>
      </c>
      <c r="F2" s="1079"/>
      <c r="G2" s="1079"/>
      <c r="H2" s="1080">
        <v>2020</v>
      </c>
      <c r="I2" s="1081">
        <v>2021</v>
      </c>
      <c r="J2" s="1081">
        <v>2022</v>
      </c>
      <c r="K2" s="1082">
        <v>2023</v>
      </c>
    </row>
    <row r="3" ht="27.75" customHeight="1">
      <c r="A3" s="1083" t="s">
        <v>160</v>
      </c>
      <c r="B3" s="1084">
        <v>8</v>
      </c>
      <c r="C3" s="1085">
        <v>8</v>
      </c>
      <c r="D3" s="1085">
        <v>6</v>
      </c>
      <c r="E3" s="1086">
        <v>9</v>
      </c>
      <c r="F3" s="1079"/>
      <c r="G3" s="1083" t="s">
        <v>160</v>
      </c>
      <c r="H3" s="1084">
        <v>8</v>
      </c>
      <c r="I3" s="1085">
        <v>8</v>
      </c>
      <c r="J3" s="1085">
        <v>6</v>
      </c>
      <c r="K3" s="1086">
        <v>9</v>
      </c>
    </row>
    <row r="4" ht="27.75" customHeight="1">
      <c r="A4" s="1087" t="s">
        <v>161</v>
      </c>
      <c r="B4" s="1088">
        <v>159</v>
      </c>
      <c r="C4" s="1089">
        <v>198</v>
      </c>
      <c r="D4" s="1089">
        <v>148</v>
      </c>
      <c r="E4" s="1090">
        <v>386</v>
      </c>
      <c r="F4" s="1079"/>
      <c r="G4" s="1087" t="s">
        <v>161</v>
      </c>
      <c r="H4" s="1088">
        <v>95</v>
      </c>
      <c r="I4" s="1089">
        <v>128</v>
      </c>
      <c r="J4" s="1089">
        <v>96</v>
      </c>
      <c r="K4" s="1090">
        <v>235</v>
      </c>
    </row>
    <row r="5" ht="27.75" customHeight="1">
      <c r="A5" s="1091" t="s">
        <v>162</v>
      </c>
      <c r="B5" s="1092">
        <v>117</v>
      </c>
      <c r="C5" s="1093">
        <v>145</v>
      </c>
      <c r="D5" s="1093">
        <v>137</v>
      </c>
      <c r="E5" s="1094">
        <v>233</v>
      </c>
      <c r="F5" s="1079"/>
      <c r="G5" s="1091" t="s">
        <v>162</v>
      </c>
      <c r="H5" s="1092">
        <v>67</v>
      </c>
      <c r="I5" s="1093">
        <v>91</v>
      </c>
      <c r="J5" s="1093">
        <v>89</v>
      </c>
      <c r="K5" s="1094">
        <v>145</v>
      </c>
    </row>
    <row r="6">
      <c r="A6" s="1079"/>
      <c r="B6" s="1079"/>
      <c r="C6" s="1079"/>
      <c r="D6" s="1079"/>
      <c r="E6" s="1079"/>
      <c r="F6" s="1079"/>
      <c r="G6" s="1079"/>
      <c r="H6" s="1079"/>
      <c r="I6" s="1079"/>
      <c r="J6" s="1079"/>
      <c r="K6" s="1079"/>
    </row>
    <row r="7">
      <c r="A7" s="1079"/>
      <c r="B7" s="1079"/>
      <c r="C7" s="1079"/>
      <c r="D7" s="1079"/>
      <c r="E7" s="1079"/>
      <c r="F7" s="1079"/>
      <c r="G7" s="1079"/>
      <c r="H7" s="1079"/>
      <c r="I7" s="1079"/>
      <c r="J7" s="1079"/>
      <c r="K7" s="1079"/>
    </row>
    <row r="8">
      <c r="A8" s="1079"/>
      <c r="B8" s="1079"/>
      <c r="C8" s="1079"/>
      <c r="D8" s="1079"/>
      <c r="E8" s="1079"/>
      <c r="F8" s="1079"/>
      <c r="G8" s="1079"/>
      <c r="H8" s="1079"/>
      <c r="I8" s="1079"/>
      <c r="J8" s="1079"/>
      <c r="K8" s="1079"/>
    </row>
    <row r="9">
      <c r="A9" s="1079"/>
      <c r="B9" s="1079"/>
      <c r="C9" s="1079"/>
      <c r="D9" s="1079"/>
      <c r="E9" s="1079"/>
      <c r="F9" s="1079"/>
      <c r="G9" s="1079"/>
      <c r="H9" s="1079"/>
      <c r="I9" s="1079"/>
      <c r="J9" s="1079"/>
      <c r="K9" s="1079"/>
    </row>
    <row r="10">
      <c r="A10" s="1079"/>
      <c r="B10" s="1079"/>
      <c r="C10" s="1079"/>
      <c r="D10" s="1079"/>
      <c r="E10" s="1079"/>
      <c r="F10" s="1079"/>
      <c r="G10" s="1079"/>
      <c r="H10" s="1079"/>
      <c r="I10" s="1079"/>
      <c r="J10" s="1079"/>
      <c r="K10" s="1079"/>
    </row>
    <row r="11">
      <c r="A11" s="1079"/>
      <c r="B11" s="1079"/>
      <c r="C11" s="1079"/>
      <c r="D11" s="1079"/>
      <c r="E11" s="1079"/>
      <c r="F11" s="1079"/>
      <c r="G11" s="1079"/>
      <c r="H11" s="1079"/>
      <c r="I11" s="1079"/>
      <c r="J11" s="1079"/>
      <c r="K11" s="1079"/>
    </row>
    <row r="12">
      <c r="A12" s="1079"/>
      <c r="B12" s="1079"/>
      <c r="C12" s="1079"/>
      <c r="D12" s="1079"/>
      <c r="E12" s="1079"/>
      <c r="F12" s="1079"/>
      <c r="G12" s="1079"/>
      <c r="H12" s="1079"/>
      <c r="I12" s="1079"/>
      <c r="J12" s="1079"/>
      <c r="K12" s="1079"/>
    </row>
    <row r="13">
      <c r="A13" s="1079"/>
      <c r="B13" s="1079"/>
      <c r="C13" s="1079"/>
      <c r="D13" s="1079"/>
      <c r="E13" s="1079"/>
      <c r="F13" s="1079"/>
      <c r="G13" s="1079"/>
      <c r="H13" s="1079"/>
      <c r="I13" s="1079"/>
      <c r="J13" s="1079"/>
      <c r="K13" s="1079"/>
    </row>
    <row r="14">
      <c r="A14" s="1079"/>
      <c r="B14" s="1079"/>
      <c r="C14" s="1079"/>
      <c r="D14" s="1079"/>
      <c r="E14" s="1079"/>
      <c r="F14" s="1079"/>
      <c r="G14" s="1079"/>
      <c r="H14" s="1079"/>
      <c r="I14" s="1079"/>
      <c r="J14" s="1079"/>
      <c r="K14" s="1079"/>
    </row>
    <row r="15">
      <c r="A15" s="1079"/>
      <c r="B15" s="1079"/>
      <c r="C15" s="1079"/>
      <c r="D15" s="1079"/>
      <c r="E15" s="1079"/>
      <c r="F15" s="1079"/>
      <c r="G15" s="1079"/>
      <c r="H15" s="1079"/>
      <c r="I15" s="1079"/>
      <c r="J15" s="1079"/>
      <c r="K15" s="1079"/>
    </row>
    <row r="16">
      <c r="A16" s="1079"/>
      <c r="B16" s="1079"/>
      <c r="C16" s="1079"/>
      <c r="D16" s="1079"/>
      <c r="E16" s="1079"/>
      <c r="F16" s="1079"/>
      <c r="G16" s="1079"/>
      <c r="H16" s="1079"/>
      <c r="I16" s="1079"/>
      <c r="J16" s="1079"/>
      <c r="K16" s="1079"/>
    </row>
    <row r="17">
      <c r="A17" s="1079"/>
      <c r="B17" s="1079"/>
      <c r="C17" s="1079"/>
      <c r="D17" s="1079"/>
      <c r="E17" s="1079"/>
      <c r="F17" s="1079"/>
      <c r="G17" s="1079"/>
      <c r="H17" s="1079"/>
      <c r="I17" s="1079"/>
      <c r="J17" s="1079"/>
      <c r="K17" s="1079"/>
    </row>
    <row r="18">
      <c r="A18" s="1079"/>
      <c r="B18" s="1079"/>
      <c r="C18" s="1079"/>
      <c r="D18" s="1079"/>
      <c r="E18" s="1079"/>
      <c r="F18" s="1079"/>
      <c r="G18" s="1079"/>
      <c r="H18" s="1079"/>
      <c r="I18" s="1079"/>
      <c r="J18" s="1079"/>
      <c r="K18" s="1079"/>
    </row>
    <row r="19">
      <c r="A19" s="1079"/>
      <c r="B19" s="1079"/>
      <c r="C19" s="1079"/>
      <c r="D19" s="1079"/>
      <c r="E19" s="1079"/>
      <c r="F19" s="1079"/>
      <c r="G19" s="1079"/>
      <c r="H19" s="1079"/>
      <c r="I19" s="1079"/>
      <c r="J19" s="1079"/>
      <c r="K19" s="1079"/>
    </row>
    <row r="20" ht="8.25" customHeight="1">
      <c r="A20" s="1079"/>
      <c r="B20" s="1079"/>
      <c r="C20" s="1079"/>
      <c r="D20" s="1079"/>
      <c r="E20" s="1079"/>
      <c r="F20" s="1079"/>
      <c r="G20" s="1079"/>
      <c r="H20" s="1079"/>
      <c r="I20" s="1079"/>
      <c r="J20" s="1079"/>
      <c r="K20" s="1079"/>
    </row>
    <row r="22">
      <c r="B22" s="1074">
        <v>8</v>
      </c>
      <c r="C22" s="1074">
        <v>8</v>
      </c>
      <c r="D22" s="1074">
        <v>6</v>
      </c>
      <c r="E22" s="1074">
        <v>9</v>
      </c>
    </row>
  </sheetData>
  <mergeCells count="2">
    <mergeCell ref="B1:E1"/>
    <mergeCell ref="H1:K1"/>
  </mergeCells>
  <printOptions headings="0" gridLines="0"/>
  <pageMargins left="0.69999999999999996" right="0.69999999999999996" top="0.75" bottom="0.75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0" verticalDpi="0" copies="1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onlyoffice/8.3.3.18</Application>
  <DocSecurity>0</DocSecurity>
  <ScaleCrop>0</ScaleCrop>
  <HeadingPairs>
    <vt:vector size="0" baseType="variant"/>
  </HeadingPairs>
  <TitlesOfParts>
    <vt:vector size="0" baseType="lpstr"/>
  </TitlesOfParts>
  <LinksUpToDate>0</LinksUpToDate>
  <SharedDoc>0</SharedDoc>
  <HyperlinksChanged>0</HyperlinksChanged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Philippe</dc:creator>
  <cp:lastModifiedBy>Vjollca Ahmeti</cp:lastModifiedBy>
  <cp:revision>32</cp:revision>
  <dcterms:created xsi:type="dcterms:W3CDTF">2013-06-07T11:50:48Z</dcterms:created>
  <dcterms:modified xsi:type="dcterms:W3CDTF">2025-05-30T13:33:23Z</dcterms:modified>
</cp:coreProperties>
</file>